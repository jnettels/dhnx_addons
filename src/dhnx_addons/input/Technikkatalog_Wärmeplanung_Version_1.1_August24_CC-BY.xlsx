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DieseArbeitsmappe"/>
  <mc:AlternateContent xmlns:mc="http://schemas.openxmlformats.org/markup-compatibility/2006">
    <mc:Choice Requires="x15">
      <x15ac:absPath xmlns:x15ac="http://schemas.microsoft.com/office/spreadsheetml/2010/11/ac" url="C:\Users\Nettelstroth\code_projects\dhnx_addons\dhnx_addons\input\"/>
    </mc:Choice>
  </mc:AlternateContent>
  <xr:revisionPtr revIDLastSave="0" documentId="13_ncr:1_{0AEDD45A-F6FE-4E33-A7DB-B001CBCACD70}" xr6:coauthVersionLast="47" xr6:coauthVersionMax="47" xr10:uidLastSave="{00000000-0000-0000-0000-000000000000}"/>
  <bookViews>
    <workbookView xWindow="6405" yWindow="7935" windowWidth="43200" windowHeight="23385" tabRatio="855" xr2:uid="{00000000-000D-0000-FFFF-FFFF00000000}"/>
  </bookViews>
  <sheets>
    <sheet name="Deckblatt" sheetId="6" r:id="rId1"/>
    <sheet name="ChangeLog" sheetId="63" r:id="rId2"/>
    <sheet name="Inhalt" sheetId="7" r:id="rId3"/>
    <sheet name="Tab 51" sheetId="57" r:id="rId4"/>
    <sheet name="Tab 52" sheetId="58" r:id="rId5"/>
    <sheet name="Tab 53" sheetId="59" r:id="rId6"/>
    <sheet name="Tab 54" sheetId="60" r:id="rId7"/>
    <sheet name="Tab 55" sheetId="61" r:id="rId8"/>
    <sheet name="Tab 56" sheetId="62" r:id="rId9"/>
  </sheets>
  <definedNames>
    <definedName name="_xlnm._FilterDatabase" localSheetId="3" hidden="1">'Tab 51'!$B$5:$C$61</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62" l="1"/>
  <c r="G21" i="62" s="1"/>
  <c r="F21" i="62" s="1"/>
  <c r="H20" i="62"/>
  <c r="G20" i="62" s="1"/>
  <c r="F20" i="62" s="1"/>
  <c r="H19" i="62"/>
  <c r="G19" i="62" s="1"/>
  <c r="F19" i="62" s="1"/>
  <c r="H18" i="62"/>
  <c r="G18" i="62" s="1"/>
  <c r="F18" i="62" s="1"/>
  <c r="G17" i="62"/>
  <c r="F17" i="62"/>
  <c r="G16" i="62"/>
  <c r="F16" i="62" s="1"/>
  <c r="G15" i="62"/>
  <c r="F15" i="62"/>
  <c r="G14" i="62"/>
  <c r="F14" i="62" s="1"/>
  <c r="G13" i="62"/>
  <c r="F13" i="62" s="1"/>
  <c r="G12" i="62"/>
  <c r="F12" i="62" s="1"/>
  <c r="G11" i="62"/>
  <c r="F11" i="62" s="1"/>
  <c r="G10" i="62"/>
  <c r="F10" i="62"/>
  <c r="G9" i="62"/>
  <c r="F9" i="62" s="1"/>
  <c r="G8" i="62"/>
  <c r="F8" i="62" s="1"/>
  <c r="H21" i="61"/>
  <c r="G21" i="61" s="1"/>
  <c r="F21" i="61" s="1"/>
  <c r="H20" i="61"/>
  <c r="G20" i="61" s="1"/>
  <c r="F20" i="61" s="1"/>
  <c r="H19" i="61"/>
  <c r="G19" i="61" s="1"/>
  <c r="F19" i="61" s="1"/>
  <c r="H18" i="61"/>
  <c r="G18" i="61" s="1"/>
  <c r="F18" i="61" s="1"/>
  <c r="G17" i="61"/>
  <c r="F17" i="61" s="1"/>
  <c r="G16" i="61"/>
  <c r="F16" i="61" s="1"/>
  <c r="G15" i="61"/>
  <c r="F15" i="61" s="1"/>
  <c r="G14" i="61"/>
  <c r="F14" i="61"/>
  <c r="G13" i="61"/>
  <c r="F13" i="61" s="1"/>
  <c r="G12" i="61"/>
  <c r="F12" i="61" s="1"/>
  <c r="G11" i="61"/>
  <c r="F11" i="61"/>
  <c r="G10" i="61"/>
  <c r="F10" i="61"/>
  <c r="G9" i="61"/>
  <c r="F9" i="61"/>
  <c r="G8" i="61"/>
  <c r="F8" i="61" s="1"/>
  <c r="M18" i="60"/>
  <c r="M11" i="60" s="1"/>
  <c r="L18" i="60"/>
  <c r="L11" i="60" s="1"/>
  <c r="K18" i="60"/>
  <c r="K7" i="60" s="1"/>
  <c r="U18" i="59"/>
  <c r="U9" i="59" s="1"/>
  <c r="T18" i="59"/>
  <c r="T9" i="59" s="1"/>
  <c r="S18" i="59"/>
  <c r="S7" i="59" s="1"/>
  <c r="R18" i="59"/>
  <c r="R9" i="59" s="1"/>
  <c r="Q18" i="59"/>
  <c r="Q11" i="59" s="1"/>
  <c r="P18" i="59"/>
  <c r="P11" i="59" s="1"/>
  <c r="O18" i="59"/>
  <c r="O7" i="59" s="1"/>
  <c r="N18" i="59"/>
  <c r="N9" i="59" s="1"/>
  <c r="M18" i="59"/>
  <c r="M9" i="59" s="1"/>
  <c r="L18" i="59"/>
  <c r="L9" i="59" s="1"/>
  <c r="K18" i="59"/>
  <c r="K7" i="59" s="1"/>
  <c r="R11" i="59"/>
  <c r="N11" i="59"/>
  <c r="P7" i="59"/>
  <c r="N7" i="59"/>
  <c r="M7" i="60" l="1"/>
  <c r="R7" i="59"/>
  <c r="K9" i="59"/>
  <c r="K11" i="59"/>
  <c r="L11" i="59"/>
  <c r="S9" i="59"/>
  <c r="S11" i="59"/>
  <c r="T11" i="59"/>
  <c r="M11" i="59"/>
  <c r="M7" i="59"/>
  <c r="U7" i="59"/>
  <c r="U11" i="59"/>
  <c r="Q7" i="59"/>
  <c r="L9" i="60"/>
  <c r="L7" i="60"/>
  <c r="P9" i="59"/>
  <c r="L7" i="59"/>
  <c r="T7" i="59"/>
  <c r="Q9" i="59"/>
  <c r="M9" i="60"/>
  <c r="K11" i="60"/>
  <c r="K9" i="60"/>
  <c r="O11" i="59"/>
  <c r="O9" i="59"/>
</calcChain>
</file>

<file path=xl/sharedStrings.xml><?xml version="1.0" encoding="utf-8"?>
<sst xmlns="http://schemas.openxmlformats.org/spreadsheetml/2006/main" count="711" uniqueCount="340">
  <si>
    <t>Impressum zum Technikkatalog Wärmeplanung</t>
  </si>
  <si>
    <t xml:space="preserve">Autorinnen und Autoren sind: </t>
  </si>
  <si>
    <t xml:space="preserve">Prognos AG </t>
  </si>
  <si>
    <t xml:space="preserve">Nora Langreder, Frederik Lettow, Malek Sahnoun, Sven Kreidelmeyer, Aurel Wünsch, </t>
  </si>
  <si>
    <t>Saskia Lengning, Sebastian Lübbers, Nils Thamling, Inka Ziegenhagen, Marco Wünsch </t>
  </si>
  <si>
    <r>
      <t>ifeu – Institut für Energie- und Umweltforschung Heidelberg gGmbH</t>
    </r>
    <r>
      <rPr>
        <sz val="10.5"/>
        <color rgb="FFFFFFFF"/>
        <rFont val="Calibri Light"/>
        <family val="2"/>
      </rPr>
      <t> </t>
    </r>
  </si>
  <si>
    <t>Dr. Sara Ortner, Angelika Paar, Lea Johannsen, Peter Mellwig</t>
  </si>
  <si>
    <t>Universität Stuttgart, Institut für Energiewirtschaft und Rationelle Energieanwendung (IER)</t>
  </si>
  <si>
    <t>Benjamin Ott, Prof. Dr. Peter Radgen</t>
  </si>
  <si>
    <t>Stand des Technikkatalogs</t>
  </si>
  <si>
    <t>Version 1.1 - August 2024</t>
  </si>
  <si>
    <t>https://creativecommons.org/licenses/by/4.0/</t>
  </si>
  <si>
    <t xml:space="preserve">Bitte zitieren Sie diesen Technikkatalog wie folgt: </t>
  </si>
  <si>
    <t>Im Begleitdokument zum Technikkatalog finden Sie Hinweise zu Hintergründen und Datenquellen</t>
  </si>
  <si>
    <t>Veränderungen gegenüber Version 1</t>
  </si>
  <si>
    <t>Tabellenblatt</t>
  </si>
  <si>
    <t>Änderung</t>
  </si>
  <si>
    <t>15-17</t>
  </si>
  <si>
    <t>Blockheizkraftwerk Erdgas/Biogas/Wasserstoff</t>
  </si>
  <si>
    <t>Korrektur Kostenkurven (Aufteilung nach Leistungsbereich); nur bei Biogas: Anpassung Kosten in 2040 auch in der Tabelle</t>
  </si>
  <si>
    <t>53-54</t>
  </si>
  <si>
    <t>Gebäudedaten Nichtwohngebäude</t>
  </si>
  <si>
    <t>Die absoluten Gebäudewerte in der Spalte H (Reduktion bis 2040) enthielten fehlerhafte Bezüge und wurden korrigiert bzw. aktualisiert</t>
  </si>
  <si>
    <t>Anmerkung</t>
  </si>
  <si>
    <t xml:space="preserve">Neben den aufgeführten Anpassungen an den Werten wurden vereinzelt kosmetische Änderungen vorgenommen, bspw. Vereinheitlichung der Bezeichnung der Blätter und Korrektur von Referenzen, sowie einzelne Anmerkungen angepasst. </t>
  </si>
  <si>
    <t>INHALT TECHNIKKATALOG</t>
  </si>
  <si>
    <t>THG-Emissionsfaktoren</t>
  </si>
  <si>
    <t xml:space="preserve">Technologiedaten Verteilnetze </t>
  </si>
  <si>
    <t>Tabelle 1</t>
  </si>
  <si>
    <t xml:space="preserve">Emissionsfaktoren </t>
  </si>
  <si>
    <t>Tabelle 40</t>
  </si>
  <si>
    <t>Erdgas/Biomethan Verteilungsnetze</t>
  </si>
  <si>
    <t>Technologiedaten Erzeugung</t>
  </si>
  <si>
    <t>Tabelle 41</t>
  </si>
  <si>
    <t>Wasserstoff Transportleitungen</t>
  </si>
  <si>
    <t>Tabelle 2</t>
  </si>
  <si>
    <t>Pelletkessel dezentral</t>
  </si>
  <si>
    <t>Tabelle 42</t>
  </si>
  <si>
    <t xml:space="preserve">Wärmenetze konventionell - Verteilungsnetze </t>
  </si>
  <si>
    <t>Tabelle 3</t>
  </si>
  <si>
    <t>Hackschnitzelkessel dezentral</t>
  </si>
  <si>
    <t>Tabelle 43</t>
  </si>
  <si>
    <t>Wärmenetze konventionell - Transportleitungen</t>
  </si>
  <si>
    <t>Tabelle 4</t>
  </si>
  <si>
    <t>Erdgas Brennwertkessel dezentral</t>
  </si>
  <si>
    <t>Tabelle 44</t>
  </si>
  <si>
    <t>Wärmenetze Niedertemperatur</t>
  </si>
  <si>
    <t>Tabelle 5</t>
  </si>
  <si>
    <t>Heizölkessel dezentral</t>
  </si>
  <si>
    <t>Tabelle 45</t>
  </si>
  <si>
    <t>Wärmenetze Kalte Nahwärme</t>
  </si>
  <si>
    <t>Tabelle 6</t>
  </si>
  <si>
    <t>Wasserstoffkessel Brennwert dezentral</t>
  </si>
  <si>
    <t>Tabelle 46</t>
  </si>
  <si>
    <t>Hausstationen Fernwärme indirekt</t>
  </si>
  <si>
    <t>Tabelle 7</t>
  </si>
  <si>
    <t>Solarthermie Dachanlagen Röhrenkollektor</t>
  </si>
  <si>
    <t>Technologiedaten Wärmespeicher</t>
  </si>
  <si>
    <t>Tabelle 8</t>
  </si>
  <si>
    <t>Solarthermie Dachanlagen Flachkollektor</t>
  </si>
  <si>
    <t>Tabelle 47</t>
  </si>
  <si>
    <t>Wärmespeicher Saisonal - Erdbeckenspeicher (PTES)</t>
  </si>
  <si>
    <t>Tabelle 9</t>
  </si>
  <si>
    <t>Stromdirektheizung fest eingebaut (bis 30 kW)</t>
  </si>
  <si>
    <t>Tabelle 48</t>
  </si>
  <si>
    <t>Wärmespeicher Saisonal - Behälterspeicher (TTES)</t>
  </si>
  <si>
    <t>Tabelle 10</t>
  </si>
  <si>
    <t>Luft-Wasser Wärmepumpe</t>
  </si>
  <si>
    <t>Tabelle 49</t>
  </si>
  <si>
    <t>Trinkwasserspeicher/kleine Pufferspeicher (150-1000 L)</t>
  </si>
  <si>
    <t>Tabelle 11</t>
  </si>
  <si>
    <t>Wasser-Wasser Wärmepumpe (mit Grundwasserbrunnen)</t>
  </si>
  <si>
    <t>Tabelle 50</t>
  </si>
  <si>
    <t>Puffer-/Kombispeicher (ab 500 L)</t>
  </si>
  <si>
    <t>Tabelle 12</t>
  </si>
  <si>
    <t>Sole-Wasser Wärmepumpe - Wärmequelle Erdwärmesonden (dezentral, &lt;110 kW)</t>
  </si>
  <si>
    <t>Technologiedaten Gebäudedaten</t>
  </si>
  <si>
    <t>Tabelle 13</t>
  </si>
  <si>
    <t>Sole-Wasser Wärmepumpe (dezentral, &lt;110 kW)</t>
  </si>
  <si>
    <t>Tabelle 51</t>
  </si>
  <si>
    <t xml:space="preserve">Zuordnung der für die Wärmeplanung relevanten Gebäudefunktionen zum Endenergiesektor </t>
  </si>
  <si>
    <t>Tabelle 14</t>
  </si>
  <si>
    <t>Hybrid Wärmepumpe</t>
  </si>
  <si>
    <t>Tabelle 52</t>
  </si>
  <si>
    <t xml:space="preserve">Zuordnung von Gebäudefunktionen zu GHD-Typen, Bewertung der Relevanz der Prozesswärme und Empfehlung zur Datenerfassung </t>
  </si>
  <si>
    <t>Tabelle 15</t>
  </si>
  <si>
    <t>Blockheizkraftwerk Erdgas</t>
  </si>
  <si>
    <t>Tabelle 53</t>
  </si>
  <si>
    <t>Gebäudedaten Nichtwohngebäude GHD-Sektor</t>
  </si>
  <si>
    <t>Tabelle 16</t>
  </si>
  <si>
    <t>Blockheizkraftwerk Biogas</t>
  </si>
  <si>
    <t>Tabelle 54</t>
  </si>
  <si>
    <t>Gebäudedaten Nichtwohngebäude Industrie</t>
  </si>
  <si>
    <t>Tabelle 17</t>
  </si>
  <si>
    <t>Blockheizkraftwerk Wasserstoff</t>
  </si>
  <si>
    <t>Tabelle 55</t>
  </si>
  <si>
    <t>Gebäudedaten Wohngebäude EZFH</t>
  </si>
  <si>
    <t>Tabelle 18</t>
  </si>
  <si>
    <t>Biomasse Heizkraftwerk - Holzhackschnitzel</t>
  </si>
  <si>
    <t>Tabelle 56</t>
  </si>
  <si>
    <t>Gebäudedaten Wohngebäude MFH</t>
  </si>
  <si>
    <t>Tabelle 19</t>
  </si>
  <si>
    <t>Biomasse Heizkraftwerk - Holzpellets</t>
  </si>
  <si>
    <t>Tabelle 20</t>
  </si>
  <si>
    <t>Biomasse Heizkraftwerk - Stroh</t>
  </si>
  <si>
    <t>Tabelle 21</t>
  </si>
  <si>
    <t>Biomasse Heizwerk - Holzhackschnitzel</t>
  </si>
  <si>
    <t>Tabelle 22</t>
  </si>
  <si>
    <t>Biomasse Heizwerk - Holzpellets</t>
  </si>
  <si>
    <t>Tabelle 23</t>
  </si>
  <si>
    <t>Biomasse Heizwerk - Stroh</t>
  </si>
  <si>
    <t>Tabelle 24</t>
  </si>
  <si>
    <t>Biomasse Großheizkraftwerk - Holzhackschnitzel</t>
  </si>
  <si>
    <t>Tabelle 25</t>
  </si>
  <si>
    <t>Biomasse Großheizkraftwerk - Holzpellets</t>
  </si>
  <si>
    <t>Tabelle 26</t>
  </si>
  <si>
    <t>Großwärmepumpe Luft (Kompressionswärmepumpe)</t>
  </si>
  <si>
    <t>Tabelle 27</t>
  </si>
  <si>
    <t>Großwärmepumpe Abwärme (Kompressionswärmepumpe)</t>
  </si>
  <si>
    <t>Tabelle 28</t>
  </si>
  <si>
    <t>Großwärmepumpe Gewässer (Kompressionswärmepumpe)</t>
  </si>
  <si>
    <t>Tabelle 29</t>
  </si>
  <si>
    <t>Großwärmepumpe Absorption</t>
  </si>
  <si>
    <t>Tabelle 30</t>
  </si>
  <si>
    <t>Großwärmepumpe Klärwasser/Abwasser (Kompressionswärmepumpe)</t>
  </si>
  <si>
    <t>Tabelle 31</t>
  </si>
  <si>
    <t>Hochtemperatur Wärmepumpe bis 125°C (Industrie)</t>
  </si>
  <si>
    <t>Tabelle 32</t>
  </si>
  <si>
    <t>Hochtemperatur Wärmepumpe bis 150°C (Industrie)</t>
  </si>
  <si>
    <t>Tabelle 33</t>
  </si>
  <si>
    <t>Erdgaskessel (zentral/Spitzenlastabdeckung)</t>
  </si>
  <si>
    <t>Tabelle 34</t>
  </si>
  <si>
    <t>Heizölkessel (zentral/Spitzenlastabdeckung)</t>
  </si>
  <si>
    <t>Tabelle 35</t>
  </si>
  <si>
    <t>Abfallkessel (zentral)</t>
  </si>
  <si>
    <t>Tabelle 36</t>
  </si>
  <si>
    <t>Solarthermie Freiflächenanlagen - Flachkollektoren</t>
  </si>
  <si>
    <t>Tabelle 37</t>
  </si>
  <si>
    <t>Solarthermie Freiflächenanlagen - Vakuum-Röhren-Kollektoren</t>
  </si>
  <si>
    <t>Tabelle 38</t>
  </si>
  <si>
    <t>Tiefengeothermie (&gt;2000m Bohrung) direkt</t>
  </si>
  <si>
    <t>Tabelle 39</t>
  </si>
  <si>
    <t>Tiefengeothermie (&gt;2000m Bohrung) mit ORC</t>
  </si>
  <si>
    <t>zurück zum Inhalt</t>
  </si>
  <si>
    <t>Referenzen</t>
  </si>
  <si>
    <t>Gebäudefunktion</t>
  </si>
  <si>
    <t>Endenergiesektor [Wohngebäude, GHD, Industrie]</t>
  </si>
  <si>
    <t>Apotheke</t>
  </si>
  <si>
    <t>GHD</t>
  </si>
  <si>
    <t>Aquarium, Terrarium, Voliere</t>
  </si>
  <si>
    <t>Badegebäude, Hallenbad</t>
  </si>
  <si>
    <t>Biogasanlage</t>
  </si>
  <si>
    <t>Brennerei</t>
  </si>
  <si>
    <t>Büroähnliche Gebäude</t>
  </si>
  <si>
    <t>Empfangsgebäude</t>
  </si>
  <si>
    <t>Feuerwehr</t>
  </si>
  <si>
    <t>Gaswerk</t>
  </si>
  <si>
    <t>Gebäude für andere Erholungseinrichtung</t>
  </si>
  <si>
    <t>Gebäude für Bewirtung</t>
  </si>
  <si>
    <t>Gebäude für Bildungszwecke</t>
  </si>
  <si>
    <t>Gebäude für Erholungszwecke</t>
  </si>
  <si>
    <t>Gebäude für Freizeitaktivitäten</t>
  </si>
  <si>
    <t>Gebäude für Gesundheitswesen</t>
  </si>
  <si>
    <t>Gebäude für Gewerbe und Industrie</t>
  </si>
  <si>
    <t>Gebäude für Handel und Dienstleistungen</t>
  </si>
  <si>
    <t>Gebäude für Land- und Forstwirtschaft</t>
  </si>
  <si>
    <t>Gebäude für öffentliche Zwecke mit Wohnen</t>
  </si>
  <si>
    <t>Gebäude für Wirtschaft oder Gewerbe</t>
  </si>
  <si>
    <t>Gebäude im botanischen Garten</t>
  </si>
  <si>
    <t>Gebäude zur Energieversorgung</t>
  </si>
  <si>
    <t>Gebäude zur Gasversorgung</t>
  </si>
  <si>
    <t>Gebäude zu öffentlichen Verkehrsmitteln</t>
  </si>
  <si>
    <t>Gebäude zur Wasserversorgung</t>
  </si>
  <si>
    <t>Hallen</t>
  </si>
  <si>
    <t>Kaserne</t>
  </si>
  <si>
    <t>Krematorium</t>
  </si>
  <si>
    <t>Kühlhaus</t>
  </si>
  <si>
    <t>Land- und forstwirtschaftliches Betriebsgebäude</t>
  </si>
  <si>
    <t>Produktionsgebäude</t>
  </si>
  <si>
    <t>Religiöse Einrichtung</t>
  </si>
  <si>
    <t>Sonstiges Gebäude für Gewerbe und Industrie</t>
  </si>
  <si>
    <t>Speditionsgebäude</t>
  </si>
  <si>
    <t>Stadion</t>
  </si>
  <si>
    <t>Stall für Tiergroßhaltung</t>
  </si>
  <si>
    <t>Werkstatt</t>
  </si>
  <si>
    <t>Wirtschaftsgebäude</t>
  </si>
  <si>
    <t>Wohnheime und Unterkünfte</t>
  </si>
  <si>
    <t>Gebäude für Gewerbe und Industrie mit Wohnen</t>
  </si>
  <si>
    <t>Haushalte/Wohngebäude</t>
  </si>
  <si>
    <t>Gebäude für Handel und Dienstleistung mit Wohnen</t>
  </si>
  <si>
    <t>Land- und forstwirtschaftliches Wohn- und Betriebsgebäude</t>
  </si>
  <si>
    <t>Wohn- und Bürogebäude</t>
  </si>
  <si>
    <t>Wohngebäude / Wohnhaus</t>
  </si>
  <si>
    <t>Bergwerk</t>
  </si>
  <si>
    <t>Industrie</t>
  </si>
  <si>
    <t>Betriebsgebäude</t>
  </si>
  <si>
    <t>Brauerei</t>
  </si>
  <si>
    <t>Fabrik</t>
  </si>
  <si>
    <t>Gradierwerk</t>
  </si>
  <si>
    <t>Hochofen</t>
  </si>
  <si>
    <t>Kühlturm</t>
  </si>
  <si>
    <t>Mühle</t>
  </si>
  <si>
    <t>Sägewerk</t>
  </si>
  <si>
    <t>Saline</t>
  </si>
  <si>
    <t>Turbinenhaus</t>
  </si>
  <si>
    <t>Werft (Halle)</t>
  </si>
  <si>
    <t>GHD-Typ laut Schlomann et. al</t>
  </si>
  <si>
    <t>GHD-Typ lt. IWU</t>
  </si>
  <si>
    <t>Prozesswärme [ja/nein]</t>
  </si>
  <si>
    <r>
      <t>Datenerfassung empfohlen [ja/nein</t>
    </r>
    <r>
      <rPr>
        <sz val="8"/>
        <color rgb="FF000000"/>
        <rFont val="Franklin Gothic Book"/>
        <family val="2"/>
      </rPr>
      <t>  </t>
    </r>
    <r>
      <rPr>
        <b/>
        <sz val="8"/>
        <color rgb="FF000000"/>
        <rFont val="Franklin Gothic Book"/>
        <family val="2"/>
      </rPr>
      <t>]</t>
    </r>
  </si>
  <si>
    <t>Voraussetzung</t>
  </si>
  <si>
    <t>Übrige</t>
  </si>
  <si>
    <t>Gebäude für Kultur und Freizeit (5)</t>
  </si>
  <si>
    <t>Ja</t>
  </si>
  <si>
    <t>Nein</t>
  </si>
  <si>
    <t>Bäder</t>
  </si>
  <si>
    <t>Sportgebäude (6)</t>
  </si>
  <si>
    <t>Immer</t>
  </si>
  <si>
    <t>Herstellungsbetriebe</t>
  </si>
  <si>
    <t>Produktions-, Werkstatt-, Lager- oder Betriebsgebäude (8)</t>
  </si>
  <si>
    <t>Prüfen ob keine eigene Prozesswärmeversorgung erfolgt und eine externe Versorgung möglich ist, Pth &gt; 50 kW</t>
  </si>
  <si>
    <t>Prüfen wie Prozesswärmebedarf gedeckt wird</t>
  </si>
  <si>
    <t>Büroähnliche Betriebe (öffentlich oder privat)</t>
  </si>
  <si>
    <t>Büroähnliche Betriebe</t>
  </si>
  <si>
    <t>Büro-, Verwaltungs- oder Amtsgebäude (1)
Gebäude für Forschung und Hochschullehre (2)
Handelsgebäude (9)</t>
  </si>
  <si>
    <t>Büro-, Verwaltungs- oder Amtsgebäude (1)</t>
  </si>
  <si>
    <t>Flughafengebäude</t>
  </si>
  <si>
    <t>Flughäfen</t>
  </si>
  <si>
    <t>Verkehrsgebäude (11)</t>
  </si>
  <si>
    <t>Erzeugungsleistung &gt; 50 kW</t>
  </si>
  <si>
    <t>Technikgebäude (Ver- und Entsorgung) (10)</t>
  </si>
  <si>
    <t xml:space="preserve">Kann ggf. sinnvoll sein, wenn es aktiv für die Herstellung von Gasen genutzt wird. </t>
  </si>
  <si>
    <t>Beherbergung, Gaststätten, Heime</t>
  </si>
  <si>
    <t>Beherbergungs- oder Unterbringungsgebäude, Gastronomie- oder Verpflegungsgebäude (7)</t>
  </si>
  <si>
    <t>Wenn eigene Wäscherei, Küche oder Sauna</t>
  </si>
  <si>
    <t>Gebäude für Bewirtung (Gaststätte, Restaurant, Kantine)</t>
  </si>
  <si>
    <t>Gebäude für Bildungszwecke (z. B. allgemein- und berufsbildende Schulen, Kinderkrippe, Kindergarten, Kindertagesstätte)</t>
  </si>
  <si>
    <t>Schulen</t>
  </si>
  <si>
    <t>Schule, Kindertagesstätte und sonstiges Betreuungsgebäude (4)</t>
  </si>
  <si>
    <t>Nur sofern im Eigentum der Gemeinde</t>
  </si>
  <si>
    <t>Gebäude für Forschung und Lehre (Hochschulgebäude, Forschungsinstitut</t>
  </si>
  <si>
    <t>Gebäude für Forschung und Hochschullehre (2)</t>
  </si>
  <si>
    <t>Erfassung auf Campus Ebene</t>
  </si>
  <si>
    <t>Gebäude für Freizeitaktivitäten (Bibliothek, Museum, Kino, Theater, Freizeit- und Vergnügungsstätten)</t>
  </si>
  <si>
    <t>Büroähnliche Betriebe
Beherbergung, Gaststätten, Heime
Handel
Übrige</t>
  </si>
  <si>
    <t>Schule, Kindertagesstätte und sonstiges Betreuungsgebäude (4)
Gebäude für Kultur und Freizeit (5)</t>
  </si>
  <si>
    <t>Krankenhäuser</t>
  </si>
  <si>
    <t>Gebäude für Gesundheit und Pflege (3)</t>
  </si>
  <si>
    <t>Wenn Prozesswärme genutzt wird und Pth &gt; 50 kW
Wenn eigene Wäscherei, Küche oder Sauna</t>
  </si>
  <si>
    <t>Prüfen, ob Prozesswärme genutzt wird, Wärmeleistung &gt; 50 kW</t>
  </si>
  <si>
    <t>Gebäude für Handel und Dienstleistungen (Einkaufszentrum, Kaufhaus, Laden)</t>
  </si>
  <si>
    <t>Handel</t>
  </si>
  <si>
    <t>Handelsgebäude (9)</t>
  </si>
  <si>
    <t>Prüfen ob Prozesswärme relevant</t>
  </si>
  <si>
    <t>Landwirtschaft</t>
  </si>
  <si>
    <t>Prüfen, ob Küche oder Sauna etc. vorhanden ist, Pth &gt; 50 kW</t>
  </si>
  <si>
    <t>Gartenbau</t>
  </si>
  <si>
    <t>Handel
Übrige</t>
  </si>
  <si>
    <t>Produktions-, Werkstatt-, Lager- oder Betriebsgebäude (8)
Verkehrsgebäude (11)</t>
  </si>
  <si>
    <t>Gebäude zur Energieversorgung (z. B. Müllverbrennung oder Gasometer)</t>
  </si>
  <si>
    <t>Herstellungsbetriebe
Übrige
Nicht über FB erfasste Betriebe</t>
  </si>
  <si>
    <t>Prüfen, ob eine Gasvorwärmung erfolgt</t>
  </si>
  <si>
    <t>Gewächshaus (Botanik oder verschiebbar)</t>
  </si>
  <si>
    <t>Gartenbau
Landwirtschaft</t>
  </si>
  <si>
    <t>Ja
Nein</t>
  </si>
  <si>
    <t xml:space="preserve">Feuerungsleistung &gt; 50 kW und Überschreitung einer Fläche von 100 m² </t>
  </si>
  <si>
    <t>Hallen (Fahrzeug, Markt, Messe, Sport, Wagenhalle)</t>
  </si>
  <si>
    <t>Herstellungsbetriebe
Nicht über FB erfasste Betriebe
Übrige</t>
  </si>
  <si>
    <t>Schule, Kindertagesstätte und sonstiges Betreuungsgebäude (4)
Gebäude für Kultur und Freizeit (5)
Produktions-, Werkstatt-, Lager- oder Betriebsgebäude (8)
Verkehrsgebäude (11)</t>
  </si>
  <si>
    <t>Prüfen, ob eine Großküche vorhanden ist</t>
  </si>
  <si>
    <t>Feuerungsleistung &gt; 50 kW</t>
  </si>
  <si>
    <t>Restl. Nahrungsmittelgewerbe</t>
  </si>
  <si>
    <t>Relevant für Abwärmepotenzial</t>
  </si>
  <si>
    <t>Wärmeleistung &gt; 50 kW</t>
  </si>
  <si>
    <t>Religiöse Einrichtungen (Kloster, Moschee, Synagoge)</t>
  </si>
  <si>
    <t>nein</t>
  </si>
  <si>
    <t>Ggf. individuell prüfen</t>
  </si>
  <si>
    <t>Textil, Bekleidung, Spedition</t>
  </si>
  <si>
    <t>Rasenheizung ?</t>
  </si>
  <si>
    <t>Nicht über FB erfasste Betriebe</t>
  </si>
  <si>
    <t>Wenn Produktionshalle</t>
  </si>
  <si>
    <t>Wohnheime und Unterkünfte für unterschiedliche Gruppen sowie Gebäude für Beherbungen (Senior*innen, Kinder, Schüler*innen, Obdachlose, Geflüchtete, Pflegepersonal, Hotel, Motel, Pensions, Jugendherberge etc.)</t>
  </si>
  <si>
    <t>Gebäude für Gesundheit und Pflege (3)
Beherbergungs- oder Unterbringungsgebäude, Gastronomie- oder Verpflegungsgebäude (7)</t>
  </si>
  <si>
    <t>Gebäudetyp</t>
  </si>
  <si>
    <t>Gewerbe, Handel, Dienstleistungen</t>
  </si>
  <si>
    <t>Baualtersklasse</t>
  </si>
  <si>
    <t>Nutzenergie-verbrauch</t>
  </si>
  <si>
    <t>Status Quo</t>
  </si>
  <si>
    <t>mittlere jährliche Reduktion um</t>
  </si>
  <si>
    <t>Reduktion bis 2045 auf</t>
  </si>
  <si>
    <t>Nutzenergieverbrauch NWG 
nach Branche</t>
  </si>
  <si>
    <t>Wäschereien</t>
  </si>
  <si>
    <t>Beherbergung, Gastsstätten, Heime</t>
  </si>
  <si>
    <t>Kultur</t>
  </si>
  <si>
    <t>Sport</t>
  </si>
  <si>
    <t>Bildung</t>
  </si>
  <si>
    <t>Baugewerbe</t>
  </si>
  <si>
    <t>bis 1978</t>
  </si>
  <si>
    <t>niedrig</t>
  </si>
  <si>
    <t>kWh/(m²*a)</t>
  </si>
  <si>
    <t>hoch</t>
  </si>
  <si>
    <t>bis 2009</t>
  </si>
  <si>
    <t>ab 2010</t>
  </si>
  <si>
    <t>Branchenkorrekturfaktoren</t>
  </si>
  <si>
    <r>
      <t>Branchenfaktor (f</t>
    </r>
    <r>
      <rPr>
        <vertAlign val="subscript"/>
        <sz val="8"/>
        <color rgb="FF666F77"/>
        <rFont val="Calibri"/>
        <family val="2"/>
        <scheme val="minor"/>
      </rPr>
      <t>B</t>
    </r>
    <r>
      <rPr>
        <sz val="8"/>
        <color rgb="FF666F77"/>
        <rFont val="Calibri"/>
        <family val="2"/>
        <scheme val="minor"/>
      </rPr>
      <t>)</t>
    </r>
  </si>
  <si>
    <r>
      <t>Warmwasserfaktor  (f</t>
    </r>
    <r>
      <rPr>
        <vertAlign val="subscript"/>
        <sz val="8"/>
        <color rgb="FF666F77"/>
        <rFont val="Calibri"/>
        <family val="2"/>
        <scheme val="minor"/>
      </rPr>
      <t>WW</t>
    </r>
    <r>
      <rPr>
        <sz val="8"/>
        <color rgb="FF666F77"/>
        <rFont val="Calibri"/>
        <family val="2"/>
        <scheme val="minor"/>
      </rPr>
      <t>)</t>
    </r>
  </si>
  <si>
    <r>
      <t>Prozesswärmefaktor (f</t>
    </r>
    <r>
      <rPr>
        <vertAlign val="subscript"/>
        <sz val="8"/>
        <color rgb="FF666F77"/>
        <rFont val="Calibri"/>
        <family val="2"/>
        <scheme val="minor"/>
      </rPr>
      <t>PW</t>
    </r>
    <r>
      <rPr>
        <sz val="8"/>
        <color rgb="FF666F77"/>
        <rFont val="Calibri"/>
        <family val="2"/>
        <scheme val="minor"/>
      </rPr>
      <t>)</t>
    </r>
  </si>
  <si>
    <r>
      <t>Branchenkorrekturfaktor Gesamt (f</t>
    </r>
    <r>
      <rPr>
        <vertAlign val="subscript"/>
        <sz val="8"/>
        <color rgb="FF666F77"/>
        <rFont val="Calibri"/>
        <family val="2"/>
        <scheme val="minor"/>
      </rPr>
      <t>G</t>
    </r>
    <r>
      <rPr>
        <sz val="8"/>
        <color rgb="FF666F77"/>
        <rFont val="Calibri"/>
        <family val="2"/>
        <scheme val="minor"/>
      </rPr>
      <t>)</t>
    </r>
  </si>
  <si>
    <t>Langfristszenarien für die Transformation des Energiesystems in Deutschland, Fraunhofer ISI, ifeu GmbH et al.,  Stand 2022</t>
  </si>
  <si>
    <t>niedriger Pfad: T45 RedEff-Szenario Langfristszenarien</t>
  </si>
  <si>
    <t>hoher Pfad: T45 Strom-Szenario der Langfristszenarien</t>
  </si>
  <si>
    <t>Status Quo: Nichtwohngebaeude-Typologie-Deutschland, Institut für Wohnen und Umwelt, 2022</t>
  </si>
  <si>
    <t>Energieverbrauch des Sektors Gewerbe, Handel, Dienstleistungen (GHD) in Deutschland für die Jahre 2011 bis 2013, Fraunhofer ISI Stand 2015</t>
  </si>
  <si>
    <t>Nutzenergieverbrauch NWG nach Branche</t>
  </si>
  <si>
    <t>Nahrungsmittel-gewerbe</t>
  </si>
  <si>
    <t>Herstellungs-betriebe</t>
  </si>
  <si>
    <t>kWh/m²*a</t>
  </si>
  <si>
    <t>Branchenkorrekturfaktor</t>
  </si>
  <si>
    <t>Erstellung von Anwendungsbilanzen für die Jahre 2021 bis 2023 für die Sektoren Industrie und GHD, Fraunhofer ISI, Stand 2022</t>
  </si>
  <si>
    <t>Ein- und Zweifamilienhaus</t>
  </si>
  <si>
    <t xml:space="preserve">Nutzenergieverbrauch für Heizung und Warmwasser </t>
  </si>
  <si>
    <t>bis 1918</t>
  </si>
  <si>
    <t>1919-1948</t>
  </si>
  <si>
    <t>1949-1978</t>
  </si>
  <si>
    <t>1979-1994</t>
  </si>
  <si>
    <t>1995-2011</t>
  </si>
  <si>
    <t>2012-2020</t>
  </si>
  <si>
    <t>2021-2035</t>
  </si>
  <si>
    <t>niedriger Pfad: T45 RedEff-Szenario der Langfristszenarien</t>
  </si>
  <si>
    <t>Status Quo nach BMWi (2019): Energieeffizienz in Zahlen; AG Energiebilanzen e.V.: Anwendungsbilanzen; Destatis: Umweltökonomische Gesamtrechnungen Energiegesamtrechnung</t>
  </si>
  <si>
    <t>Mehrfamilienhaus</t>
  </si>
  <si>
    <t>Nutzenergie</t>
  </si>
  <si>
    <t>1995-2009</t>
  </si>
  <si>
    <t>2010-2020</t>
  </si>
  <si>
    <t>2012-2035</t>
  </si>
  <si>
    <t>Die ausschließlichen und unbeschränkten Nutzungsrechte an diesem Technikkatalog liegen beim Bundesministerium für Wirtschaft und Klimaschutz.</t>
  </si>
  <si>
    <t>Die Inhalte dieses Technikkatalogs dürfen genutzt, geteilt und bearbeitet werden, auch kommerziell, solange die ursprüngliche Publikation, der Nutzungsrechteinhaber, hier das Bundesministerium für Wirtschaft und Klimaschutz, und der Urheber genannt sowie die Bearbeitungen kenntlich gemacht werden. Details und Beispiele für den Quellenverweis siehe</t>
  </si>
  <si>
    <t>Der Technikkatalog wurde im Auftrag des BMWK unter Beteiligung des BMWSB erstellt.</t>
  </si>
  <si>
    <t>Nutzung unter Nennung des Nutzungsrechteinhabers und der Urheber gestattet (CC-BY 4.0)</t>
  </si>
  <si>
    <r>
      <rPr>
        <b/>
        <sz val="10.5"/>
        <color rgb="FFFFFFFF"/>
        <rFont val="Calibri"/>
        <family val="2"/>
        <scheme val="minor"/>
      </rPr>
      <t>Technikkatalog (Langreder et al. 2024, im Auftrag des BMWK)</t>
    </r>
    <r>
      <rPr>
        <sz val="10.5"/>
        <color rgb="FFFFFFFF"/>
        <rFont val="Calibri"/>
        <family val="2"/>
        <scheme val="minor"/>
      </rPr>
      <t xml:space="preserve">
Langreder, Nora; Lettow, Frederik; Sahnoun, Malek; Kreidelmeyer, Sven; Wünsch, Aurel; Lengning, Saskia et al. (2024): Technikkatalog Wärmeplanung. Hg. v. ifeu – Institut für Energie- und Umweltforschung Heidelberg, Öko-Institut e.V., IER Stuttgart, adelphi consult GmbH, Becker Büttner Held PartGmbB, Prognos AG, et al., im Auftrag des BMWK. Online verfügbar unter [https://www.kww-halle.de/praxis-kommunale-waermewende/bundesgesetz-zur-waermeplanung], zuletzt geprüft am [Datum einfügen].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</si>
</sst>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8" x14ac:knownFonts="1">
    <font>
      <sz val="11"/>
      <color theme="1"/>
      <name val="Calibri"/>
      <family val="2"/>
      <scheme val="minor"/>
    </font>
    <font>
      <sz val="8"/>
      <color rgb="FF000000"/>
      <name val="Franklin Gothic Demi"/>
      <family val="2"/>
    </font>
    <font>
      <sz val="8"/>
      <color rgb="FF666F77"/>
      <name val="Calibri"/>
      <family val="2"/>
      <scheme val="minor"/>
    </font>
    <font>
      <sz val="8"/>
      <color theme="1"/>
      <name val="Franklin Gothic Demi"/>
      <family val="2"/>
    </font>
    <font>
      <sz val="8"/>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8"/>
      <color rgb="FF000000"/>
      <name val="Franklin Gothic Book"/>
      <family val="2"/>
    </font>
    <font>
      <vertAlign val="subscript"/>
      <sz val="8"/>
      <color rgb="FF666F77"/>
      <name val="Calibri"/>
      <family val="2"/>
      <scheme val="minor"/>
    </font>
    <font>
      <sz val="11"/>
      <name val="Calibri"/>
      <family val="2"/>
      <scheme val="minor"/>
    </font>
    <font>
      <b/>
      <sz val="8"/>
      <color rgb="FF000000"/>
      <name val="Franklin Gothic Book"/>
      <family val="2"/>
    </font>
    <font>
      <u/>
      <sz val="10"/>
      <color theme="0"/>
      <name val="Calibri"/>
      <family val="2"/>
      <scheme val="minor"/>
    </font>
    <font>
      <b/>
      <sz val="16"/>
      <color rgb="FFFF9900"/>
      <name val="Calibri"/>
      <family val="2"/>
      <scheme val="minor"/>
    </font>
    <font>
      <sz val="11"/>
      <color rgb="FFFF9900"/>
      <name val="Calibri"/>
      <family val="2"/>
      <scheme val="minor"/>
    </font>
    <font>
      <b/>
      <sz val="10.5"/>
      <color rgb="FFFFFFFF"/>
      <name val="Calibri"/>
      <family val="2"/>
      <scheme val="minor"/>
    </font>
    <font>
      <sz val="10.5"/>
      <color rgb="FFFFFFFF"/>
      <name val="Calibri Light"/>
      <family val="2"/>
    </font>
    <font>
      <b/>
      <sz val="10.5"/>
      <color rgb="FFFFFFFF"/>
      <name val="Calibri Light"/>
      <family val="2"/>
    </font>
    <font>
      <sz val="10.5"/>
      <color rgb="FFFFFFFF"/>
      <name val="Calibri"/>
      <family val="2"/>
      <scheme val="minor"/>
    </font>
    <font>
      <sz val="8"/>
      <name val="Franklin Gothic Demi"/>
      <family val="2"/>
    </font>
    <font>
      <u/>
      <sz val="11"/>
      <name val="Calibri"/>
      <family val="2"/>
      <scheme val="minor"/>
    </font>
    <font>
      <sz val="10"/>
      <color rgb="FF000000"/>
      <name val="Franklin Gothic Demi"/>
      <family val="2"/>
    </font>
    <font>
      <sz val="11"/>
      <color rgb="FF666F77"/>
      <name val="Calibri"/>
      <family val="2"/>
      <scheme val="minor"/>
    </font>
    <font>
      <b/>
      <sz val="20"/>
      <color rgb="FFFF9900"/>
      <name val="Calibri"/>
      <family val="2"/>
      <scheme val="minor"/>
    </font>
    <font>
      <sz val="11"/>
      <color theme="0"/>
      <name val="Calibri"/>
      <family val="2"/>
      <scheme val="minor"/>
    </font>
    <font>
      <u/>
      <sz val="11"/>
      <color theme="0"/>
      <name val="Calibri"/>
      <family val="2"/>
      <scheme val="minor"/>
    </font>
    <font>
      <sz val="8"/>
      <color rgb="FF000000"/>
      <name val="Franklin Gothic Demi"/>
      <family val="2"/>
    </font>
    <font>
      <sz val="8"/>
      <color theme="1"/>
      <name val="Franklin Gothic Demi"/>
      <family val="2"/>
    </font>
  </fonts>
  <fills count="6">
    <fill>
      <patternFill patternType="none"/>
    </fill>
    <fill>
      <patternFill patternType="gray125"/>
    </fill>
    <fill>
      <patternFill patternType="solid">
        <fgColor rgb="FFE1E4E6"/>
        <bgColor indexed="64"/>
      </patternFill>
    </fill>
    <fill>
      <patternFill patternType="solid">
        <fgColor rgb="FFE1E4E6"/>
        <bgColor rgb="FF000000"/>
      </patternFill>
    </fill>
    <fill>
      <patternFill patternType="solid">
        <fgColor rgb="FF006666"/>
        <bgColor indexed="64"/>
      </patternFill>
    </fill>
    <fill>
      <patternFill patternType="solid">
        <fgColor theme="0"/>
        <bgColor indexed="64"/>
      </patternFill>
    </fill>
  </fills>
  <borders count="3">
    <border>
      <left/>
      <right/>
      <top/>
      <bottom/>
      <diagonal/>
    </border>
    <border>
      <left/>
      <right/>
      <top/>
      <bottom style="medium">
        <color rgb="FF666F77"/>
      </bottom>
      <diagonal/>
    </border>
    <border>
      <left/>
      <right/>
      <top style="medium">
        <color rgb="FF666F77"/>
      </top>
      <bottom/>
      <diagonal/>
    </border>
  </borders>
  <cellStyleXfs count="4">
    <xf numFmtId="0" fontId="0" fillId="0" borderId="0"/>
    <xf numFmtId="43" fontId="5" fillId="0" borderId="0" applyFont="0" applyFill="0" applyBorder="0" applyAlignment="0" applyProtection="0"/>
    <xf numFmtId="9" fontId="5" fillId="0" borderId="0" applyFont="0" applyFill="0" applyBorder="0" applyAlignment="0" applyProtection="0"/>
    <xf numFmtId="0" fontId="7" fillId="0" borderId="0" applyNumberFormat="0" applyFill="0" applyBorder="0" applyAlignment="0" applyProtection="0"/>
  </cellStyleXfs>
  <cellXfs count="69">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right" vertical="center"/>
    </xf>
    <xf numFmtId="0" fontId="2" fillId="0" borderId="1" xfId="0" applyFont="1" applyBorder="1" applyAlignment="1">
      <alignment vertical="center"/>
    </xf>
    <xf numFmtId="0" fontId="3" fillId="0" borderId="0" xfId="0" applyFont="1"/>
    <xf numFmtId="3" fontId="2" fillId="0" borderId="1" xfId="0" applyNumberFormat="1" applyFont="1" applyBorder="1" applyAlignment="1">
      <alignment horizontal="left" vertical="center"/>
    </xf>
    <xf numFmtId="0" fontId="1" fillId="2" borderId="1" xfId="0" applyFont="1" applyFill="1" applyBorder="1" applyAlignment="1">
      <alignment horizontal="right" vertical="center" wrapText="1"/>
    </xf>
    <xf numFmtId="1" fontId="0" fillId="0" borderId="0" xfId="0" applyNumberFormat="1"/>
    <xf numFmtId="0" fontId="2" fillId="0" borderId="0" xfId="0" applyFont="1" applyAlignment="1">
      <alignment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3" fontId="2" fillId="0" borderId="1" xfId="0" applyNumberFormat="1" applyFont="1" applyBorder="1" applyAlignment="1">
      <alignment horizontal="right" vertical="center"/>
    </xf>
    <xf numFmtId="164" fontId="2" fillId="0" borderId="1" xfId="1" applyNumberFormat="1" applyFont="1" applyBorder="1" applyAlignment="1">
      <alignment vertical="center"/>
    </xf>
    <xf numFmtId="9" fontId="0" fillId="0" borderId="0" xfId="2" applyFont="1"/>
    <xf numFmtId="9" fontId="2" fillId="0" borderId="1" xfId="2" applyFont="1" applyBorder="1" applyAlignment="1">
      <alignment vertical="center"/>
    </xf>
    <xf numFmtId="164" fontId="2" fillId="0" borderId="1" xfId="1" applyNumberFormat="1" applyFont="1" applyBorder="1" applyAlignment="1">
      <alignment horizontal="right" vertical="center"/>
    </xf>
    <xf numFmtId="0" fontId="2" fillId="0" borderId="1" xfId="0" applyFont="1" applyBorder="1" applyAlignment="1">
      <alignment vertical="center" wrapText="1"/>
    </xf>
    <xf numFmtId="0" fontId="10" fillId="0" borderId="0" xfId="0" applyFont="1"/>
    <xf numFmtId="0" fontId="2" fillId="0" borderId="1" xfId="0" applyFont="1" applyBorder="1" applyAlignment="1">
      <alignment horizontal="left" vertical="center" wrapText="1"/>
    </xf>
    <xf numFmtId="3" fontId="2" fillId="0" borderId="1" xfId="0" applyNumberFormat="1" applyFont="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165" fontId="2" fillId="0" borderId="1" xfId="2" applyNumberFormat="1" applyFont="1" applyBorder="1" applyAlignment="1">
      <alignment vertical="center"/>
    </xf>
    <xf numFmtId="165" fontId="0" fillId="0" borderId="0" xfId="0" applyNumberFormat="1"/>
    <xf numFmtId="164" fontId="0" fillId="0" borderId="0" xfId="1" applyNumberFormat="1" applyFont="1"/>
    <xf numFmtId="0" fontId="1" fillId="3" borderId="1" xfId="0" applyFont="1" applyFill="1" applyBorder="1" applyAlignment="1">
      <alignment vertical="center" wrapText="1"/>
    </xf>
    <xf numFmtId="0" fontId="7" fillId="0" borderId="0" xfId="3" applyAlignment="1"/>
    <xf numFmtId="164" fontId="2" fillId="0" borderId="1" xfId="1" applyNumberFormat="1" applyFont="1" applyFill="1" applyBorder="1" applyAlignment="1">
      <alignment vertical="center"/>
    </xf>
    <xf numFmtId="0" fontId="12" fillId="4" borderId="0" xfId="3" applyFont="1" applyFill="1" applyAlignment="1">
      <alignment vertical="center" wrapText="1"/>
    </xf>
    <xf numFmtId="0" fontId="0" fillId="4" borderId="0" xfId="0" applyFill="1"/>
    <xf numFmtId="0" fontId="13" fillId="4" borderId="0" xfId="0" applyFont="1" applyFill="1"/>
    <xf numFmtId="0" fontId="14" fillId="4" borderId="0" xfId="0" applyFont="1" applyFill="1"/>
    <xf numFmtId="0" fontId="15" fillId="4" borderId="0" xfId="0" applyFont="1" applyFill="1" applyAlignment="1">
      <alignment horizontal="left" vertical="center" readingOrder="1"/>
    </xf>
    <xf numFmtId="0" fontId="16" fillId="4" borderId="0" xfId="0" applyFont="1" applyFill="1" applyAlignment="1">
      <alignment horizontal="left" vertical="center" readingOrder="1"/>
    </xf>
    <xf numFmtId="0" fontId="17" fillId="4" borderId="0" xfId="0" applyFont="1" applyFill="1" applyAlignment="1">
      <alignment horizontal="left" vertical="center" readingOrder="1"/>
    </xf>
    <xf numFmtId="0" fontId="18" fillId="4" borderId="0" xfId="0" applyFont="1" applyFill="1" applyAlignment="1">
      <alignment horizontal="left" vertical="center" readingOrder="1"/>
    </xf>
    <xf numFmtId="17" fontId="15" fillId="4" borderId="0" xfId="0" applyNumberFormat="1" applyFont="1" applyFill="1" applyAlignment="1">
      <alignment horizontal="left" vertical="center" readingOrder="1"/>
    </xf>
    <xf numFmtId="0" fontId="19" fillId="0" borderId="0" xfId="0" applyFont="1"/>
    <xf numFmtId="0" fontId="19" fillId="2" borderId="1" xfId="0" applyFont="1" applyFill="1" applyBorder="1" applyAlignment="1">
      <alignment vertical="center"/>
    </xf>
    <xf numFmtId="0" fontId="19" fillId="2" borderId="1" xfId="0" applyFont="1" applyFill="1" applyBorder="1" applyAlignment="1">
      <alignment horizontal="right" vertical="center"/>
    </xf>
    <xf numFmtId="0" fontId="19" fillId="2" borderId="1" xfId="0" applyFont="1" applyFill="1" applyBorder="1" applyAlignment="1">
      <alignment vertical="center" wrapText="1"/>
    </xf>
    <xf numFmtId="0" fontId="19" fillId="2" borderId="1" xfId="0" applyFont="1" applyFill="1" applyBorder="1" applyAlignment="1">
      <alignment horizontal="right" vertical="center" wrapText="1"/>
    </xf>
    <xf numFmtId="0" fontId="19" fillId="3" borderId="1" xfId="0" applyFont="1" applyFill="1" applyBorder="1" applyAlignment="1">
      <alignment wrapText="1"/>
    </xf>
    <xf numFmtId="165" fontId="10" fillId="0" borderId="0" xfId="0" applyNumberFormat="1" applyFont="1"/>
    <xf numFmtId="9" fontId="10" fillId="0" borderId="0" xfId="0" applyNumberFormat="1" applyFont="1"/>
    <xf numFmtId="0" fontId="20" fillId="0" borderId="0" xfId="3" applyFont="1" applyAlignment="1">
      <alignment wrapText="1"/>
    </xf>
    <xf numFmtId="0" fontId="0" fillId="5" borderId="0" xfId="0" applyFill="1"/>
    <xf numFmtId="0" fontId="7" fillId="5" borderId="0" xfId="3" applyFill="1"/>
    <xf numFmtId="0" fontId="6" fillId="5" borderId="0" xfId="0" applyFont="1" applyFill="1"/>
    <xf numFmtId="0" fontId="7" fillId="5" borderId="0" xfId="3" applyFill="1" applyAlignment="1">
      <alignment wrapText="1"/>
    </xf>
    <xf numFmtId="0" fontId="22" fillId="0" borderId="0" xfId="0" applyFont="1"/>
    <xf numFmtId="0" fontId="21" fillId="5" borderId="1" xfId="0" applyFont="1" applyFill="1" applyBorder="1" applyAlignment="1">
      <alignment vertical="center"/>
    </xf>
    <xf numFmtId="0" fontId="23" fillId="4" borderId="0" xfId="0" applyFont="1" applyFill="1"/>
    <xf numFmtId="0" fontId="24" fillId="4" borderId="0" xfId="0" applyFont="1" applyFill="1"/>
    <xf numFmtId="0" fontId="25" fillId="4" borderId="0" xfId="3" applyFont="1" applyFill="1"/>
    <xf numFmtId="0" fontId="12" fillId="0" borderId="0" xfId="3" applyFont="1" applyFill="1" applyAlignment="1">
      <alignment vertical="center" wrapText="1"/>
    </xf>
    <xf numFmtId="0" fontId="26" fillId="2" borderId="1" xfId="0" applyFont="1" applyFill="1" applyBorder="1" applyAlignment="1">
      <alignment horizontal="left" vertical="center" wrapText="1"/>
    </xf>
    <xf numFmtId="0" fontId="27" fillId="0" borderId="0" xfId="0" applyFont="1" applyAlignment="1">
      <alignment vertical="top"/>
    </xf>
    <xf numFmtId="0" fontId="0" fillId="0" borderId="0" xfId="0" applyAlignment="1">
      <alignment vertical="top"/>
    </xf>
    <xf numFmtId="0" fontId="16" fillId="4" borderId="0" xfId="0" applyFont="1" applyFill="1" applyAlignment="1">
      <alignment horizontal="left" vertical="top" wrapText="1" readingOrder="1"/>
    </xf>
    <xf numFmtId="17" fontId="18" fillId="4" borderId="0" xfId="0" applyNumberFormat="1" applyFont="1" applyFill="1" applyAlignment="1">
      <alignment horizontal="left" vertical="top" wrapText="1" readingOrder="1"/>
    </xf>
    <xf numFmtId="0" fontId="18" fillId="4" borderId="0" xfId="0" applyFont="1" applyFill="1" applyAlignment="1">
      <alignment horizontal="left" vertical="center" wrapText="1" readingOrder="1"/>
    </xf>
    <xf numFmtId="0" fontId="26" fillId="2" borderId="1" xfId="0" applyFont="1" applyFill="1" applyBorder="1" applyAlignment="1">
      <alignment horizontal="left" vertical="center"/>
    </xf>
    <xf numFmtId="0" fontId="2" fillId="0" borderId="0" xfId="0" applyFont="1" applyAlignment="1">
      <alignment horizontal="left" vertical="top" wrapText="1"/>
    </xf>
    <xf numFmtId="164" fontId="2" fillId="0" borderId="2" xfId="1" applyNumberFormat="1" applyFont="1" applyBorder="1" applyAlignment="1">
      <alignment horizontal="center" vertical="center"/>
    </xf>
    <xf numFmtId="164" fontId="2" fillId="0" borderId="1" xfId="1" applyNumberFormat="1"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cellXfs>
  <cellStyles count="4">
    <cellStyle name="Komma" xfId="1" builtinId="3"/>
    <cellStyle name="Link" xfId="3" builtinId="8"/>
    <cellStyle name="Prozent" xfId="2" builtinId="5"/>
    <cellStyle name="Standard" xfId="0" builtinId="0"/>
  </cellStyles>
  <dxfs count="0"/>
  <tableStyles count="0" defaultTableStyle="TableStyleMedium2" defaultPivotStyle="PivotStyleLight16"/>
  <colors>
    <mruColors>
      <color rgb="FF666F77"/>
      <color rgb="FFFF9900"/>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eativecommons.org/licenses/by/4.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3C78-B12C-4089-869B-ECB33AD76581}">
  <sheetPr codeName="Tabelle1"/>
  <dimension ref="A1:I48"/>
  <sheetViews>
    <sheetView tabSelected="1" zoomScaleNormal="100" zoomScaleSheetLayoutView="85" workbookViewId="0">
      <selection activeCell="O34" sqref="O34"/>
    </sheetView>
  </sheetViews>
  <sheetFormatPr baseColWidth="10" defaultColWidth="11.42578125" defaultRowHeight="15" x14ac:dyDescent="0.25"/>
  <sheetData>
    <row r="1" spans="1:9" x14ac:dyDescent="0.25">
      <c r="A1" s="30"/>
      <c r="B1" s="30"/>
      <c r="C1" s="30"/>
      <c r="D1" s="30"/>
      <c r="E1" s="30"/>
      <c r="F1" s="30"/>
      <c r="G1" s="30"/>
      <c r="H1" s="30"/>
      <c r="I1" s="30"/>
    </row>
    <row r="2" spans="1:9" ht="21" x14ac:dyDescent="0.35">
      <c r="A2" s="30"/>
      <c r="B2" s="31"/>
      <c r="C2" s="30"/>
      <c r="D2" s="30"/>
      <c r="E2" s="30"/>
      <c r="F2" s="30"/>
      <c r="G2" s="30"/>
      <c r="H2" s="30"/>
      <c r="I2" s="30"/>
    </row>
    <row r="3" spans="1:9" ht="26.25" x14ac:dyDescent="0.4">
      <c r="A3" s="30"/>
      <c r="B3" s="53" t="s">
        <v>0</v>
      </c>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2" t="s">
        <v>337</v>
      </c>
      <c r="C6" s="30"/>
      <c r="D6" s="30"/>
      <c r="E6" s="30"/>
      <c r="F6" s="30"/>
      <c r="G6" s="30"/>
      <c r="H6" s="30"/>
      <c r="I6" s="30"/>
    </row>
    <row r="7" spans="1:9" ht="29.45" customHeight="1" x14ac:dyDescent="0.25">
      <c r="A7" s="30"/>
      <c r="B7" s="62" t="s">
        <v>335</v>
      </c>
      <c r="C7" s="62"/>
      <c r="D7" s="62"/>
      <c r="E7" s="62"/>
      <c r="F7" s="62"/>
      <c r="G7" s="62"/>
      <c r="H7" s="62"/>
      <c r="I7" s="30"/>
    </row>
    <row r="8" spans="1:9" x14ac:dyDescent="0.25">
      <c r="A8" s="30"/>
      <c r="B8" s="30"/>
      <c r="C8" s="30"/>
      <c r="D8" s="30"/>
      <c r="E8" s="30"/>
      <c r="F8" s="30"/>
      <c r="G8" s="30"/>
      <c r="H8" s="30"/>
      <c r="I8" s="30"/>
    </row>
    <row r="9" spans="1:9" x14ac:dyDescent="0.25">
      <c r="A9" s="30"/>
      <c r="B9" s="32" t="s">
        <v>1</v>
      </c>
      <c r="C9" s="30"/>
      <c r="D9" s="30"/>
      <c r="E9" s="30"/>
      <c r="F9" s="30"/>
      <c r="G9" s="30"/>
      <c r="H9" s="30"/>
      <c r="I9" s="30"/>
    </row>
    <row r="10" spans="1:9" x14ac:dyDescent="0.25">
      <c r="A10" s="30"/>
      <c r="B10" s="33" t="s">
        <v>2</v>
      </c>
      <c r="C10" s="30"/>
      <c r="D10" s="30"/>
      <c r="E10" s="30"/>
      <c r="F10" s="30"/>
      <c r="G10" s="30"/>
      <c r="H10" s="30"/>
      <c r="I10" s="30"/>
    </row>
    <row r="11" spans="1:9" x14ac:dyDescent="0.25">
      <c r="A11" s="30"/>
      <c r="B11" s="34" t="s">
        <v>3</v>
      </c>
      <c r="C11" s="30"/>
      <c r="D11" s="30"/>
      <c r="E11" s="30"/>
      <c r="F11" s="30"/>
      <c r="G11" s="30"/>
      <c r="H11" s="30"/>
      <c r="I11" s="30"/>
    </row>
    <row r="12" spans="1:9" x14ac:dyDescent="0.25">
      <c r="A12" s="30"/>
      <c r="B12" s="34" t="s">
        <v>4</v>
      </c>
      <c r="C12" s="30"/>
      <c r="D12" s="30"/>
      <c r="E12" s="30"/>
      <c r="F12" s="30"/>
      <c r="G12" s="30"/>
      <c r="H12" s="30"/>
      <c r="I12" s="30"/>
    </row>
    <row r="13" spans="1:9" x14ac:dyDescent="0.25">
      <c r="A13" s="30"/>
      <c r="B13" s="35" t="s">
        <v>5</v>
      </c>
      <c r="C13" s="30"/>
      <c r="D13" s="30"/>
      <c r="E13" s="30"/>
      <c r="F13" s="30"/>
      <c r="G13" s="30"/>
      <c r="H13" s="30"/>
      <c r="I13" s="30"/>
    </row>
    <row r="14" spans="1:9" x14ac:dyDescent="0.25">
      <c r="A14" s="30"/>
      <c r="B14" s="36" t="s">
        <v>6</v>
      </c>
      <c r="C14" s="30"/>
      <c r="D14" s="30"/>
      <c r="E14" s="30"/>
      <c r="F14" s="30"/>
      <c r="G14" s="30"/>
      <c r="H14" s="30"/>
      <c r="I14" s="30"/>
    </row>
    <row r="15" spans="1:9" x14ac:dyDescent="0.25">
      <c r="A15" s="30"/>
      <c r="B15" s="33" t="s">
        <v>7</v>
      </c>
      <c r="C15" s="30"/>
      <c r="D15" s="30"/>
      <c r="E15" s="30"/>
      <c r="F15" s="30"/>
      <c r="G15" s="30"/>
      <c r="H15" s="30"/>
      <c r="I15" s="30"/>
    </row>
    <row r="16" spans="1:9" x14ac:dyDescent="0.25">
      <c r="A16" s="30"/>
      <c r="B16" s="36" t="s">
        <v>8</v>
      </c>
      <c r="C16" s="30"/>
      <c r="D16" s="30"/>
      <c r="E16" s="30"/>
      <c r="F16" s="30"/>
      <c r="G16" s="30"/>
      <c r="H16" s="30"/>
      <c r="I16" s="30"/>
    </row>
    <row r="17" spans="1:9" x14ac:dyDescent="0.25">
      <c r="A17" s="30"/>
      <c r="B17" s="36"/>
      <c r="C17" s="30"/>
      <c r="D17" s="30"/>
      <c r="E17" s="30"/>
      <c r="F17" s="30"/>
      <c r="G17" s="30"/>
      <c r="H17" s="30"/>
      <c r="I17" s="30"/>
    </row>
    <row r="18" spans="1:9" x14ac:dyDescent="0.25">
      <c r="A18" s="30"/>
      <c r="B18" s="32" t="s">
        <v>9</v>
      </c>
      <c r="C18" s="30"/>
      <c r="D18" s="30"/>
      <c r="E18" s="30"/>
      <c r="F18" s="30"/>
      <c r="G18" s="30"/>
      <c r="H18" s="30"/>
      <c r="I18" s="30"/>
    </row>
    <row r="19" spans="1:9" x14ac:dyDescent="0.25">
      <c r="A19" s="30"/>
      <c r="B19" s="37" t="s">
        <v>10</v>
      </c>
      <c r="C19" s="30"/>
      <c r="D19" s="30"/>
      <c r="E19" s="30"/>
      <c r="F19" s="30"/>
      <c r="G19" s="30"/>
      <c r="H19" s="30"/>
      <c r="I19" s="30"/>
    </row>
    <row r="20" spans="1:9" x14ac:dyDescent="0.25">
      <c r="A20" s="30"/>
      <c r="B20" s="30"/>
      <c r="C20" s="30"/>
      <c r="D20" s="30"/>
      <c r="E20" s="30"/>
      <c r="F20" s="30"/>
      <c r="G20" s="30"/>
      <c r="H20" s="30"/>
      <c r="I20" s="30"/>
    </row>
    <row r="21" spans="1:9" x14ac:dyDescent="0.25">
      <c r="A21" s="30"/>
      <c r="B21" s="32" t="s">
        <v>338</v>
      </c>
      <c r="C21" s="30"/>
      <c r="D21" s="30"/>
      <c r="E21" s="30"/>
      <c r="F21" s="30"/>
      <c r="G21" s="30"/>
      <c r="H21" s="30"/>
      <c r="I21" s="30"/>
    </row>
    <row r="22" spans="1:9" x14ac:dyDescent="0.25">
      <c r="A22" s="30"/>
      <c r="B22" s="60" t="s">
        <v>336</v>
      </c>
      <c r="C22" s="60"/>
      <c r="D22" s="60"/>
      <c r="E22" s="60"/>
      <c r="F22" s="60"/>
      <c r="G22" s="60"/>
      <c r="H22" s="60"/>
      <c r="I22" s="30"/>
    </row>
    <row r="23" spans="1:9" x14ac:dyDescent="0.25">
      <c r="A23" s="30"/>
      <c r="B23" s="60"/>
      <c r="C23" s="60"/>
      <c r="D23" s="60"/>
      <c r="E23" s="60"/>
      <c r="F23" s="60"/>
      <c r="G23" s="60"/>
      <c r="H23" s="60"/>
      <c r="I23" s="30"/>
    </row>
    <row r="24" spans="1:9" ht="30" customHeight="1" x14ac:dyDescent="0.25">
      <c r="A24" s="30"/>
      <c r="B24" s="60"/>
      <c r="C24" s="60"/>
      <c r="D24" s="60"/>
      <c r="E24" s="60"/>
      <c r="F24" s="60"/>
      <c r="G24" s="60"/>
      <c r="H24" s="60"/>
      <c r="I24" s="30"/>
    </row>
    <row r="25" spans="1:9" x14ac:dyDescent="0.25">
      <c r="A25" s="30"/>
      <c r="B25" s="55" t="s">
        <v>11</v>
      </c>
      <c r="C25" s="30"/>
      <c r="D25" s="30"/>
      <c r="E25" s="30"/>
      <c r="F25" s="30"/>
      <c r="G25" s="30"/>
      <c r="H25" s="30"/>
      <c r="I25" s="30"/>
    </row>
    <row r="26" spans="1:9" x14ac:dyDescent="0.25">
      <c r="A26" s="30"/>
      <c r="B26" s="55"/>
      <c r="C26" s="30"/>
      <c r="D26" s="30"/>
      <c r="E26" s="30"/>
      <c r="F26" s="30"/>
      <c r="G26" s="30"/>
      <c r="H26" s="30"/>
      <c r="I26" s="30"/>
    </row>
    <row r="27" spans="1:9" x14ac:dyDescent="0.25">
      <c r="A27" s="30"/>
      <c r="B27" s="32" t="s">
        <v>12</v>
      </c>
      <c r="C27" s="30"/>
      <c r="D27" s="30"/>
      <c r="E27" s="30"/>
      <c r="F27" s="30"/>
      <c r="G27" s="30"/>
      <c r="H27" s="30"/>
      <c r="I27" s="30"/>
    </row>
    <row r="28" spans="1:9" ht="102.6" customHeight="1" x14ac:dyDescent="0.25">
      <c r="A28" s="30"/>
      <c r="B28" s="61" t="s">
        <v>339</v>
      </c>
      <c r="C28" s="61"/>
      <c r="D28" s="61"/>
      <c r="E28" s="61"/>
      <c r="F28" s="61"/>
      <c r="G28" s="61"/>
      <c r="H28" s="61"/>
      <c r="I28" s="30"/>
    </row>
    <row r="29" spans="1:9" x14ac:dyDescent="0.25">
      <c r="A29" s="30"/>
      <c r="B29" s="54"/>
      <c r="C29" s="30"/>
      <c r="D29" s="30"/>
      <c r="E29" s="30"/>
      <c r="F29" s="30"/>
      <c r="G29" s="30"/>
      <c r="H29" s="30"/>
      <c r="I29" s="30"/>
    </row>
    <row r="30" spans="1:9" x14ac:dyDescent="0.25">
      <c r="A30" s="30"/>
      <c r="B30" s="55" t="s">
        <v>13</v>
      </c>
      <c r="C30" s="30"/>
      <c r="D30" s="30"/>
      <c r="E30" s="30"/>
      <c r="F30" s="30"/>
      <c r="G30" s="30"/>
      <c r="H30" s="30"/>
      <c r="I30" s="30"/>
    </row>
    <row r="31" spans="1:9" x14ac:dyDescent="0.25">
      <c r="A31" s="30"/>
      <c r="B31" s="30"/>
      <c r="C31" s="30"/>
      <c r="D31" s="30"/>
      <c r="E31" s="30"/>
      <c r="F31" s="30"/>
      <c r="G31" s="30"/>
      <c r="H31" s="30"/>
      <c r="I31" s="30"/>
    </row>
    <row r="32" spans="1:9" x14ac:dyDescent="0.25">
      <c r="A32" s="30"/>
      <c r="B32" s="30"/>
      <c r="C32" s="30"/>
      <c r="D32" s="30"/>
      <c r="E32" s="30"/>
      <c r="F32" s="30"/>
      <c r="G32" s="30"/>
      <c r="H32" s="30"/>
      <c r="I32" s="30"/>
    </row>
    <row r="33" spans="1:9" x14ac:dyDescent="0.25">
      <c r="A33" s="30"/>
      <c r="B33" s="30"/>
      <c r="C33" s="30"/>
      <c r="D33" s="30"/>
      <c r="E33" s="30"/>
      <c r="F33" s="30"/>
      <c r="G33" s="30"/>
      <c r="H33" s="30"/>
      <c r="I33" s="30"/>
    </row>
    <row r="34" spans="1:9" x14ac:dyDescent="0.25">
      <c r="A34" s="30"/>
      <c r="B34" s="30"/>
      <c r="C34" s="30"/>
      <c r="D34" s="30"/>
      <c r="E34" s="30"/>
      <c r="F34" s="30"/>
      <c r="G34" s="30"/>
      <c r="H34" s="30"/>
      <c r="I34" s="30"/>
    </row>
    <row r="35" spans="1:9" x14ac:dyDescent="0.25">
      <c r="A35" s="30"/>
      <c r="B35" s="30"/>
      <c r="C35" s="30"/>
      <c r="D35" s="30"/>
      <c r="E35" s="30"/>
      <c r="F35" s="30"/>
      <c r="G35" s="30"/>
      <c r="H35" s="30"/>
      <c r="I35" s="30"/>
    </row>
    <row r="36" spans="1:9" x14ac:dyDescent="0.25">
      <c r="A36" s="30"/>
      <c r="B36" s="30"/>
      <c r="C36" s="30"/>
      <c r="D36" s="30"/>
      <c r="E36" s="30"/>
      <c r="F36" s="30"/>
      <c r="G36" s="30"/>
      <c r="H36" s="30"/>
      <c r="I36" s="30"/>
    </row>
    <row r="37" spans="1:9" x14ac:dyDescent="0.25">
      <c r="A37" s="30"/>
      <c r="B37" s="30"/>
      <c r="C37" s="30"/>
      <c r="D37" s="30"/>
      <c r="E37" s="30"/>
      <c r="F37" s="30"/>
      <c r="G37" s="30"/>
      <c r="H37" s="30"/>
      <c r="I37" s="30"/>
    </row>
    <row r="38" spans="1:9" x14ac:dyDescent="0.25">
      <c r="A38" s="30"/>
      <c r="B38" s="30"/>
      <c r="C38" s="30"/>
      <c r="D38" s="30"/>
      <c r="E38" s="30"/>
      <c r="F38" s="30"/>
      <c r="G38" s="30"/>
      <c r="H38" s="30"/>
      <c r="I38" s="30"/>
    </row>
    <row r="39" spans="1:9" x14ac:dyDescent="0.25">
      <c r="A39" s="30"/>
      <c r="B39" s="30"/>
      <c r="C39" s="30"/>
      <c r="D39" s="30"/>
      <c r="E39" s="30"/>
      <c r="F39" s="30"/>
      <c r="G39" s="30"/>
      <c r="H39" s="30"/>
      <c r="I39" s="30"/>
    </row>
    <row r="40" spans="1:9" x14ac:dyDescent="0.25">
      <c r="A40" s="30"/>
      <c r="B40" s="30"/>
      <c r="C40" s="30"/>
      <c r="D40" s="30"/>
      <c r="E40" s="30"/>
      <c r="F40" s="30"/>
      <c r="G40" s="30"/>
      <c r="H40" s="30"/>
      <c r="I40" s="30"/>
    </row>
    <row r="41" spans="1:9" x14ac:dyDescent="0.25">
      <c r="A41" s="30"/>
      <c r="B41" s="30"/>
      <c r="C41" s="30"/>
      <c r="D41" s="30"/>
      <c r="E41" s="30"/>
      <c r="F41" s="30"/>
      <c r="G41" s="30"/>
      <c r="H41" s="30"/>
      <c r="I41" s="30"/>
    </row>
    <row r="42" spans="1:9" x14ac:dyDescent="0.25">
      <c r="A42" s="30"/>
      <c r="B42" s="30"/>
      <c r="C42" s="30"/>
      <c r="D42" s="30"/>
      <c r="E42" s="30"/>
      <c r="F42" s="30"/>
      <c r="G42" s="30"/>
      <c r="H42" s="30"/>
      <c r="I42" s="30"/>
    </row>
    <row r="43" spans="1:9" x14ac:dyDescent="0.25">
      <c r="A43" s="30"/>
      <c r="B43" s="30"/>
      <c r="C43" s="30"/>
      <c r="D43" s="30"/>
      <c r="E43" s="30"/>
      <c r="F43" s="30"/>
      <c r="G43" s="30"/>
      <c r="H43" s="30"/>
      <c r="I43" s="30"/>
    </row>
    <row r="44" spans="1:9" x14ac:dyDescent="0.25">
      <c r="A44" s="30"/>
      <c r="B44" s="30"/>
      <c r="C44" s="30"/>
      <c r="D44" s="30"/>
      <c r="E44" s="30"/>
      <c r="F44" s="30"/>
      <c r="G44" s="30"/>
      <c r="H44" s="30"/>
      <c r="I44" s="30"/>
    </row>
    <row r="45" spans="1:9" x14ac:dyDescent="0.25">
      <c r="A45" s="30"/>
      <c r="B45" s="30"/>
      <c r="C45" s="30"/>
      <c r="D45" s="30"/>
      <c r="E45" s="30"/>
      <c r="F45" s="30"/>
      <c r="G45" s="30"/>
      <c r="H45" s="30"/>
      <c r="I45" s="30"/>
    </row>
    <row r="46" spans="1:9" x14ac:dyDescent="0.25">
      <c r="A46" s="30"/>
      <c r="B46" s="30"/>
      <c r="C46" s="30"/>
      <c r="D46" s="30"/>
      <c r="E46" s="30"/>
      <c r="F46" s="30"/>
      <c r="G46" s="30"/>
      <c r="H46" s="30"/>
      <c r="I46" s="30"/>
    </row>
    <row r="47" spans="1:9" x14ac:dyDescent="0.25">
      <c r="A47" s="30"/>
      <c r="B47" s="30"/>
      <c r="C47" s="30"/>
      <c r="D47" s="30"/>
      <c r="E47" s="30"/>
      <c r="F47" s="30"/>
      <c r="G47" s="30"/>
      <c r="H47" s="30"/>
      <c r="I47" s="30"/>
    </row>
    <row r="48" spans="1:9" x14ac:dyDescent="0.25">
      <c r="A48" s="30"/>
      <c r="B48" s="30"/>
      <c r="C48" s="30"/>
      <c r="D48" s="30"/>
      <c r="E48" s="30"/>
      <c r="F48" s="30"/>
      <c r="G48" s="30"/>
      <c r="H48" s="30"/>
      <c r="I48" s="30"/>
    </row>
  </sheetData>
  <mergeCells count="3">
    <mergeCell ref="B22:H24"/>
    <mergeCell ref="B28:H28"/>
    <mergeCell ref="B7:H7"/>
  </mergeCells>
  <hyperlinks>
    <hyperlink ref="B30" display="Im Begleitdokument zum Technikkatalog finden Sie Hinweise zu Hintergründen und Datenquellen" xr:uid="{2834CD4B-4665-48BB-A207-74F24E9715BC}"/>
    <hyperlink ref="B25" r:id="rId1" xr:uid="{9A42A321-C612-4BC5-B013-C920F8B72E69}"/>
  </hyperlinks>
  <pageMargins left="0.7" right="0.7" top="0.78740157499999996" bottom="0.78740157499999996" header="0.3" footer="0.3"/>
  <pageSetup paperSize="9" scale="84"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8430-2FD2-4BC5-B9F2-1775A3F9DF39}">
  <dimension ref="B2:D11"/>
  <sheetViews>
    <sheetView workbookViewId="0">
      <selection activeCell="C16" sqref="C16"/>
    </sheetView>
  </sheetViews>
  <sheetFormatPr baseColWidth="10" defaultColWidth="11.42578125" defaultRowHeight="15" x14ac:dyDescent="0.25"/>
  <cols>
    <col min="2" max="2" width="9.28515625" customWidth="1"/>
    <col min="3" max="3" width="33.28515625" customWidth="1"/>
    <col min="4" max="4" width="84.85546875" customWidth="1"/>
  </cols>
  <sheetData>
    <row r="2" spans="2:4" x14ac:dyDescent="0.25">
      <c r="C2" s="58" t="s">
        <v>14</v>
      </c>
    </row>
    <row r="4" spans="2:4" ht="15.75" thickBot="1" x14ac:dyDescent="0.3">
      <c r="B4" s="63" t="s">
        <v>15</v>
      </c>
      <c r="C4" s="63"/>
      <c r="D4" s="57" t="s">
        <v>16</v>
      </c>
    </row>
    <row r="5" spans="2:4" ht="15.75" thickBot="1" x14ac:dyDescent="0.3">
      <c r="B5" s="3" t="s">
        <v>17</v>
      </c>
      <c r="C5" s="3" t="s">
        <v>18</v>
      </c>
      <c r="D5" s="16" t="s">
        <v>19</v>
      </c>
    </row>
    <row r="6" spans="2:4" ht="15.75" thickBot="1" x14ac:dyDescent="0.3">
      <c r="B6" s="3" t="s">
        <v>20</v>
      </c>
      <c r="C6" s="3" t="s">
        <v>21</v>
      </c>
      <c r="D6" s="5" t="s">
        <v>22</v>
      </c>
    </row>
    <row r="7" spans="2:4" ht="15.75" thickBot="1" x14ac:dyDescent="0.3">
      <c r="B7" s="3"/>
      <c r="C7" s="3"/>
      <c r="D7" s="5"/>
    </row>
    <row r="8" spans="2:4" ht="15.75" thickBot="1" x14ac:dyDescent="0.3">
      <c r="B8" s="3"/>
      <c r="C8" s="3"/>
      <c r="D8" s="5"/>
    </row>
    <row r="9" spans="2:4" ht="15.75" thickBot="1" x14ac:dyDescent="0.3">
      <c r="B9" s="5"/>
      <c r="C9" s="5"/>
      <c r="D9" s="5"/>
    </row>
    <row r="11" spans="2:4" s="59" customFormat="1" ht="36.75" customHeight="1" x14ac:dyDescent="0.25">
      <c r="B11" s="58" t="s">
        <v>23</v>
      </c>
      <c r="C11" s="64" t="s">
        <v>24</v>
      </c>
      <c r="D11" s="64"/>
    </row>
  </sheetData>
  <mergeCells count="2">
    <mergeCell ref="B4:C4"/>
    <mergeCell ref="C11:D1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9B85-FD33-4837-A998-DBB355B5B317}">
  <sheetPr codeName="Tabelle2"/>
  <dimension ref="B1:I44"/>
  <sheetViews>
    <sheetView zoomScale="82" zoomScaleNormal="82" zoomScaleSheetLayoutView="85" workbookViewId="0">
      <selection activeCell="I21" sqref="I21"/>
    </sheetView>
  </sheetViews>
  <sheetFormatPr baseColWidth="10" defaultColWidth="11.42578125" defaultRowHeight="15" x14ac:dyDescent="0.25"/>
  <cols>
    <col min="1" max="1" width="5.85546875" customWidth="1"/>
    <col min="4" max="4" width="76.42578125" customWidth="1"/>
    <col min="5" max="5" width="3.85546875" customWidth="1"/>
    <col min="6" max="6" width="3.7109375" customWidth="1"/>
    <col min="9" max="9" width="89.7109375" customWidth="1"/>
  </cols>
  <sheetData>
    <row r="1" spans="2:9" x14ac:dyDescent="0.25">
      <c r="B1" s="49" t="s">
        <v>25</v>
      </c>
      <c r="C1" s="47"/>
      <c r="D1" s="47"/>
      <c r="E1" s="47"/>
      <c r="F1" s="47"/>
      <c r="G1" s="47"/>
      <c r="H1" s="47"/>
      <c r="I1" s="47"/>
    </row>
    <row r="2" spans="2:9" x14ac:dyDescent="0.25">
      <c r="B2" s="47"/>
      <c r="C2" s="47"/>
      <c r="D2" s="47"/>
      <c r="E2" s="47"/>
      <c r="F2" s="47"/>
      <c r="G2" s="47"/>
      <c r="H2" s="47"/>
      <c r="I2" s="47"/>
    </row>
    <row r="3" spans="2:9" ht="15.75" thickBot="1" x14ac:dyDescent="0.3">
      <c r="B3" s="52" t="s">
        <v>26</v>
      </c>
      <c r="C3" s="52"/>
      <c r="D3" s="52"/>
      <c r="E3" s="47"/>
      <c r="F3" s="47"/>
      <c r="G3" s="52" t="s">
        <v>27</v>
      </c>
      <c r="H3" s="52"/>
      <c r="I3" s="52"/>
    </row>
    <row r="4" spans="2:9" x14ac:dyDescent="0.25">
      <c r="B4" s="47"/>
      <c r="C4" s="47" t="s">
        <v>28</v>
      </c>
      <c r="D4" s="48" t="s">
        <v>29</v>
      </c>
      <c r="E4" s="47"/>
      <c r="F4" s="47"/>
      <c r="G4" s="47"/>
      <c r="H4" s="47" t="s">
        <v>30</v>
      </c>
      <c r="I4" s="48" t="s">
        <v>31</v>
      </c>
    </row>
    <row r="5" spans="2:9" ht="15.75" thickBot="1" x14ac:dyDescent="0.3">
      <c r="B5" s="52" t="s">
        <v>32</v>
      </c>
      <c r="C5" s="52"/>
      <c r="D5" s="52"/>
      <c r="E5" s="47"/>
      <c r="F5" s="47"/>
      <c r="G5" s="47"/>
      <c r="H5" s="47" t="s">
        <v>33</v>
      </c>
      <c r="I5" s="48" t="s">
        <v>34</v>
      </c>
    </row>
    <row r="6" spans="2:9" x14ac:dyDescent="0.25">
      <c r="B6" s="47"/>
      <c r="C6" s="47" t="s">
        <v>35</v>
      </c>
      <c r="D6" s="48" t="s">
        <v>36</v>
      </c>
      <c r="E6" s="47"/>
      <c r="F6" s="47"/>
      <c r="G6" s="47"/>
      <c r="H6" s="47" t="s">
        <v>37</v>
      </c>
      <c r="I6" s="48" t="s">
        <v>38</v>
      </c>
    </row>
    <row r="7" spans="2:9" x14ac:dyDescent="0.25">
      <c r="B7" s="47"/>
      <c r="C7" s="47" t="s">
        <v>39</v>
      </c>
      <c r="D7" s="48" t="s">
        <v>40</v>
      </c>
      <c r="E7" s="47"/>
      <c r="F7" s="47"/>
      <c r="G7" s="47"/>
      <c r="H7" s="47" t="s">
        <v>41</v>
      </c>
      <c r="I7" s="48" t="s">
        <v>42</v>
      </c>
    </row>
    <row r="8" spans="2:9" x14ac:dyDescent="0.25">
      <c r="B8" s="47"/>
      <c r="C8" s="47" t="s">
        <v>43</v>
      </c>
      <c r="D8" s="48" t="s">
        <v>44</v>
      </c>
      <c r="E8" s="47"/>
      <c r="F8" s="47"/>
      <c r="G8" s="47"/>
      <c r="H8" s="47" t="s">
        <v>45</v>
      </c>
      <c r="I8" s="48" t="s">
        <v>46</v>
      </c>
    </row>
    <row r="9" spans="2:9" x14ac:dyDescent="0.25">
      <c r="B9" s="47"/>
      <c r="C9" s="47" t="s">
        <v>47</v>
      </c>
      <c r="D9" s="48" t="s">
        <v>48</v>
      </c>
      <c r="E9" s="47"/>
      <c r="F9" s="47"/>
      <c r="G9" s="47"/>
      <c r="H9" s="47" t="s">
        <v>49</v>
      </c>
      <c r="I9" s="48" t="s">
        <v>50</v>
      </c>
    </row>
    <row r="10" spans="2:9" x14ac:dyDescent="0.25">
      <c r="B10" s="47"/>
      <c r="C10" s="47" t="s">
        <v>51</v>
      </c>
      <c r="D10" s="48" t="s">
        <v>52</v>
      </c>
      <c r="E10" s="47"/>
      <c r="F10" s="47"/>
      <c r="G10" s="47"/>
      <c r="H10" s="47" t="s">
        <v>53</v>
      </c>
      <c r="I10" s="48" t="s">
        <v>54</v>
      </c>
    </row>
    <row r="11" spans="2:9" ht="15.75" thickBot="1" x14ac:dyDescent="0.3">
      <c r="B11" s="47"/>
      <c r="C11" s="47" t="s">
        <v>55</v>
      </c>
      <c r="D11" s="48" t="s">
        <v>56</v>
      </c>
      <c r="E11" s="47"/>
      <c r="F11" s="47"/>
      <c r="G11" s="52" t="s">
        <v>57</v>
      </c>
      <c r="H11" s="52"/>
      <c r="I11" s="52"/>
    </row>
    <row r="12" spans="2:9" x14ac:dyDescent="0.25">
      <c r="B12" s="47"/>
      <c r="C12" s="47" t="s">
        <v>58</v>
      </c>
      <c r="D12" s="48" t="s">
        <v>59</v>
      </c>
      <c r="E12" s="47"/>
      <c r="F12" s="47"/>
      <c r="G12" s="47"/>
      <c r="H12" s="47" t="s">
        <v>60</v>
      </c>
      <c r="I12" s="48" t="s">
        <v>61</v>
      </c>
    </row>
    <row r="13" spans="2:9" x14ac:dyDescent="0.25">
      <c r="B13" s="47"/>
      <c r="C13" s="47" t="s">
        <v>62</v>
      </c>
      <c r="D13" s="48" t="s">
        <v>63</v>
      </c>
      <c r="E13" s="47"/>
      <c r="F13" s="47"/>
      <c r="G13" s="47"/>
      <c r="H13" s="47" t="s">
        <v>64</v>
      </c>
      <c r="I13" s="48" t="s">
        <v>65</v>
      </c>
    </row>
    <row r="14" spans="2:9" x14ac:dyDescent="0.25">
      <c r="B14" s="47"/>
      <c r="C14" s="47" t="s">
        <v>66</v>
      </c>
      <c r="D14" s="48" t="s">
        <v>67</v>
      </c>
      <c r="E14" s="47"/>
      <c r="F14" s="47"/>
      <c r="G14" s="47"/>
      <c r="H14" s="47" t="s">
        <v>68</v>
      </c>
      <c r="I14" s="48" t="s">
        <v>69</v>
      </c>
    </row>
    <row r="15" spans="2:9" x14ac:dyDescent="0.25">
      <c r="B15" s="47"/>
      <c r="C15" s="47" t="s">
        <v>70</v>
      </c>
      <c r="D15" s="48" t="s">
        <v>71</v>
      </c>
      <c r="E15" s="47"/>
      <c r="F15" s="47"/>
      <c r="G15" s="47"/>
      <c r="H15" s="47" t="s">
        <v>72</v>
      </c>
      <c r="I15" s="48" t="s">
        <v>73</v>
      </c>
    </row>
    <row r="16" spans="2:9" ht="15.75" thickBot="1" x14ac:dyDescent="0.3">
      <c r="B16" s="47"/>
      <c r="C16" s="47" t="s">
        <v>74</v>
      </c>
      <c r="D16" s="48" t="s">
        <v>75</v>
      </c>
      <c r="E16" s="47"/>
      <c r="F16" s="47"/>
      <c r="G16" s="52" t="s">
        <v>76</v>
      </c>
      <c r="H16" s="52"/>
      <c r="I16" s="52"/>
    </row>
    <row r="17" spans="2:9" x14ac:dyDescent="0.25">
      <c r="B17" s="47"/>
      <c r="C17" s="47" t="s">
        <v>77</v>
      </c>
      <c r="D17" s="48" t="s">
        <v>78</v>
      </c>
      <c r="E17" s="47"/>
      <c r="F17" s="47"/>
      <c r="G17" s="47"/>
      <c r="H17" s="47" t="s">
        <v>79</v>
      </c>
      <c r="I17" s="48" t="s">
        <v>80</v>
      </c>
    </row>
    <row r="18" spans="2:9" ht="30" x14ac:dyDescent="0.25">
      <c r="B18" s="47"/>
      <c r="C18" s="47" t="s">
        <v>81</v>
      </c>
      <c r="D18" s="48" t="s">
        <v>82</v>
      </c>
      <c r="E18" s="47"/>
      <c r="F18" s="47"/>
      <c r="G18" s="47"/>
      <c r="H18" s="47" t="s">
        <v>83</v>
      </c>
      <c r="I18" s="50" t="s">
        <v>84</v>
      </c>
    </row>
    <row r="19" spans="2:9" x14ac:dyDescent="0.25">
      <c r="B19" s="47"/>
      <c r="C19" s="47" t="s">
        <v>85</v>
      </c>
      <c r="D19" s="48" t="s">
        <v>86</v>
      </c>
      <c r="E19" s="47"/>
      <c r="F19" s="47"/>
      <c r="G19" s="47"/>
      <c r="H19" s="47" t="s">
        <v>87</v>
      </c>
      <c r="I19" s="48" t="s">
        <v>88</v>
      </c>
    </row>
    <row r="20" spans="2:9" x14ac:dyDescent="0.25">
      <c r="B20" s="47"/>
      <c r="C20" s="47" t="s">
        <v>89</v>
      </c>
      <c r="D20" s="48" t="s">
        <v>90</v>
      </c>
      <c r="E20" s="47"/>
      <c r="F20" s="47"/>
      <c r="G20" s="47"/>
      <c r="H20" s="47" t="s">
        <v>91</v>
      </c>
      <c r="I20" s="48" t="s">
        <v>92</v>
      </c>
    </row>
    <row r="21" spans="2:9" x14ac:dyDescent="0.25">
      <c r="B21" s="47"/>
      <c r="C21" s="47" t="s">
        <v>93</v>
      </c>
      <c r="D21" s="48" t="s">
        <v>94</v>
      </c>
      <c r="E21" s="47"/>
      <c r="F21" s="47"/>
      <c r="G21" s="47"/>
      <c r="H21" s="47" t="s">
        <v>95</v>
      </c>
      <c r="I21" s="48" t="s">
        <v>96</v>
      </c>
    </row>
    <row r="22" spans="2:9" x14ac:dyDescent="0.25">
      <c r="B22" s="47"/>
      <c r="C22" s="47" t="s">
        <v>97</v>
      </c>
      <c r="D22" s="48" t="s">
        <v>98</v>
      </c>
      <c r="E22" s="47"/>
      <c r="F22" s="47"/>
      <c r="G22" s="47"/>
      <c r="H22" s="47" t="s">
        <v>99</v>
      </c>
      <c r="I22" s="48" t="s">
        <v>100</v>
      </c>
    </row>
    <row r="23" spans="2:9" x14ac:dyDescent="0.25">
      <c r="B23" s="47"/>
      <c r="C23" s="47" t="s">
        <v>101</v>
      </c>
      <c r="D23" s="48" t="s">
        <v>102</v>
      </c>
      <c r="E23" s="47"/>
      <c r="F23" s="47"/>
      <c r="G23" s="47"/>
      <c r="H23" s="47"/>
      <c r="I23" s="47"/>
    </row>
    <row r="24" spans="2:9" x14ac:dyDescent="0.25">
      <c r="B24" s="47"/>
      <c r="C24" s="47" t="s">
        <v>103</v>
      </c>
      <c r="D24" s="48" t="s">
        <v>104</v>
      </c>
      <c r="E24" s="47"/>
      <c r="F24" s="47"/>
      <c r="G24" s="47"/>
      <c r="H24" s="47"/>
      <c r="I24" s="47"/>
    </row>
    <row r="25" spans="2:9" x14ac:dyDescent="0.25">
      <c r="B25" s="47"/>
      <c r="C25" s="47" t="s">
        <v>105</v>
      </c>
      <c r="D25" s="48" t="s">
        <v>106</v>
      </c>
      <c r="E25" s="47"/>
      <c r="F25" s="47"/>
      <c r="G25" s="47"/>
      <c r="H25" s="47"/>
      <c r="I25" s="47"/>
    </row>
    <row r="26" spans="2:9" x14ac:dyDescent="0.25">
      <c r="B26" s="47"/>
      <c r="C26" s="47" t="s">
        <v>107</v>
      </c>
      <c r="D26" s="48" t="s">
        <v>108</v>
      </c>
      <c r="E26" s="47"/>
      <c r="F26" s="47"/>
      <c r="G26" s="47"/>
      <c r="H26" s="47"/>
      <c r="I26" s="47"/>
    </row>
    <row r="27" spans="2:9" x14ac:dyDescent="0.25">
      <c r="B27" s="47"/>
      <c r="C27" s="47" t="s">
        <v>109</v>
      </c>
      <c r="D27" s="48" t="s">
        <v>110</v>
      </c>
      <c r="E27" s="47"/>
      <c r="F27" s="47"/>
      <c r="G27" s="47"/>
      <c r="H27" s="47"/>
      <c r="I27" s="47"/>
    </row>
    <row r="28" spans="2:9" x14ac:dyDescent="0.25">
      <c r="B28" s="47"/>
      <c r="C28" s="47" t="s">
        <v>111</v>
      </c>
      <c r="D28" s="48" t="s">
        <v>112</v>
      </c>
      <c r="E28" s="47"/>
      <c r="F28" s="47"/>
      <c r="G28" s="47"/>
      <c r="H28" s="47"/>
      <c r="I28" s="47"/>
    </row>
    <row r="29" spans="2:9" x14ac:dyDescent="0.25">
      <c r="B29" s="47"/>
      <c r="C29" s="47" t="s">
        <v>113</v>
      </c>
      <c r="D29" s="48" t="s">
        <v>114</v>
      </c>
      <c r="E29" s="47"/>
      <c r="F29" s="47"/>
      <c r="G29" s="47"/>
      <c r="H29" s="47"/>
      <c r="I29" s="47"/>
    </row>
    <row r="30" spans="2:9" x14ac:dyDescent="0.25">
      <c r="B30" s="47"/>
      <c r="C30" s="47" t="s">
        <v>115</v>
      </c>
      <c r="D30" s="48" t="s">
        <v>116</v>
      </c>
      <c r="E30" s="47"/>
      <c r="F30" s="47"/>
      <c r="G30" s="47"/>
      <c r="H30" s="47"/>
      <c r="I30" s="47"/>
    </row>
    <row r="31" spans="2:9" x14ac:dyDescent="0.25">
      <c r="B31" s="47"/>
      <c r="C31" s="47" t="s">
        <v>117</v>
      </c>
      <c r="D31" s="48" t="s">
        <v>118</v>
      </c>
      <c r="E31" s="47"/>
      <c r="F31" s="47"/>
      <c r="G31" s="47"/>
      <c r="H31" s="47"/>
      <c r="I31" s="47"/>
    </row>
    <row r="32" spans="2:9" x14ac:dyDescent="0.25">
      <c r="B32" s="47"/>
      <c r="C32" s="47" t="s">
        <v>119</v>
      </c>
      <c r="D32" s="48" t="s">
        <v>120</v>
      </c>
      <c r="E32" s="47"/>
      <c r="F32" s="47"/>
      <c r="G32" s="47"/>
      <c r="H32" s="47"/>
      <c r="I32" s="47"/>
    </row>
    <row r="33" spans="2:9" x14ac:dyDescent="0.25">
      <c r="B33" s="47"/>
      <c r="C33" s="47" t="s">
        <v>121</v>
      </c>
      <c r="D33" s="48" t="s">
        <v>122</v>
      </c>
      <c r="E33" s="47"/>
      <c r="F33" s="47"/>
      <c r="G33" s="47"/>
      <c r="H33" s="47"/>
      <c r="I33" s="47"/>
    </row>
    <row r="34" spans="2:9" x14ac:dyDescent="0.25">
      <c r="B34" s="47"/>
      <c r="C34" s="47" t="s">
        <v>123</v>
      </c>
      <c r="D34" s="48" t="s">
        <v>124</v>
      </c>
      <c r="E34" s="47"/>
      <c r="F34" s="47"/>
      <c r="G34" s="47"/>
      <c r="H34" s="47"/>
      <c r="I34" s="47"/>
    </row>
    <row r="35" spans="2:9" x14ac:dyDescent="0.25">
      <c r="B35" s="47"/>
      <c r="C35" s="47" t="s">
        <v>125</v>
      </c>
      <c r="D35" s="48" t="s">
        <v>126</v>
      </c>
      <c r="E35" s="47"/>
      <c r="F35" s="47"/>
      <c r="G35" s="47"/>
      <c r="H35" s="47"/>
      <c r="I35" s="47"/>
    </row>
    <row r="36" spans="2:9" x14ac:dyDescent="0.25">
      <c r="B36" s="47"/>
      <c r="C36" s="47" t="s">
        <v>127</v>
      </c>
      <c r="D36" s="48" t="s">
        <v>128</v>
      </c>
      <c r="E36" s="47"/>
      <c r="F36" s="47"/>
      <c r="G36" s="47"/>
      <c r="H36" s="47"/>
      <c r="I36" s="47"/>
    </row>
    <row r="37" spans="2:9" x14ac:dyDescent="0.25">
      <c r="B37" s="47"/>
      <c r="C37" s="47" t="s">
        <v>129</v>
      </c>
      <c r="D37" s="48" t="s">
        <v>130</v>
      </c>
      <c r="E37" s="47"/>
      <c r="F37" s="47"/>
      <c r="G37" s="47"/>
      <c r="H37" s="47"/>
      <c r="I37" s="47"/>
    </row>
    <row r="38" spans="2:9" x14ac:dyDescent="0.25">
      <c r="B38" s="47"/>
      <c r="C38" s="47" t="s">
        <v>131</v>
      </c>
      <c r="D38" s="48" t="s">
        <v>132</v>
      </c>
      <c r="E38" s="47"/>
      <c r="F38" s="47"/>
      <c r="G38" s="47"/>
      <c r="H38" s="47"/>
      <c r="I38" s="47"/>
    </row>
    <row r="39" spans="2:9" x14ac:dyDescent="0.25">
      <c r="B39" s="47"/>
      <c r="C39" s="47" t="s">
        <v>133</v>
      </c>
      <c r="D39" s="48" t="s">
        <v>134</v>
      </c>
      <c r="E39" s="47"/>
      <c r="F39" s="47"/>
      <c r="G39" s="47"/>
      <c r="H39" s="47"/>
      <c r="I39" s="47"/>
    </row>
    <row r="40" spans="2:9" x14ac:dyDescent="0.25">
      <c r="B40" s="47"/>
      <c r="C40" s="47" t="s">
        <v>135</v>
      </c>
      <c r="D40" s="48" t="s">
        <v>136</v>
      </c>
      <c r="E40" s="47"/>
      <c r="F40" s="47"/>
      <c r="G40" s="47"/>
      <c r="H40" s="47"/>
      <c r="I40" s="47"/>
    </row>
    <row r="41" spans="2:9" x14ac:dyDescent="0.25">
      <c r="B41" s="47"/>
      <c r="C41" s="47" t="s">
        <v>137</v>
      </c>
      <c r="D41" s="48" t="s">
        <v>138</v>
      </c>
      <c r="E41" s="47"/>
      <c r="F41" s="47"/>
      <c r="G41" s="47"/>
      <c r="H41" s="47"/>
      <c r="I41" s="47"/>
    </row>
    <row r="42" spans="2:9" x14ac:dyDescent="0.25">
      <c r="B42" s="47"/>
      <c r="C42" s="47" t="s">
        <v>139</v>
      </c>
      <c r="D42" s="48" t="s">
        <v>140</v>
      </c>
      <c r="E42" s="47"/>
      <c r="F42" s="47"/>
      <c r="G42" s="47"/>
      <c r="H42" s="47"/>
      <c r="I42" s="47"/>
    </row>
    <row r="43" spans="2:9" x14ac:dyDescent="0.25">
      <c r="B43" s="47"/>
      <c r="C43" s="47" t="s">
        <v>141</v>
      </c>
      <c r="D43" s="48" t="s">
        <v>142</v>
      </c>
      <c r="E43" s="47"/>
      <c r="F43" s="47"/>
      <c r="G43" s="47"/>
      <c r="H43" s="47"/>
      <c r="I43" s="47"/>
    </row>
    <row r="44" spans="2:9" x14ac:dyDescent="0.25">
      <c r="B44" s="47"/>
      <c r="C44" s="47"/>
      <c r="D44" s="47"/>
      <c r="E44" s="47"/>
      <c r="F44" s="47"/>
      <c r="G44" s="47"/>
      <c r="H44" s="47"/>
      <c r="I44" s="47"/>
    </row>
  </sheetData>
  <sheetProtection algorithmName="SHA-512" hashValue="4jSqHXB7nwnvSQ3zQ/+IkVd+dfJ/O8mS8MfOo/drcp68Npld8E2kJdxY3ZEdVWBOR1f3YNTUOQsGOjZWavpPLQ==" saltValue="9jaf31simNdY/xy+AtyD+Q==" spinCount="100000" sheet="1" objects="1" scenarios="1"/>
  <phoneticPr fontId="4" type="noConversion"/>
  <hyperlinks>
    <hyperlink ref="D4" location="'Tab 1'!A1" display="Emissionsfaktoren " xr:uid="{2760751C-D573-47C5-ACF4-F00449B47139}"/>
    <hyperlink ref="D6" location="'Tab 2'!A1" display="Pelletskessel" xr:uid="{B62EB76A-92CE-405F-B4A4-87F97A3BF7B8}"/>
    <hyperlink ref="D7" location="'Tab 3'!A1" display="Hackschnitzelkessel" xr:uid="{C8B6859F-AF2E-47E9-BFB1-3F845729D35F}"/>
    <hyperlink ref="D8" location="'Tab 4'!A1" display="Erdgas Brennwertkessel dezentral" xr:uid="{291D271C-E3D7-4936-B960-C44BAC9A5D1E}"/>
    <hyperlink ref="D9" location="'Tab 5'!A1" display="Heizölkessel dezentral" xr:uid="{F440492E-6B30-4651-A5C4-5FA8059A9DAC}"/>
    <hyperlink ref="D10" location="'Tab 6'!A1" display="Wasserstoffkessel Brennwert dezentral" xr:uid="{7BBA291C-A0FE-4A8E-B088-C71DEF364716}"/>
    <hyperlink ref="D11" location="'Tab 7'!A1" display="Solarthermie Dachanlagen Röhrenkollektor" xr:uid="{25C5B9F2-9A32-410E-9BE7-B2CD13CF39C7}"/>
    <hyperlink ref="D12" location="'Tab 8'!A1" display="Solarthermie Dachanlagen Flachkollektor" xr:uid="{4F89C31E-FAA5-41D5-9728-432829E117E1}"/>
    <hyperlink ref="D13" location="'Tab 9'!A1" display="Stromdirektheizung fest eingebaut (bis 30 kW)" xr:uid="{DC1B7E79-9090-4E68-8C3C-70E70289493C}"/>
    <hyperlink ref="D14" location="'Tab 10'!A1" display="Luft-Wasser-Wärmepumpe" xr:uid="{7FE35DAE-1829-41EC-A3DA-18319CA6E54C}"/>
    <hyperlink ref="D15" location="'Tab 11'!A1" display="Wasser-Wasser Wärmepumpe (mit Grundwasserbrunnen)" xr:uid="{8B779050-9800-4BAB-B1BC-490EEB2A3BFF}"/>
    <hyperlink ref="D16" location="'Tab 12'!A1" display="Sole-Wasser Wärmepumpe - Wärmequelle Erdwärmesonden (dezentral, &lt;110 kW)" xr:uid="{2D78EC82-5423-47AE-A282-FD53297C5F10}"/>
    <hyperlink ref="D17" location="'Tab 13'!A1" display="Sole-Wasser Wärmepumpe (dezentral, &lt;110 kW)" xr:uid="{C9B478FA-F983-42EB-A826-64667696DB65}"/>
    <hyperlink ref="D18" location="'Tab 14'!A1" display="Hybrid Wärmepumpe" xr:uid="{256F4F9E-D67A-4E17-9DCD-C2665E32F9D9}"/>
    <hyperlink ref="D19" location="'Tab 15'!A1" display="Blockheizkraftwerk Erdgas" xr:uid="{BB0001B1-A6CD-4812-8144-3E577E38CEAB}"/>
    <hyperlink ref="D20" location="'Tab 16'!A1" display="Blockheizkraftwerk Biogas" xr:uid="{3CF06310-9066-4C12-AEE2-7528521A60E8}"/>
    <hyperlink ref="D21" location="'Tab 17'!A1" display="Blockheizkraftwerk Wasserstoff" xr:uid="{06D9B73F-C655-44CE-B884-848D6A741EB4}"/>
    <hyperlink ref="D22" location="'Tab 18'!A1" display="Biomasse Heizkraftwerk - Holzhackschnitzel" xr:uid="{002C11B3-5744-4A4C-8E78-4FC25B141714}"/>
    <hyperlink ref="D23" location="'Tab 19'!A1" display="Biomasse Heizkraftwerk - Holzhackschnitzel" xr:uid="{716BC284-94DE-4094-BCDE-11ED3336555D}"/>
    <hyperlink ref="D24" location="'Tab 20'!A1" display="Biomasse Heizkraftwerk - Stroh" xr:uid="{507DF050-BDCC-40F9-BFC6-982EA50D9E64}"/>
    <hyperlink ref="D25" location="'Tab 21'!A1" display="Biomasse Heizwerk - Holzhackschnitzel" xr:uid="{D2DC6E26-575A-447B-A89E-1494263DC144}"/>
    <hyperlink ref="D26" location="'Tab 22'!A1" display="Biomasse Heizwerk - Holzpellets" xr:uid="{ABDD1D9C-483F-47FB-96EE-6543E35E5B0D}"/>
    <hyperlink ref="D27" location="'Tab 23'!A1" display="Biomasse Heizwerk - Stroh" xr:uid="{098A02B0-D6EF-41F4-8140-E75351EF27C4}"/>
    <hyperlink ref="D28" location="'Tab 24'!A1" display="Biomasse Großheizkraftwerk - Holzhackschnitzel" xr:uid="{74E7E342-E689-4428-A4A3-FD71FCC7490D}"/>
    <hyperlink ref="D29" location="'Tab 25'!A1" display="Biomasse Großheizkraftwerk - Holzpellets" xr:uid="{0DDA0479-459D-478F-8B6B-2FA3753D7ACA}"/>
    <hyperlink ref="D30" location="'Tab 26'!A1" display="Großwärmepumpe Luft (Kompressionswärmepumpe)" xr:uid="{6FC455E7-605F-4126-98DB-73FD7823C4BB}"/>
    <hyperlink ref="D31" location="'Tab 27'!A1" display="Großwärmepumpe Abwärme (Kompressionswärmepumpe)" xr:uid="{CEE55E8A-7759-4546-BEC9-0DE8A3E08488}"/>
    <hyperlink ref="D32" location="'Tab 28'!A1" display="Großwärmepumpe Gewässer (Kompressionswärmepumpe)" xr:uid="{D5CA8E74-A5DA-4503-8FB3-4C0C0AFB270E}"/>
    <hyperlink ref="D33" location="'Tab 29'!A1" display="Großwärmepumpe Absorption" xr:uid="{79D67F06-09BA-4F8A-A958-3CCE5F24A6EF}"/>
    <hyperlink ref="D34" location="'Tab 30'!A1" display="Großwärmepumpe Klärwasser/Abwasser (Kompressionswärmepumpe)" xr:uid="{44D5AE58-8091-4DF5-B83D-36E1D79229AB}"/>
    <hyperlink ref="D35" location="'Tab 31'!A1" display="Hochtemperatur Wärmepumpe bis 125°C (Industrie)" xr:uid="{EDFC3D8D-7BEC-4D6C-8AFE-CDB2BB280B06}"/>
    <hyperlink ref="D36" location="'Tab 32'!A1" display="Hochtemperatur Wärmepumpe bis 150°C (Industrie)" xr:uid="{1614AC3D-B445-47BF-83C8-DA3C49825FEE}"/>
    <hyperlink ref="D37" location="'Tab 33'!A1" display="Erdgaskessel (zentral/Spitzenlastabdeckung)" xr:uid="{D7C4B6DC-677E-4EE8-A5EB-60CBC5ACCDA4}"/>
    <hyperlink ref="D38" location="'Tab 34'!A1" display="Heizölkessel (zentral/Spitzenlastabdeckung)" xr:uid="{D9F7F951-7FBD-44FC-8CD7-E319866A6EF2}"/>
    <hyperlink ref="D39" location="'Tab 35'!A1" display="Abfallkessel (zentral)" xr:uid="{74841E4B-AF08-41D2-8C6A-D1CAF4B5309F}"/>
    <hyperlink ref="D40" location="'Tab 36'!A1" display="Solarthermie Freiflächenanlagen - Flachkollektoren" xr:uid="{C44310D8-AA30-41CB-BC95-71E00D2EE82B}"/>
    <hyperlink ref="D41" location="'Tab 37'!A1" display="Solarthermie Freiflächenanlagen - Vakuum-Röhren-Kollektoren" xr:uid="{68385B5D-3B13-4F37-8D12-F259B23AF9E9}"/>
    <hyperlink ref="D42" location="'Tab 38'!A1" display="Tiefengeothermie (&gt;2000m Bohrung)" xr:uid="{45D40865-0012-4263-83A6-62694BB854DD}"/>
    <hyperlink ref="D43" location="'Tab 39'!A1" display="Tiefengeothermie (&gt;2000m Bohrung)" xr:uid="{3AEDCC0D-BE3F-4A6A-884A-55F844C74E1C}"/>
    <hyperlink ref="I4" location="'Tab 40'!A1" display="Erdgas/Biomethan Verteilungsnetze" xr:uid="{23254F25-83E6-4DC4-88D3-DDB0891E133C}"/>
    <hyperlink ref="I5" location="'Tab 41'!A1" display="Wasserstoff Transportleitungen" xr:uid="{904DBC3C-C44F-47B4-A32C-0495048D81DA}"/>
    <hyperlink ref="I6" location="'Tab 42'!A1" display="Wärmenetze konventionell - Verteilungsnetze " xr:uid="{61505590-E7CB-453A-8503-85C5287603B2}"/>
    <hyperlink ref="I7" location="'Tab 43'!A1" display="Wärmenetze konventionell - Transportleitungen" xr:uid="{D0514CCD-25BB-4074-A2E6-7D7DF24F424F}"/>
    <hyperlink ref="I8" location="'Tab 44'!A1" display="Wärmenetze Niedertemperatur" xr:uid="{2E47BA69-A45C-4634-A311-64661BEEB635}"/>
    <hyperlink ref="I9" location="'Tab 45'!A1" display="Wärmenetze Kalte Nahwärme" xr:uid="{B250638A-9A25-447C-A70D-E3BF6DA58E47}"/>
    <hyperlink ref="I10" location="'Tab 46'!A1" display="Hausstationen Fernwärme indirekt" xr:uid="{176C89A4-B1B3-49B2-B9C8-9602781D493A}"/>
    <hyperlink ref="I12" location="'Tab 47'!A1" display="Wärmespeicher Saisonal - Erdbeckenspeicher (PTES)" xr:uid="{5DD5A014-0008-4F0A-A84F-5C4944558935}"/>
    <hyperlink ref="I13" location="'Tab 48'!A1" display="Wärmespeicher Saisonal - Behälterspeicher (TTES)" xr:uid="{8FBEE231-6CC0-459B-AFE3-B7362A642023}"/>
    <hyperlink ref="I14" location="'Tab 49'!A1" display="Trinkwasserspeicher/kleine Pufferspeicher (150-1000 L)" xr:uid="{F98156B6-5326-476A-B9AB-BBA8CFCB2087}"/>
    <hyperlink ref="I15" location="'Tab 50'!A1" display="Puffer-/Kombispeicher (ab 500 L)" xr:uid="{D15C9F3C-FD40-43E0-82C0-EC3878B586EC}"/>
    <hyperlink ref="I17" location="'Tab 51'!A1" display="Zuordnung der für die Wärmeplanung relevanten Gebäudefunktionen zum Endenergiesektor " xr:uid="{6B8C8B48-21E7-4A91-9DA6-9C2DFD914C5D}"/>
    <hyperlink ref="I18" location="'Tab 52'!A1" display="Zuordnung von Gebäudefunktionen zu GHD-Typen, Bewertung der Relevanz der Prozesswärme und Empfehlung zur Datenerfassung " xr:uid="{690AEDFC-9C94-410C-88FD-F55D47B101B7}"/>
    <hyperlink ref="I19" location="'Tab 53'!A1" display="Gebäudedaten Nichtwohngebäude GHD-Sektor" xr:uid="{4EDB90C5-35E0-4383-BD88-0F59F2FAFEF3}"/>
    <hyperlink ref="I20" location="'Tab 54'!A1" display="Gebäudedaten Nichtwohngebäude Industrie" xr:uid="{7FB23FBD-A4A3-42E3-8883-ABB1468CB2CF}"/>
    <hyperlink ref="I21" location="'Tab 55'!A1" display="Gebäudedaten Wohngebäude EZFH" xr:uid="{9BB6C541-6864-438E-A306-241C6330C036}"/>
    <hyperlink ref="I22" location="'Tab 56'!A1" display="Gebäudedaten Wohngebäude MFH" xr:uid="{6AF1B3A7-DA4D-4F34-A906-26F930C4C297}"/>
  </hyperlink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F2A9-2D96-4C95-A877-5D76A4FD2E5C}">
  <sheetPr codeName="Tabelle53"/>
  <dimension ref="A1:C61"/>
  <sheetViews>
    <sheetView zoomScaleNormal="100" workbookViewId="0">
      <selection activeCell="B2" sqref="B2"/>
    </sheetView>
  </sheetViews>
  <sheetFormatPr baseColWidth="10" defaultColWidth="11.42578125" defaultRowHeight="15" x14ac:dyDescent="0.25"/>
  <cols>
    <col min="2" max="2" width="42.42578125" customWidth="1"/>
    <col min="3" max="3" width="24" customWidth="1"/>
  </cols>
  <sheetData>
    <row r="1" spans="1:3" ht="25.5" x14ac:dyDescent="0.25">
      <c r="A1" s="29" t="s">
        <v>143</v>
      </c>
    </row>
    <row r="2" spans="1:3" x14ac:dyDescent="0.25">
      <c r="A2" s="29"/>
    </row>
    <row r="3" spans="1:3" x14ac:dyDescent="0.25">
      <c r="B3" s="4" t="s">
        <v>80</v>
      </c>
    </row>
    <row r="5" spans="1:3" ht="30.75" customHeight="1" thickBot="1" x14ac:dyDescent="0.3">
      <c r="B5" s="1" t="s">
        <v>145</v>
      </c>
      <c r="C5" s="6" t="s">
        <v>146</v>
      </c>
    </row>
    <row r="6" spans="1:3" ht="15.75" thickBot="1" x14ac:dyDescent="0.3">
      <c r="B6" s="3" t="s">
        <v>147</v>
      </c>
      <c r="C6" s="9" t="s">
        <v>148</v>
      </c>
    </row>
    <row r="7" spans="1:3" ht="15.75" thickBot="1" x14ac:dyDescent="0.3">
      <c r="B7" s="3" t="s">
        <v>149</v>
      </c>
      <c r="C7" s="5" t="s">
        <v>148</v>
      </c>
    </row>
    <row r="8" spans="1:3" ht="15.75" thickBot="1" x14ac:dyDescent="0.3">
      <c r="B8" s="3" t="s">
        <v>150</v>
      </c>
      <c r="C8" s="9" t="s">
        <v>148</v>
      </c>
    </row>
    <row r="9" spans="1:3" ht="15.75" thickBot="1" x14ac:dyDescent="0.3">
      <c r="B9" s="3" t="s">
        <v>151</v>
      </c>
      <c r="C9" s="5" t="s">
        <v>148</v>
      </c>
    </row>
    <row r="10" spans="1:3" ht="15.75" thickBot="1" x14ac:dyDescent="0.3">
      <c r="B10" s="3" t="s">
        <v>152</v>
      </c>
      <c r="C10" s="9" t="s">
        <v>148</v>
      </c>
    </row>
    <row r="11" spans="1:3" ht="15.75" thickBot="1" x14ac:dyDescent="0.3">
      <c r="B11" s="3" t="s">
        <v>153</v>
      </c>
      <c r="C11" s="5" t="s">
        <v>148</v>
      </c>
    </row>
    <row r="12" spans="1:3" ht="15.75" thickBot="1" x14ac:dyDescent="0.3">
      <c r="B12" s="3" t="s">
        <v>154</v>
      </c>
      <c r="C12" s="9" t="s">
        <v>148</v>
      </c>
    </row>
    <row r="13" spans="1:3" ht="15.75" thickBot="1" x14ac:dyDescent="0.3">
      <c r="B13" s="3" t="s">
        <v>155</v>
      </c>
      <c r="C13" s="5" t="s">
        <v>148</v>
      </c>
    </row>
    <row r="14" spans="1:3" ht="15.75" thickBot="1" x14ac:dyDescent="0.3">
      <c r="B14" s="3" t="s">
        <v>156</v>
      </c>
      <c r="C14" s="9" t="s">
        <v>148</v>
      </c>
    </row>
    <row r="15" spans="1:3" ht="15.75" thickBot="1" x14ac:dyDescent="0.3">
      <c r="B15" s="3" t="s">
        <v>157</v>
      </c>
      <c r="C15" s="5" t="s">
        <v>148</v>
      </c>
    </row>
    <row r="16" spans="1:3" ht="15.75" thickBot="1" x14ac:dyDescent="0.3">
      <c r="B16" s="3" t="s">
        <v>158</v>
      </c>
      <c r="C16" s="9" t="s">
        <v>148</v>
      </c>
    </row>
    <row r="17" spans="2:3" ht="15.75" thickBot="1" x14ac:dyDescent="0.3">
      <c r="B17" s="3" t="s">
        <v>159</v>
      </c>
      <c r="C17" s="5" t="s">
        <v>148</v>
      </c>
    </row>
    <row r="18" spans="2:3" ht="15.75" thickBot="1" x14ac:dyDescent="0.3">
      <c r="B18" s="3" t="s">
        <v>160</v>
      </c>
      <c r="C18" s="9" t="s">
        <v>148</v>
      </c>
    </row>
    <row r="19" spans="2:3" ht="15.75" thickBot="1" x14ac:dyDescent="0.3">
      <c r="B19" s="3" t="s">
        <v>161</v>
      </c>
      <c r="C19" s="5" t="s">
        <v>148</v>
      </c>
    </row>
    <row r="20" spans="2:3" ht="15.75" thickBot="1" x14ac:dyDescent="0.3">
      <c r="B20" s="3" t="s">
        <v>162</v>
      </c>
      <c r="C20" s="9" t="s">
        <v>148</v>
      </c>
    </row>
    <row r="21" spans="2:3" ht="15.75" thickBot="1" x14ac:dyDescent="0.3">
      <c r="B21" s="3" t="s">
        <v>163</v>
      </c>
      <c r="C21" s="5" t="s">
        <v>148</v>
      </c>
    </row>
    <row r="22" spans="2:3" ht="15.75" thickBot="1" x14ac:dyDescent="0.3">
      <c r="B22" s="3" t="s">
        <v>164</v>
      </c>
      <c r="C22" s="9" t="s">
        <v>148</v>
      </c>
    </row>
    <row r="23" spans="2:3" ht="15.75" thickBot="1" x14ac:dyDescent="0.3">
      <c r="B23" s="3" t="s">
        <v>165</v>
      </c>
      <c r="C23" s="5" t="s">
        <v>148</v>
      </c>
    </row>
    <row r="24" spans="2:3" ht="15.75" thickBot="1" x14ac:dyDescent="0.3">
      <c r="B24" s="3" t="s">
        <v>166</v>
      </c>
      <c r="C24" s="9" t="s">
        <v>148</v>
      </c>
    </row>
    <row r="25" spans="2:3" ht="15.75" thickBot="1" x14ac:dyDescent="0.3">
      <c r="B25" s="3" t="s">
        <v>167</v>
      </c>
      <c r="C25" s="5" t="s">
        <v>148</v>
      </c>
    </row>
    <row r="26" spans="2:3" ht="15.75" thickBot="1" x14ac:dyDescent="0.3">
      <c r="B26" s="3" t="s">
        <v>168</v>
      </c>
      <c r="C26" s="9" t="s">
        <v>148</v>
      </c>
    </row>
    <row r="27" spans="2:3" ht="15.75" thickBot="1" x14ac:dyDescent="0.3">
      <c r="B27" s="3" t="s">
        <v>169</v>
      </c>
      <c r="C27" s="5" t="s">
        <v>148</v>
      </c>
    </row>
    <row r="28" spans="2:3" ht="15.75" thickBot="1" x14ac:dyDescent="0.3">
      <c r="B28" s="3" t="s">
        <v>170</v>
      </c>
      <c r="C28" s="9" t="s">
        <v>148</v>
      </c>
    </row>
    <row r="29" spans="2:3" ht="15.75" thickBot="1" x14ac:dyDescent="0.3">
      <c r="B29" s="3" t="s">
        <v>171</v>
      </c>
      <c r="C29" s="5" t="s">
        <v>148</v>
      </c>
    </row>
    <row r="30" spans="2:3" ht="15.75" thickBot="1" x14ac:dyDescent="0.3">
      <c r="B30" s="3" t="s">
        <v>172</v>
      </c>
      <c r="C30" s="9" t="s">
        <v>148</v>
      </c>
    </row>
    <row r="31" spans="2:3" ht="15.75" thickBot="1" x14ac:dyDescent="0.3">
      <c r="B31" s="3" t="s">
        <v>173</v>
      </c>
      <c r="C31" s="5" t="s">
        <v>148</v>
      </c>
    </row>
    <row r="32" spans="2:3" ht="15.75" thickBot="1" x14ac:dyDescent="0.3">
      <c r="B32" s="3" t="s">
        <v>174</v>
      </c>
      <c r="C32" s="9" t="s">
        <v>148</v>
      </c>
    </row>
    <row r="33" spans="2:3" ht="15.75" thickBot="1" x14ac:dyDescent="0.3">
      <c r="B33" s="3" t="s">
        <v>175</v>
      </c>
      <c r="C33" s="5" t="s">
        <v>148</v>
      </c>
    </row>
    <row r="34" spans="2:3" ht="15.75" thickBot="1" x14ac:dyDescent="0.3">
      <c r="B34" s="3" t="s">
        <v>176</v>
      </c>
      <c r="C34" s="9" t="s">
        <v>148</v>
      </c>
    </row>
    <row r="35" spans="2:3" ht="15.75" thickBot="1" x14ac:dyDescent="0.3">
      <c r="B35" s="3" t="s">
        <v>177</v>
      </c>
      <c r="C35" s="5" t="s">
        <v>148</v>
      </c>
    </row>
    <row r="36" spans="2:3" ht="15.75" thickBot="1" x14ac:dyDescent="0.3">
      <c r="B36" s="3" t="s">
        <v>178</v>
      </c>
      <c r="C36" s="9" t="s">
        <v>148</v>
      </c>
    </row>
    <row r="37" spans="2:3" ht="15.75" thickBot="1" x14ac:dyDescent="0.3">
      <c r="B37" s="3" t="s">
        <v>179</v>
      </c>
      <c r="C37" s="5" t="s">
        <v>148</v>
      </c>
    </row>
    <row r="38" spans="2:3" ht="15.75" thickBot="1" x14ac:dyDescent="0.3">
      <c r="B38" s="3" t="s">
        <v>180</v>
      </c>
      <c r="C38" s="9" t="s">
        <v>148</v>
      </c>
    </row>
    <row r="39" spans="2:3" ht="15.75" thickBot="1" x14ac:dyDescent="0.3">
      <c r="B39" s="3" t="s">
        <v>181</v>
      </c>
      <c r="C39" s="5" t="s">
        <v>148</v>
      </c>
    </row>
    <row r="40" spans="2:3" ht="15.75" thickBot="1" x14ac:dyDescent="0.3">
      <c r="B40" s="3" t="s">
        <v>182</v>
      </c>
      <c r="C40" s="9" t="s">
        <v>148</v>
      </c>
    </row>
    <row r="41" spans="2:3" ht="15.75" thickBot="1" x14ac:dyDescent="0.3">
      <c r="B41" s="3" t="s">
        <v>183</v>
      </c>
      <c r="C41" s="5" t="s">
        <v>148</v>
      </c>
    </row>
    <row r="42" spans="2:3" ht="15.75" thickBot="1" x14ac:dyDescent="0.3">
      <c r="B42" s="3" t="s">
        <v>184</v>
      </c>
      <c r="C42" s="9" t="s">
        <v>148</v>
      </c>
    </row>
    <row r="43" spans="2:3" ht="15.75" thickBot="1" x14ac:dyDescent="0.3">
      <c r="B43" s="3" t="s">
        <v>185</v>
      </c>
      <c r="C43" s="5" t="s">
        <v>148</v>
      </c>
    </row>
    <row r="44" spans="2:3" ht="15.75" thickBot="1" x14ac:dyDescent="0.3">
      <c r="B44" s="3" t="s">
        <v>186</v>
      </c>
      <c r="C44" s="9" t="s">
        <v>148</v>
      </c>
    </row>
    <row r="45" spans="2:3" ht="15.75" thickBot="1" x14ac:dyDescent="0.3">
      <c r="B45" s="3" t="s">
        <v>187</v>
      </c>
      <c r="C45" s="5" t="s">
        <v>188</v>
      </c>
    </row>
    <row r="46" spans="2:3" ht="15.75" thickBot="1" x14ac:dyDescent="0.3">
      <c r="B46" s="3" t="s">
        <v>189</v>
      </c>
      <c r="C46" s="9" t="s">
        <v>188</v>
      </c>
    </row>
    <row r="47" spans="2:3" ht="15.75" thickBot="1" x14ac:dyDescent="0.3">
      <c r="B47" s="3" t="s">
        <v>190</v>
      </c>
      <c r="C47" s="5" t="s">
        <v>188</v>
      </c>
    </row>
    <row r="48" spans="2:3" ht="15.75" thickBot="1" x14ac:dyDescent="0.3">
      <c r="B48" s="3" t="s">
        <v>191</v>
      </c>
      <c r="C48" s="9" t="s">
        <v>188</v>
      </c>
    </row>
    <row r="49" spans="2:3" ht="15.75" thickBot="1" x14ac:dyDescent="0.3">
      <c r="B49" s="3" t="s">
        <v>192</v>
      </c>
      <c r="C49" s="5" t="s">
        <v>188</v>
      </c>
    </row>
    <row r="50" spans="2:3" ht="15.75" thickBot="1" x14ac:dyDescent="0.3">
      <c r="B50" s="3" t="s">
        <v>193</v>
      </c>
      <c r="C50" s="9" t="s">
        <v>194</v>
      </c>
    </row>
    <row r="51" spans="2:3" ht="15.75" thickBot="1" x14ac:dyDescent="0.3">
      <c r="B51" s="3" t="s">
        <v>195</v>
      </c>
      <c r="C51" s="5" t="s">
        <v>194</v>
      </c>
    </row>
    <row r="52" spans="2:3" ht="15.75" thickBot="1" x14ac:dyDescent="0.3">
      <c r="B52" s="3" t="s">
        <v>196</v>
      </c>
      <c r="C52" s="9" t="s">
        <v>194</v>
      </c>
    </row>
    <row r="53" spans="2:3" ht="15.75" thickBot="1" x14ac:dyDescent="0.3">
      <c r="B53" s="3" t="s">
        <v>197</v>
      </c>
      <c r="C53" s="5" t="s">
        <v>194</v>
      </c>
    </row>
    <row r="54" spans="2:3" ht="15.75" thickBot="1" x14ac:dyDescent="0.3">
      <c r="B54" s="3" t="s">
        <v>198</v>
      </c>
      <c r="C54" s="9" t="s">
        <v>194</v>
      </c>
    </row>
    <row r="55" spans="2:3" ht="15.75" thickBot="1" x14ac:dyDescent="0.3">
      <c r="B55" s="3" t="s">
        <v>199</v>
      </c>
      <c r="C55" s="5" t="s">
        <v>194</v>
      </c>
    </row>
    <row r="56" spans="2:3" ht="15.75" thickBot="1" x14ac:dyDescent="0.3">
      <c r="B56" s="3" t="s">
        <v>200</v>
      </c>
      <c r="C56" s="9" t="s">
        <v>194</v>
      </c>
    </row>
    <row r="57" spans="2:3" ht="15.75" thickBot="1" x14ac:dyDescent="0.3">
      <c r="B57" s="3" t="s">
        <v>201</v>
      </c>
      <c r="C57" s="5" t="s">
        <v>194</v>
      </c>
    </row>
    <row r="58" spans="2:3" ht="15.75" thickBot="1" x14ac:dyDescent="0.3">
      <c r="B58" s="3" t="s">
        <v>202</v>
      </c>
      <c r="C58" s="9" t="s">
        <v>194</v>
      </c>
    </row>
    <row r="59" spans="2:3" ht="15.75" thickBot="1" x14ac:dyDescent="0.3">
      <c r="B59" s="3" t="s">
        <v>203</v>
      </c>
      <c r="C59" s="5" t="s">
        <v>194</v>
      </c>
    </row>
    <row r="60" spans="2:3" ht="15.75" thickBot="1" x14ac:dyDescent="0.3">
      <c r="B60" s="3" t="s">
        <v>204</v>
      </c>
      <c r="C60" s="9" t="s">
        <v>194</v>
      </c>
    </row>
    <row r="61" spans="2:3" ht="15.75" thickBot="1" x14ac:dyDescent="0.3">
      <c r="B61" s="3" t="s">
        <v>205</v>
      </c>
      <c r="C61" s="5" t="s">
        <v>194</v>
      </c>
    </row>
  </sheetData>
  <sheetProtection algorithmName="SHA-512" hashValue="m7pDpV5/iyhA4NYQ1+JOrLV8PEt6H1EHIvEN3J3EBl8VTQmDLMs4FCjHA1O9/qRZZ3sdf7/OqjZlYlQSfh3zYA==" saltValue="Aa8PK1WJATSGXYNoH7ZBLA==" spinCount="100000" sheet="1" objects="1" scenarios="1"/>
  <hyperlinks>
    <hyperlink ref="A1" location="Inhalt!A1" display="Zum Inhalt" xr:uid="{F1119ABE-B1CC-463F-A85A-F694B430C1AD}"/>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972B0-6966-45A0-8294-8F753C5A4139}">
  <sheetPr codeName="Tabelle54"/>
  <dimension ref="A1:G46"/>
  <sheetViews>
    <sheetView zoomScaleNormal="100" workbookViewId="0">
      <selection activeCell="B3" sqref="B3"/>
    </sheetView>
  </sheetViews>
  <sheetFormatPr baseColWidth="10" defaultColWidth="11.42578125" defaultRowHeight="15" x14ac:dyDescent="0.25"/>
  <cols>
    <col min="1" max="1" width="11.42578125" style="17"/>
    <col min="2" max="2" width="33.5703125" customWidth="1"/>
    <col min="3" max="3" width="19.140625" customWidth="1"/>
    <col min="4" max="4" width="28.85546875" customWidth="1"/>
    <col min="7" max="7" width="23" customWidth="1"/>
  </cols>
  <sheetData>
    <row r="1" spans="1:7" ht="25.5" x14ac:dyDescent="0.25">
      <c r="A1" s="29" t="s">
        <v>143</v>
      </c>
    </row>
    <row r="2" spans="1:7" x14ac:dyDescent="0.25">
      <c r="A2" s="56"/>
    </row>
    <row r="3" spans="1:7" x14ac:dyDescent="0.25">
      <c r="B3" s="4" t="s">
        <v>84</v>
      </c>
    </row>
    <row r="5" spans="1:7" ht="26.25" thickBot="1" x14ac:dyDescent="0.3">
      <c r="B5" s="20" t="s">
        <v>145</v>
      </c>
      <c r="C5" s="21" t="s">
        <v>206</v>
      </c>
      <c r="D5" s="20" t="s">
        <v>207</v>
      </c>
      <c r="E5" s="21" t="s">
        <v>208</v>
      </c>
      <c r="F5" s="20" t="s">
        <v>209</v>
      </c>
      <c r="G5" s="21" t="s">
        <v>210</v>
      </c>
    </row>
    <row r="6" spans="1:7" ht="15.75" thickBot="1" x14ac:dyDescent="0.3">
      <c r="B6" s="16" t="s">
        <v>149</v>
      </c>
      <c r="C6" s="18" t="s">
        <v>211</v>
      </c>
      <c r="D6" s="16" t="s">
        <v>212</v>
      </c>
      <c r="E6" s="18" t="s">
        <v>213</v>
      </c>
      <c r="F6" s="16" t="s">
        <v>214</v>
      </c>
      <c r="G6" s="18"/>
    </row>
    <row r="7" spans="1:7" ht="15.75" thickBot="1" x14ac:dyDescent="0.3">
      <c r="B7" s="16" t="s">
        <v>150</v>
      </c>
      <c r="C7" s="19" t="s">
        <v>215</v>
      </c>
      <c r="D7" s="16" t="s">
        <v>216</v>
      </c>
      <c r="E7" s="19" t="s">
        <v>213</v>
      </c>
      <c r="F7" s="16" t="s">
        <v>213</v>
      </c>
      <c r="G7" s="19" t="s">
        <v>217</v>
      </c>
    </row>
    <row r="8" spans="1:7" ht="57" thickBot="1" x14ac:dyDescent="0.3">
      <c r="B8" s="16" t="s">
        <v>151</v>
      </c>
      <c r="C8" s="18" t="s">
        <v>218</v>
      </c>
      <c r="D8" s="16" t="s">
        <v>219</v>
      </c>
      <c r="E8" s="18" t="s">
        <v>213</v>
      </c>
      <c r="F8" s="16" t="s">
        <v>213</v>
      </c>
      <c r="G8" s="18" t="s">
        <v>220</v>
      </c>
    </row>
    <row r="9" spans="1:7" ht="23.25" thickBot="1" x14ac:dyDescent="0.3">
      <c r="B9" s="16" t="s">
        <v>152</v>
      </c>
      <c r="C9" s="19" t="s">
        <v>218</v>
      </c>
      <c r="D9" s="16" t="s">
        <v>219</v>
      </c>
      <c r="E9" s="19" t="s">
        <v>213</v>
      </c>
      <c r="F9" s="16" t="s">
        <v>213</v>
      </c>
      <c r="G9" s="19" t="s">
        <v>221</v>
      </c>
    </row>
    <row r="10" spans="1:7" ht="57" thickBot="1" x14ac:dyDescent="0.3">
      <c r="B10" s="16" t="s">
        <v>222</v>
      </c>
      <c r="C10" s="18" t="s">
        <v>223</v>
      </c>
      <c r="D10" s="16" t="s">
        <v>224</v>
      </c>
      <c r="E10" s="18" t="s">
        <v>214</v>
      </c>
      <c r="F10" s="16" t="s">
        <v>214</v>
      </c>
      <c r="G10" s="18"/>
    </row>
    <row r="11" spans="1:7" ht="23.25" thickBot="1" x14ac:dyDescent="0.3">
      <c r="B11" s="16" t="s">
        <v>154</v>
      </c>
      <c r="C11" s="19" t="s">
        <v>223</v>
      </c>
      <c r="D11" s="16" t="s">
        <v>225</v>
      </c>
      <c r="E11" s="19" t="s">
        <v>214</v>
      </c>
      <c r="F11" s="16" t="s">
        <v>214</v>
      </c>
      <c r="G11" s="19"/>
    </row>
    <row r="12" spans="1:7" ht="23.25" thickBot="1" x14ac:dyDescent="0.3">
      <c r="B12" s="16" t="s">
        <v>155</v>
      </c>
      <c r="C12" s="18" t="s">
        <v>211</v>
      </c>
      <c r="D12" s="16" t="s">
        <v>219</v>
      </c>
      <c r="E12" s="18" t="s">
        <v>214</v>
      </c>
      <c r="F12" s="16" t="s">
        <v>213</v>
      </c>
      <c r="G12" s="18"/>
    </row>
    <row r="13" spans="1:7" ht="15.75" thickBot="1" x14ac:dyDescent="0.3">
      <c r="B13" s="16" t="s">
        <v>226</v>
      </c>
      <c r="C13" s="19" t="s">
        <v>227</v>
      </c>
      <c r="D13" s="16" t="s">
        <v>228</v>
      </c>
      <c r="E13" s="19" t="s">
        <v>213</v>
      </c>
      <c r="F13" s="16" t="s">
        <v>213</v>
      </c>
      <c r="G13" s="19" t="s">
        <v>229</v>
      </c>
    </row>
    <row r="14" spans="1:7" ht="34.5" thickBot="1" x14ac:dyDescent="0.3">
      <c r="B14" s="16" t="s">
        <v>156</v>
      </c>
      <c r="C14" s="18" t="s">
        <v>218</v>
      </c>
      <c r="D14" s="16" t="s">
        <v>230</v>
      </c>
      <c r="E14" s="18" t="s">
        <v>213</v>
      </c>
      <c r="F14" s="16" t="s">
        <v>213</v>
      </c>
      <c r="G14" s="18" t="s">
        <v>231</v>
      </c>
    </row>
    <row r="15" spans="1:7" ht="34.5" thickBot="1" x14ac:dyDescent="0.3">
      <c r="B15" s="16" t="s">
        <v>157</v>
      </c>
      <c r="C15" s="19" t="s">
        <v>232</v>
      </c>
      <c r="D15" s="16" t="s">
        <v>233</v>
      </c>
      <c r="E15" s="19" t="s">
        <v>213</v>
      </c>
      <c r="F15" s="16" t="s">
        <v>214</v>
      </c>
      <c r="G15" s="19" t="s">
        <v>234</v>
      </c>
    </row>
    <row r="16" spans="1:7" ht="34.5" thickBot="1" x14ac:dyDescent="0.3">
      <c r="B16" s="16" t="s">
        <v>235</v>
      </c>
      <c r="C16" s="18" t="s">
        <v>232</v>
      </c>
      <c r="D16" s="16" t="s">
        <v>233</v>
      </c>
      <c r="E16" s="18" t="s">
        <v>214</v>
      </c>
      <c r="F16" s="16" t="s">
        <v>214</v>
      </c>
      <c r="G16" s="18"/>
    </row>
    <row r="17" spans="2:7" ht="34.5" thickBot="1" x14ac:dyDescent="0.3">
      <c r="B17" s="16" t="s">
        <v>236</v>
      </c>
      <c r="C17" s="19" t="s">
        <v>237</v>
      </c>
      <c r="D17" s="16" t="s">
        <v>238</v>
      </c>
      <c r="E17" s="19" t="s">
        <v>214</v>
      </c>
      <c r="F17" s="16" t="s">
        <v>213</v>
      </c>
      <c r="G17" s="19" t="s">
        <v>239</v>
      </c>
    </row>
    <row r="18" spans="2:7" ht="34.5" thickBot="1" x14ac:dyDescent="0.3">
      <c r="B18" s="16" t="s">
        <v>160</v>
      </c>
      <c r="C18" s="18" t="s">
        <v>232</v>
      </c>
      <c r="D18" s="16" t="s">
        <v>233</v>
      </c>
      <c r="E18" s="18" t="s">
        <v>213</v>
      </c>
      <c r="F18" s="16" t="s">
        <v>213</v>
      </c>
      <c r="G18" s="18" t="s">
        <v>234</v>
      </c>
    </row>
    <row r="19" spans="2:7" ht="23.25" thickBot="1" x14ac:dyDescent="0.3">
      <c r="B19" s="16" t="s">
        <v>240</v>
      </c>
      <c r="C19" s="19" t="s">
        <v>237</v>
      </c>
      <c r="D19" s="16" t="s">
        <v>241</v>
      </c>
      <c r="E19" s="19" t="s">
        <v>213</v>
      </c>
      <c r="F19" s="16" t="s">
        <v>213</v>
      </c>
      <c r="G19" s="19" t="s">
        <v>242</v>
      </c>
    </row>
    <row r="20" spans="2:7" ht="57" thickBot="1" x14ac:dyDescent="0.3">
      <c r="B20" s="16" t="s">
        <v>243</v>
      </c>
      <c r="C20" s="18" t="s">
        <v>244</v>
      </c>
      <c r="D20" s="16" t="s">
        <v>245</v>
      </c>
      <c r="E20" s="18" t="s">
        <v>214</v>
      </c>
      <c r="F20" s="16" t="s">
        <v>214</v>
      </c>
      <c r="G20" s="18" t="s">
        <v>239</v>
      </c>
    </row>
    <row r="21" spans="2:7" ht="45.75" thickBot="1" x14ac:dyDescent="0.3">
      <c r="B21" s="16" t="s">
        <v>162</v>
      </c>
      <c r="C21" s="19" t="s">
        <v>246</v>
      </c>
      <c r="D21" s="16" t="s">
        <v>247</v>
      </c>
      <c r="E21" s="19" t="s">
        <v>213</v>
      </c>
      <c r="F21" s="16" t="s">
        <v>213</v>
      </c>
      <c r="G21" s="19" t="s">
        <v>248</v>
      </c>
    </row>
    <row r="22" spans="2:7" ht="34.5" thickBot="1" x14ac:dyDescent="0.3">
      <c r="B22" s="16" t="s">
        <v>163</v>
      </c>
      <c r="C22" s="18" t="s">
        <v>218</v>
      </c>
      <c r="D22" s="16" t="s">
        <v>219</v>
      </c>
      <c r="E22" s="18" t="s">
        <v>213</v>
      </c>
      <c r="F22" s="16" t="s">
        <v>213</v>
      </c>
      <c r="G22" s="18" t="s">
        <v>249</v>
      </c>
    </row>
    <row r="23" spans="2:7" ht="23.25" thickBot="1" x14ac:dyDescent="0.3">
      <c r="B23" s="16" t="s">
        <v>250</v>
      </c>
      <c r="C23" s="19" t="s">
        <v>251</v>
      </c>
      <c r="D23" s="16" t="s">
        <v>252</v>
      </c>
      <c r="E23" s="19" t="s">
        <v>214</v>
      </c>
      <c r="F23" s="16" t="s">
        <v>214</v>
      </c>
      <c r="G23" s="19" t="s">
        <v>253</v>
      </c>
    </row>
    <row r="24" spans="2:7" ht="23.25" thickBot="1" x14ac:dyDescent="0.3">
      <c r="B24" s="16" t="s">
        <v>165</v>
      </c>
      <c r="C24" s="18" t="s">
        <v>254</v>
      </c>
      <c r="D24" s="16" t="s">
        <v>219</v>
      </c>
      <c r="E24" s="18" t="s">
        <v>214</v>
      </c>
      <c r="F24" s="16" t="s">
        <v>214</v>
      </c>
      <c r="G24" s="18"/>
    </row>
    <row r="25" spans="2:7" ht="34.5" thickBot="1" x14ac:dyDescent="0.3">
      <c r="B25" s="16" t="s">
        <v>166</v>
      </c>
      <c r="C25" s="19" t="s">
        <v>232</v>
      </c>
      <c r="D25" s="16" t="s">
        <v>233</v>
      </c>
      <c r="E25" s="19" t="s">
        <v>213</v>
      </c>
      <c r="F25" s="16" t="s">
        <v>213</v>
      </c>
      <c r="G25" s="19" t="s">
        <v>255</v>
      </c>
    </row>
    <row r="26" spans="2:7" ht="34.5" thickBot="1" x14ac:dyDescent="0.3">
      <c r="B26" s="16" t="s">
        <v>167</v>
      </c>
      <c r="C26" s="18" t="s">
        <v>218</v>
      </c>
      <c r="D26" s="16" t="s">
        <v>219</v>
      </c>
      <c r="E26" s="18" t="s">
        <v>213</v>
      </c>
      <c r="F26" s="16" t="s">
        <v>213</v>
      </c>
      <c r="G26" s="18" t="s">
        <v>249</v>
      </c>
    </row>
    <row r="27" spans="2:7" ht="23.25" thickBot="1" x14ac:dyDescent="0.3">
      <c r="B27" s="16" t="s">
        <v>168</v>
      </c>
      <c r="C27" s="19" t="s">
        <v>256</v>
      </c>
      <c r="D27" s="16" t="s">
        <v>219</v>
      </c>
      <c r="E27" s="19" t="s">
        <v>214</v>
      </c>
      <c r="F27" s="16" t="s">
        <v>214</v>
      </c>
      <c r="G27" s="19"/>
    </row>
    <row r="28" spans="2:7" ht="34.5" thickBot="1" x14ac:dyDescent="0.3">
      <c r="B28" s="16" t="s">
        <v>171</v>
      </c>
      <c r="C28" s="18" t="s">
        <v>257</v>
      </c>
      <c r="D28" s="16" t="s">
        <v>258</v>
      </c>
      <c r="E28" s="18" t="s">
        <v>214</v>
      </c>
      <c r="F28" s="16" t="s">
        <v>214</v>
      </c>
      <c r="G28" s="18"/>
    </row>
    <row r="29" spans="2:7" ht="45.75" thickBot="1" x14ac:dyDescent="0.3">
      <c r="B29" s="16" t="s">
        <v>259</v>
      </c>
      <c r="C29" s="19" t="s">
        <v>260</v>
      </c>
      <c r="D29" s="16" t="s">
        <v>230</v>
      </c>
      <c r="E29" s="19" t="s">
        <v>214</v>
      </c>
      <c r="F29" s="16" t="s">
        <v>214</v>
      </c>
      <c r="G29" s="19"/>
    </row>
    <row r="30" spans="2:7" ht="23.25" thickBot="1" x14ac:dyDescent="0.3">
      <c r="B30" s="16" t="s">
        <v>170</v>
      </c>
      <c r="C30" s="18" t="s">
        <v>211</v>
      </c>
      <c r="D30" s="16" t="s">
        <v>230</v>
      </c>
      <c r="E30" s="18" t="s">
        <v>213</v>
      </c>
      <c r="F30" s="16" t="s">
        <v>213</v>
      </c>
      <c r="G30" s="18" t="s">
        <v>261</v>
      </c>
    </row>
    <row r="31" spans="2:7" ht="23.25" thickBot="1" x14ac:dyDescent="0.3">
      <c r="B31" s="16" t="s">
        <v>172</v>
      </c>
      <c r="C31" s="19" t="s">
        <v>218</v>
      </c>
      <c r="D31" s="16" t="s">
        <v>219</v>
      </c>
      <c r="E31" s="19" t="s">
        <v>214</v>
      </c>
      <c r="F31" s="16" t="s">
        <v>214</v>
      </c>
      <c r="G31" s="19"/>
    </row>
    <row r="32" spans="2:7" ht="34.5" thickBot="1" x14ac:dyDescent="0.3">
      <c r="B32" s="16" t="s">
        <v>262</v>
      </c>
      <c r="C32" s="18" t="s">
        <v>263</v>
      </c>
      <c r="D32" s="16" t="s">
        <v>219</v>
      </c>
      <c r="E32" s="18" t="s">
        <v>264</v>
      </c>
      <c r="F32" s="16" t="s">
        <v>264</v>
      </c>
      <c r="G32" s="18" t="s">
        <v>265</v>
      </c>
    </row>
    <row r="33" spans="2:7" ht="68.25" thickBot="1" x14ac:dyDescent="0.3">
      <c r="B33" s="16" t="s">
        <v>266</v>
      </c>
      <c r="C33" s="19" t="s">
        <v>267</v>
      </c>
      <c r="D33" s="16" t="s">
        <v>268</v>
      </c>
      <c r="E33" s="19" t="s">
        <v>214</v>
      </c>
      <c r="F33" s="16" t="s">
        <v>214</v>
      </c>
      <c r="G33" s="19"/>
    </row>
    <row r="34" spans="2:7" ht="34.5" thickBot="1" x14ac:dyDescent="0.3">
      <c r="B34" s="16" t="s">
        <v>174</v>
      </c>
      <c r="C34" s="18" t="s">
        <v>232</v>
      </c>
      <c r="D34" s="16" t="s">
        <v>233</v>
      </c>
      <c r="E34" s="18" t="s">
        <v>213</v>
      </c>
      <c r="F34" s="16" t="s">
        <v>213</v>
      </c>
      <c r="G34" s="18" t="s">
        <v>269</v>
      </c>
    </row>
    <row r="35" spans="2:7" ht="23.25" thickBot="1" x14ac:dyDescent="0.3">
      <c r="B35" s="16" t="s">
        <v>175</v>
      </c>
      <c r="C35" s="19" t="s">
        <v>218</v>
      </c>
      <c r="D35" s="16" t="s">
        <v>219</v>
      </c>
      <c r="E35" s="19" t="s">
        <v>213</v>
      </c>
      <c r="F35" s="16" t="s">
        <v>213</v>
      </c>
      <c r="G35" s="19" t="s">
        <v>270</v>
      </c>
    </row>
    <row r="36" spans="2:7" ht="23.25" thickBot="1" x14ac:dyDescent="0.3">
      <c r="B36" s="16" t="s">
        <v>176</v>
      </c>
      <c r="C36" s="18" t="s">
        <v>271</v>
      </c>
      <c r="D36" s="16" t="s">
        <v>219</v>
      </c>
      <c r="E36" s="18" t="s">
        <v>214</v>
      </c>
      <c r="F36" s="16" t="s">
        <v>214</v>
      </c>
      <c r="G36" s="18" t="s">
        <v>272</v>
      </c>
    </row>
    <row r="37" spans="2:7" ht="23.25" thickBot="1" x14ac:dyDescent="0.3">
      <c r="B37" s="16" t="s">
        <v>177</v>
      </c>
      <c r="C37" s="19" t="s">
        <v>254</v>
      </c>
      <c r="D37" s="16" t="s">
        <v>219</v>
      </c>
      <c r="E37" s="19" t="s">
        <v>214</v>
      </c>
      <c r="F37" s="16" t="s">
        <v>214</v>
      </c>
      <c r="G37" s="19"/>
    </row>
    <row r="38" spans="2:7" ht="23.25" thickBot="1" x14ac:dyDescent="0.3">
      <c r="B38" s="16" t="s">
        <v>178</v>
      </c>
      <c r="C38" s="18" t="s">
        <v>218</v>
      </c>
      <c r="D38" s="16" t="s">
        <v>219</v>
      </c>
      <c r="E38" s="18" t="s">
        <v>213</v>
      </c>
      <c r="F38" s="16" t="s">
        <v>213</v>
      </c>
      <c r="G38" s="18" t="s">
        <v>273</v>
      </c>
    </row>
    <row r="39" spans="2:7" ht="34.5" thickBot="1" x14ac:dyDescent="0.3">
      <c r="B39" s="16" t="s">
        <v>274</v>
      </c>
      <c r="C39" s="19" t="s">
        <v>232</v>
      </c>
      <c r="D39" s="16" t="s">
        <v>233</v>
      </c>
      <c r="E39" s="19" t="s">
        <v>275</v>
      </c>
      <c r="F39" s="16" t="s">
        <v>275</v>
      </c>
      <c r="G39" s="19"/>
    </row>
    <row r="40" spans="2:7" ht="23.25" thickBot="1" x14ac:dyDescent="0.3">
      <c r="B40" s="16" t="s">
        <v>180</v>
      </c>
      <c r="C40" s="18" t="s">
        <v>218</v>
      </c>
      <c r="D40" s="16" t="s">
        <v>219</v>
      </c>
      <c r="E40" s="18" t="s">
        <v>214</v>
      </c>
      <c r="F40" s="16" t="s">
        <v>214</v>
      </c>
      <c r="G40" s="18" t="s">
        <v>276</v>
      </c>
    </row>
    <row r="41" spans="2:7" ht="23.25" thickBot="1" x14ac:dyDescent="0.3">
      <c r="B41" s="16" t="s">
        <v>181</v>
      </c>
      <c r="C41" s="19" t="s">
        <v>277</v>
      </c>
      <c r="D41" s="16" t="s">
        <v>219</v>
      </c>
      <c r="E41" s="19" t="s">
        <v>214</v>
      </c>
      <c r="F41" s="16" t="s">
        <v>214</v>
      </c>
      <c r="G41" s="19"/>
    </row>
    <row r="42" spans="2:7" ht="23.25" thickBot="1" x14ac:dyDescent="0.3">
      <c r="B42" s="16" t="s">
        <v>182</v>
      </c>
      <c r="C42" s="18" t="s">
        <v>232</v>
      </c>
      <c r="D42" s="16" t="s">
        <v>216</v>
      </c>
      <c r="E42" s="18" t="s">
        <v>213</v>
      </c>
      <c r="F42" s="16" t="s">
        <v>213</v>
      </c>
      <c r="G42" s="18" t="s">
        <v>278</v>
      </c>
    </row>
    <row r="43" spans="2:7" ht="23.25" thickBot="1" x14ac:dyDescent="0.3">
      <c r="B43" s="16" t="s">
        <v>183</v>
      </c>
      <c r="C43" s="19" t="s">
        <v>254</v>
      </c>
      <c r="D43" s="16" t="s">
        <v>219</v>
      </c>
      <c r="E43" s="19" t="s">
        <v>214</v>
      </c>
      <c r="F43" s="16" t="s">
        <v>214</v>
      </c>
      <c r="G43" s="19"/>
    </row>
    <row r="44" spans="2:7" ht="23.25" thickBot="1" x14ac:dyDescent="0.3">
      <c r="B44" s="16" t="s">
        <v>184</v>
      </c>
      <c r="C44" s="18" t="s">
        <v>218</v>
      </c>
      <c r="D44" s="16" t="s">
        <v>219</v>
      </c>
      <c r="E44" s="18" t="s">
        <v>214</v>
      </c>
      <c r="F44" s="16" t="s">
        <v>214</v>
      </c>
      <c r="G44" s="18"/>
    </row>
    <row r="45" spans="2:7" ht="23.25" thickBot="1" x14ac:dyDescent="0.3">
      <c r="B45" s="16" t="s">
        <v>185</v>
      </c>
      <c r="C45" s="19" t="s">
        <v>279</v>
      </c>
      <c r="D45" s="16" t="s">
        <v>219</v>
      </c>
      <c r="E45" s="19" t="s">
        <v>213</v>
      </c>
      <c r="F45" s="16" t="s">
        <v>213</v>
      </c>
      <c r="G45" s="19" t="s">
        <v>280</v>
      </c>
    </row>
    <row r="46" spans="2:7" ht="68.25" thickBot="1" x14ac:dyDescent="0.3">
      <c r="B46" s="16" t="s">
        <v>281</v>
      </c>
      <c r="C46" s="18" t="s">
        <v>232</v>
      </c>
      <c r="D46" s="16" t="s">
        <v>282</v>
      </c>
      <c r="E46" s="18" t="s">
        <v>213</v>
      </c>
      <c r="F46" s="16" t="s">
        <v>213</v>
      </c>
      <c r="G46" s="18" t="s">
        <v>234</v>
      </c>
    </row>
  </sheetData>
  <sheetProtection algorithmName="SHA-512" hashValue="k/B7gY755v9nGANFP80NbVxpzycqm3ArkTMHRzCUyaadKKeJl4QZZWpr3JGhbaBlkSYBywYJwXfWPhOCwzgFMg==" saltValue="zYj8PUai8nkzlWL+fCgDDg==" spinCount="100000" sheet="1" objects="1" scenarios="1"/>
  <hyperlinks>
    <hyperlink ref="A1" location="Inhalt!A1" display="Zum Inhalt" xr:uid="{0EEDDFE1-5859-49D3-9D09-7BFED749D461}"/>
  </hyperlink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904C-E6CA-4C69-BBCA-E914A6FB2015}">
  <sheetPr codeName="Tabelle55"/>
  <dimension ref="A1:U28"/>
  <sheetViews>
    <sheetView zoomScaleNormal="100" workbookViewId="0">
      <selection activeCell="B3" sqref="B3"/>
    </sheetView>
  </sheetViews>
  <sheetFormatPr baseColWidth="10" defaultColWidth="11.42578125" defaultRowHeight="15" x14ac:dyDescent="0.25"/>
  <cols>
    <col min="5" max="8" width="14" customWidth="1"/>
    <col min="9" max="9" width="10.7109375" customWidth="1"/>
    <col min="10" max="10" width="25.7109375" bestFit="1" customWidth="1"/>
    <col min="11" max="21" width="11.28515625" customWidth="1"/>
  </cols>
  <sheetData>
    <row r="1" spans="1:21" ht="25.5" x14ac:dyDescent="0.25">
      <c r="A1" s="29" t="s">
        <v>143</v>
      </c>
    </row>
    <row r="2" spans="1:21" x14ac:dyDescent="0.25">
      <c r="A2" s="56"/>
    </row>
    <row r="3" spans="1:21" x14ac:dyDescent="0.25">
      <c r="A3" s="56"/>
      <c r="B3" s="4" t="s">
        <v>88</v>
      </c>
    </row>
    <row r="4" spans="1:21" x14ac:dyDescent="0.25">
      <c r="A4" s="56"/>
    </row>
    <row r="5" spans="1:21" x14ac:dyDescent="0.25">
      <c r="B5" s="4" t="s">
        <v>283</v>
      </c>
      <c r="C5" s="4" t="s">
        <v>284</v>
      </c>
    </row>
    <row r="6" spans="1:21" ht="39" thickBot="1" x14ac:dyDescent="0.3">
      <c r="B6" s="1" t="s">
        <v>285</v>
      </c>
      <c r="C6" s="2"/>
      <c r="D6" s="22" t="s">
        <v>286</v>
      </c>
      <c r="E6" s="1" t="s">
        <v>287</v>
      </c>
      <c r="F6" s="22" t="s">
        <v>288</v>
      </c>
      <c r="G6" s="6" t="s">
        <v>289</v>
      </c>
      <c r="H6" s="6" t="s">
        <v>289</v>
      </c>
      <c r="J6" s="22" t="s">
        <v>290</v>
      </c>
      <c r="K6" s="22" t="s">
        <v>246</v>
      </c>
      <c r="L6" s="22" t="s">
        <v>291</v>
      </c>
      <c r="M6" s="22" t="s">
        <v>292</v>
      </c>
      <c r="N6" s="22" t="s">
        <v>293</v>
      </c>
      <c r="O6" s="22" t="s">
        <v>294</v>
      </c>
      <c r="P6" s="22" t="s">
        <v>295</v>
      </c>
      <c r="Q6" s="22" t="s">
        <v>223</v>
      </c>
      <c r="R6" s="22" t="s">
        <v>251</v>
      </c>
      <c r="S6" s="22" t="s">
        <v>254</v>
      </c>
      <c r="T6" s="22" t="s">
        <v>277</v>
      </c>
      <c r="U6" s="22" t="s">
        <v>296</v>
      </c>
    </row>
    <row r="7" spans="1:21" ht="15.75" thickBot="1" x14ac:dyDescent="0.3">
      <c r="A7" s="13"/>
      <c r="B7" s="3" t="s">
        <v>297</v>
      </c>
      <c r="C7" s="10" t="s">
        <v>298</v>
      </c>
      <c r="D7" s="3" t="s">
        <v>299</v>
      </c>
      <c r="E7" s="65">
        <v>133</v>
      </c>
      <c r="F7" s="23">
        <v>-7.0000000000000001E-3</v>
      </c>
      <c r="G7" s="14">
        <v>0.84</v>
      </c>
      <c r="H7" s="12">
        <v>112</v>
      </c>
      <c r="I7" s="24"/>
      <c r="J7" s="67" t="s">
        <v>299</v>
      </c>
      <c r="K7" s="65">
        <f>$E7*K18</f>
        <v>396</v>
      </c>
      <c r="L7" s="65">
        <f>$E7*L18</f>
        <v>319</v>
      </c>
      <c r="M7" s="65">
        <f>$E7*M18</f>
        <v>301</v>
      </c>
      <c r="N7" s="65">
        <f>$E7*N18</f>
        <v>259</v>
      </c>
      <c r="O7" s="65">
        <f>$E7*O18</f>
        <v>186</v>
      </c>
      <c r="P7" s="65">
        <f t="shared" ref="P7:T7" si="0">$E7*P18</f>
        <v>161</v>
      </c>
      <c r="Q7" s="65">
        <f t="shared" si="0"/>
        <v>160</v>
      </c>
      <c r="R7" s="65">
        <f t="shared" si="0"/>
        <v>112</v>
      </c>
      <c r="S7" s="65">
        <f t="shared" si="0"/>
        <v>85</v>
      </c>
      <c r="T7" s="65">
        <f t="shared" si="0"/>
        <v>32</v>
      </c>
      <c r="U7" s="65">
        <f>$E7*U18</f>
        <v>27</v>
      </c>
    </row>
    <row r="8" spans="1:21" ht="15.75" thickBot="1" x14ac:dyDescent="0.3">
      <c r="A8" s="13"/>
      <c r="B8" s="3"/>
      <c r="C8" s="10" t="s">
        <v>300</v>
      </c>
      <c r="D8" s="3" t="s">
        <v>299</v>
      </c>
      <c r="E8" s="66"/>
      <c r="F8" s="23">
        <v>-1.4E-2</v>
      </c>
      <c r="G8" s="14">
        <v>0.68</v>
      </c>
      <c r="H8" s="12">
        <v>90</v>
      </c>
      <c r="I8" s="24"/>
      <c r="J8" s="68"/>
      <c r="K8" s="66"/>
      <c r="L8" s="66"/>
      <c r="M8" s="66"/>
      <c r="N8" s="66"/>
      <c r="O8" s="66"/>
      <c r="P8" s="66"/>
      <c r="Q8" s="66"/>
      <c r="R8" s="66"/>
      <c r="S8" s="66"/>
      <c r="T8" s="66"/>
      <c r="U8" s="66"/>
    </row>
    <row r="9" spans="1:21" ht="15.75" thickBot="1" x14ac:dyDescent="0.3">
      <c r="A9" s="13"/>
      <c r="B9" s="3" t="s">
        <v>301</v>
      </c>
      <c r="C9" s="10" t="s">
        <v>298</v>
      </c>
      <c r="D9" s="3" t="s">
        <v>299</v>
      </c>
      <c r="E9" s="65">
        <v>69</v>
      </c>
      <c r="F9" s="23">
        <v>-6.0000000000000001E-3</v>
      </c>
      <c r="G9" s="14">
        <v>0.86</v>
      </c>
      <c r="H9" s="12">
        <v>59</v>
      </c>
      <c r="I9" s="24"/>
      <c r="J9" s="67" t="s">
        <v>299</v>
      </c>
      <c r="K9" s="65">
        <f>$E9*K18</f>
        <v>206</v>
      </c>
      <c r="L9" s="65">
        <f>$E9*L18</f>
        <v>166</v>
      </c>
      <c r="M9" s="65">
        <f>$E9*M18</f>
        <v>156</v>
      </c>
      <c r="N9" s="65">
        <f>$E9*N18</f>
        <v>135</v>
      </c>
      <c r="O9" s="65">
        <f>$E9*O18</f>
        <v>97</v>
      </c>
      <c r="P9" s="65">
        <f t="shared" ref="P9:T9" si="1">$E9*P18</f>
        <v>83</v>
      </c>
      <c r="Q9" s="65">
        <f t="shared" si="1"/>
        <v>83</v>
      </c>
      <c r="R9" s="65">
        <f t="shared" si="1"/>
        <v>58</v>
      </c>
      <c r="S9" s="65">
        <f t="shared" si="1"/>
        <v>44</v>
      </c>
      <c r="T9" s="65">
        <f t="shared" si="1"/>
        <v>17</v>
      </c>
      <c r="U9" s="65">
        <f>$E9*U18</f>
        <v>14</v>
      </c>
    </row>
    <row r="10" spans="1:21" ht="15.75" thickBot="1" x14ac:dyDescent="0.3">
      <c r="A10" s="13"/>
      <c r="B10" s="3"/>
      <c r="C10" s="10" t="s">
        <v>300</v>
      </c>
      <c r="D10" s="3" t="s">
        <v>299</v>
      </c>
      <c r="E10" s="66"/>
      <c r="F10" s="23">
        <v>-1.6E-2</v>
      </c>
      <c r="G10" s="14">
        <v>0.63</v>
      </c>
      <c r="H10" s="12">
        <v>43</v>
      </c>
      <c r="I10" s="24"/>
      <c r="J10" s="68"/>
      <c r="K10" s="66"/>
      <c r="L10" s="66"/>
      <c r="M10" s="66"/>
      <c r="N10" s="66"/>
      <c r="O10" s="66"/>
      <c r="P10" s="66"/>
      <c r="Q10" s="66"/>
      <c r="R10" s="66"/>
      <c r="S10" s="66"/>
      <c r="T10" s="66"/>
      <c r="U10" s="66"/>
    </row>
    <row r="11" spans="1:21" ht="15.75" thickBot="1" x14ac:dyDescent="0.3">
      <c r="A11" s="13"/>
      <c r="B11" s="3" t="s">
        <v>302</v>
      </c>
      <c r="C11" s="10" t="s">
        <v>298</v>
      </c>
      <c r="D11" s="3" t="s">
        <v>299</v>
      </c>
      <c r="E11" s="65">
        <v>45</v>
      </c>
      <c r="F11" s="23">
        <v>-2E-3</v>
      </c>
      <c r="G11" s="14">
        <v>0.96</v>
      </c>
      <c r="H11" s="12">
        <v>43</v>
      </c>
      <c r="I11" s="24"/>
      <c r="J11" s="67" t="s">
        <v>299</v>
      </c>
      <c r="K11" s="65">
        <f>$E11*K18</f>
        <v>134</v>
      </c>
      <c r="L11" s="65">
        <f>$E11*L18</f>
        <v>108</v>
      </c>
      <c r="M11" s="65">
        <f>$E11*M18</f>
        <v>102</v>
      </c>
      <c r="N11" s="65">
        <f>$E11*N18</f>
        <v>88</v>
      </c>
      <c r="O11" s="65">
        <f>$E11*O18</f>
        <v>63</v>
      </c>
      <c r="P11" s="65">
        <f t="shared" ref="P11:T11" si="2">$E11*P18</f>
        <v>54</v>
      </c>
      <c r="Q11" s="65">
        <f t="shared" si="2"/>
        <v>54</v>
      </c>
      <c r="R11" s="65">
        <f t="shared" si="2"/>
        <v>38</v>
      </c>
      <c r="S11" s="65">
        <f t="shared" si="2"/>
        <v>29</v>
      </c>
      <c r="T11" s="65">
        <f t="shared" si="2"/>
        <v>11</v>
      </c>
      <c r="U11" s="65">
        <f>$E11*U18</f>
        <v>9</v>
      </c>
    </row>
    <row r="12" spans="1:21" ht="15.75" thickBot="1" x14ac:dyDescent="0.3">
      <c r="A12" s="13"/>
      <c r="B12" s="3"/>
      <c r="C12" s="10" t="s">
        <v>300</v>
      </c>
      <c r="D12" s="3" t="s">
        <v>299</v>
      </c>
      <c r="E12" s="66"/>
      <c r="F12" s="23">
        <v>-1.2999999999999999E-2</v>
      </c>
      <c r="G12" s="14">
        <v>0.7</v>
      </c>
      <c r="H12" s="12">
        <v>32</v>
      </c>
      <c r="I12" s="24"/>
      <c r="J12" s="68"/>
      <c r="K12" s="66"/>
      <c r="L12" s="66"/>
      <c r="M12" s="66"/>
      <c r="N12" s="66"/>
      <c r="O12" s="66"/>
      <c r="P12" s="66"/>
      <c r="Q12" s="66"/>
      <c r="R12" s="66"/>
      <c r="S12" s="66"/>
      <c r="T12" s="66"/>
      <c r="U12" s="66"/>
    </row>
    <row r="13" spans="1:21" x14ac:dyDescent="0.25">
      <c r="F13" s="25"/>
      <c r="G13" s="25"/>
      <c r="H13" s="25"/>
    </row>
    <row r="14" spans="1:21" ht="39" thickBot="1" x14ac:dyDescent="0.3">
      <c r="J14" s="1" t="s">
        <v>303</v>
      </c>
      <c r="K14" s="26" t="s">
        <v>246</v>
      </c>
      <c r="L14" s="26" t="s">
        <v>291</v>
      </c>
      <c r="M14" s="26" t="s">
        <v>292</v>
      </c>
      <c r="N14" s="26" t="s">
        <v>293</v>
      </c>
      <c r="O14" s="26" t="s">
        <v>294</v>
      </c>
      <c r="P14" s="26" t="s">
        <v>295</v>
      </c>
      <c r="Q14" s="26" t="s">
        <v>223</v>
      </c>
      <c r="R14" s="26" t="s">
        <v>251</v>
      </c>
      <c r="S14" s="26" t="s">
        <v>254</v>
      </c>
      <c r="T14" s="26" t="s">
        <v>277</v>
      </c>
      <c r="U14" s="26" t="s">
        <v>296</v>
      </c>
    </row>
    <row r="15" spans="1:21" ht="15.75" thickBot="1" x14ac:dyDescent="0.3">
      <c r="G15" s="24"/>
      <c r="H15" s="24"/>
      <c r="J15" s="3" t="s">
        <v>304</v>
      </c>
      <c r="K15" s="14">
        <v>2.04</v>
      </c>
      <c r="L15" s="14">
        <v>0.3</v>
      </c>
      <c r="M15" s="14">
        <v>1.57</v>
      </c>
      <c r="N15" s="14">
        <v>1.86</v>
      </c>
      <c r="O15" s="14">
        <v>1.32</v>
      </c>
      <c r="P15" s="14">
        <v>1.1599999999999999</v>
      </c>
      <c r="Q15" s="14">
        <v>1.1299999999999999</v>
      </c>
      <c r="R15" s="14">
        <v>0.79</v>
      </c>
      <c r="S15" s="14">
        <v>0.45</v>
      </c>
      <c r="T15" s="14">
        <v>0.19</v>
      </c>
      <c r="U15" s="14">
        <v>0.18</v>
      </c>
    </row>
    <row r="16" spans="1:21" ht="15.75" thickBot="1" x14ac:dyDescent="0.3">
      <c r="J16" s="3" t="s">
        <v>305</v>
      </c>
      <c r="K16" s="14">
        <v>0.23</v>
      </c>
      <c r="L16" s="14">
        <v>1</v>
      </c>
      <c r="M16" s="14">
        <v>0.11</v>
      </c>
      <c r="N16" s="14">
        <v>0.05</v>
      </c>
      <c r="O16" s="14">
        <v>0.05</v>
      </c>
      <c r="P16" s="14">
        <v>0.02</v>
      </c>
      <c r="Q16" s="14">
        <v>0.05</v>
      </c>
      <c r="R16" s="14">
        <v>0.05</v>
      </c>
      <c r="S16" s="14">
        <v>0.21</v>
      </c>
      <c r="T16" s="14">
        <v>0.03</v>
      </c>
      <c r="U16" s="14">
        <v>0.09</v>
      </c>
    </row>
    <row r="17" spans="2:21" ht="15.75" thickBot="1" x14ac:dyDescent="0.3">
      <c r="J17" s="3" t="s">
        <v>306</v>
      </c>
      <c r="K17" s="14">
        <v>0.23</v>
      </c>
      <c r="L17" s="14">
        <v>6</v>
      </c>
      <c r="M17" s="14">
        <v>0.33</v>
      </c>
      <c r="N17" s="14">
        <v>0</v>
      </c>
      <c r="O17" s="14">
        <v>0.01</v>
      </c>
      <c r="P17" s="14">
        <v>0.02</v>
      </c>
      <c r="Q17" s="14">
        <v>0.01</v>
      </c>
      <c r="R17" s="14">
        <v>0.01</v>
      </c>
      <c r="S17" s="14">
        <v>0.21</v>
      </c>
      <c r="T17" s="14">
        <v>0.22</v>
      </c>
      <c r="U17" s="14">
        <v>0.01</v>
      </c>
    </row>
    <row r="18" spans="2:21" ht="15.75" thickBot="1" x14ac:dyDescent="0.3">
      <c r="J18" s="3" t="s">
        <v>307</v>
      </c>
      <c r="K18" s="14">
        <f>K15*(1+K16+K17)</f>
        <v>2.98</v>
      </c>
      <c r="L18" s="14">
        <f>L15*(1+L16+L17)</f>
        <v>2.4</v>
      </c>
      <c r="M18" s="14">
        <f>M15*(1+M16+M17)</f>
        <v>2.2599999999999998</v>
      </c>
      <c r="N18" s="14">
        <f>N15*(1+N16+N17)</f>
        <v>1.95</v>
      </c>
      <c r="O18" s="14">
        <f>O15*(1+O16+O17)</f>
        <v>1.4</v>
      </c>
      <c r="P18" s="14">
        <f t="shared" ref="P18:T18" si="3">P15*(1+P16+P17)</f>
        <v>1.21</v>
      </c>
      <c r="Q18" s="14">
        <f t="shared" si="3"/>
        <v>1.2</v>
      </c>
      <c r="R18" s="14">
        <f t="shared" si="3"/>
        <v>0.84</v>
      </c>
      <c r="S18" s="14">
        <f t="shared" si="3"/>
        <v>0.64</v>
      </c>
      <c r="T18" s="14">
        <f t="shared" si="3"/>
        <v>0.24</v>
      </c>
      <c r="U18" s="14">
        <f>U15*(1+U16+U17)</f>
        <v>0.2</v>
      </c>
    </row>
    <row r="21" spans="2:21" x14ac:dyDescent="0.25">
      <c r="B21" s="4" t="s">
        <v>144</v>
      </c>
    </row>
    <row r="22" spans="2:21" x14ac:dyDescent="0.25">
      <c r="B22" s="8" t="s">
        <v>308</v>
      </c>
    </row>
    <row r="23" spans="2:21" x14ac:dyDescent="0.25">
      <c r="B23" s="8" t="s">
        <v>309</v>
      </c>
    </row>
    <row r="24" spans="2:21" x14ac:dyDescent="0.25">
      <c r="B24" s="8" t="s">
        <v>310</v>
      </c>
    </row>
    <row r="25" spans="2:21" x14ac:dyDescent="0.25">
      <c r="B25" s="8" t="s">
        <v>311</v>
      </c>
    </row>
    <row r="26" spans="2:21" x14ac:dyDescent="0.25">
      <c r="B26" s="8" t="s">
        <v>312</v>
      </c>
    </row>
    <row r="27" spans="2:21" x14ac:dyDescent="0.25">
      <c r="B27" s="8"/>
    </row>
    <row r="28" spans="2:21" x14ac:dyDescent="0.25">
      <c r="B28" s="27"/>
    </row>
  </sheetData>
  <sheetProtection algorithmName="SHA-512" hashValue="zxcPmKrhBqEDivQ86k7kOO3///SpU98w9vw/O2QtkCm3g5HYHmlMMdAAIhEcPzJAz/ApAg/PmTyAS5G0E82Dmg==" saltValue="wiGz6Tcf3tAz7HW5bHcCtQ==" spinCount="100000" sheet="1" objects="1" scenarios="1"/>
  <mergeCells count="39">
    <mergeCell ref="T7:T8"/>
    <mergeCell ref="N7:N8"/>
    <mergeCell ref="E7:E8"/>
    <mergeCell ref="J7:J8"/>
    <mergeCell ref="K7:K8"/>
    <mergeCell ref="L7:L8"/>
    <mergeCell ref="M7:M8"/>
    <mergeCell ref="T11:T12"/>
    <mergeCell ref="U7:U8"/>
    <mergeCell ref="E9:E10"/>
    <mergeCell ref="J9:J10"/>
    <mergeCell ref="K9:K10"/>
    <mergeCell ref="L9:L10"/>
    <mergeCell ref="M9:M10"/>
    <mergeCell ref="N9:N10"/>
    <mergeCell ref="O9:O10"/>
    <mergeCell ref="P9:P10"/>
    <mergeCell ref="Q9:Q10"/>
    <mergeCell ref="O7:O8"/>
    <mergeCell ref="P7:P8"/>
    <mergeCell ref="Q7:Q8"/>
    <mergeCell ref="R7:R8"/>
    <mergeCell ref="S7:S8"/>
    <mergeCell ref="R9:R10"/>
    <mergeCell ref="S9:S10"/>
    <mergeCell ref="T9:T10"/>
    <mergeCell ref="U9:U10"/>
    <mergeCell ref="E11:E12"/>
    <mergeCell ref="J11:J12"/>
    <mergeCell ref="K11:K12"/>
    <mergeCell ref="L11:L12"/>
    <mergeCell ref="M11:M12"/>
    <mergeCell ref="N11:N12"/>
    <mergeCell ref="U11:U12"/>
    <mergeCell ref="O11:O12"/>
    <mergeCell ref="P11:P12"/>
    <mergeCell ref="Q11:Q12"/>
    <mergeCell ref="R11:R12"/>
    <mergeCell ref="S11:S12"/>
  </mergeCells>
  <conditionalFormatting sqref="B9:B12">
    <cfRule type="colorScale" priority="1">
      <colorScale>
        <cfvo type="min"/>
        <cfvo type="percentile" val="50"/>
        <cfvo type="max"/>
        <color rgb="FF63BE7B"/>
        <color rgb="FFFFEB84"/>
        <color rgb="FFF8696B"/>
      </colorScale>
    </cfRule>
  </conditionalFormatting>
  <hyperlinks>
    <hyperlink ref="A1" location="Inhalt!A1" display="Zum Inhalt" xr:uid="{F7777344-EDC4-4BF4-961A-D68010831D88}"/>
  </hyperlinks>
  <pageMargins left="0.7" right="0.7" top="0.78740157499999996" bottom="0.78740157499999996"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3F47-2C08-4B44-9CF6-C192A98AC4FA}">
  <sheetPr codeName="Tabelle56"/>
  <dimension ref="A1:M29"/>
  <sheetViews>
    <sheetView workbookViewId="0">
      <selection activeCell="H6" sqref="H6"/>
    </sheetView>
  </sheetViews>
  <sheetFormatPr baseColWidth="10" defaultColWidth="11.42578125" defaultRowHeight="15" x14ac:dyDescent="0.25"/>
  <cols>
    <col min="1" max="4" width="11.42578125" style="17"/>
    <col min="5" max="8" width="13.7109375" style="17" customWidth="1"/>
    <col min="9" max="9" width="11.5703125" style="17" customWidth="1"/>
    <col min="10" max="10" width="23.5703125" style="17" customWidth="1"/>
    <col min="11" max="13" width="12.7109375" style="17" customWidth="1"/>
    <col min="14" max="16384" width="11.42578125" style="17"/>
  </cols>
  <sheetData>
    <row r="1" spans="1:13" ht="25.5" x14ac:dyDescent="0.25">
      <c r="A1" s="29" t="s">
        <v>143</v>
      </c>
    </row>
    <row r="2" spans="1:13" customFormat="1" x14ac:dyDescent="0.25">
      <c r="A2" s="56"/>
    </row>
    <row r="3" spans="1:13" customFormat="1" x14ac:dyDescent="0.25">
      <c r="A3" s="56"/>
      <c r="B3" s="4" t="s">
        <v>92</v>
      </c>
    </row>
    <row r="4" spans="1:13" customFormat="1" x14ac:dyDescent="0.25">
      <c r="A4" s="56"/>
    </row>
    <row r="5" spans="1:13" x14ac:dyDescent="0.25">
      <c r="B5" s="38" t="s">
        <v>283</v>
      </c>
      <c r="C5" s="38" t="s">
        <v>194</v>
      </c>
    </row>
    <row r="6" spans="1:13" ht="26.25" thickBot="1" x14ac:dyDescent="0.3">
      <c r="B6" s="39" t="s">
        <v>285</v>
      </c>
      <c r="C6" s="40"/>
      <c r="D6" s="41" t="s">
        <v>286</v>
      </c>
      <c r="E6" s="39" t="s">
        <v>287</v>
      </c>
      <c r="F6" s="41" t="s">
        <v>288</v>
      </c>
      <c r="G6" s="42" t="s">
        <v>289</v>
      </c>
      <c r="H6" s="42" t="s">
        <v>289</v>
      </c>
      <c r="J6" s="39" t="s">
        <v>313</v>
      </c>
      <c r="K6" s="43" t="s">
        <v>194</v>
      </c>
      <c r="L6" s="43" t="s">
        <v>314</v>
      </c>
      <c r="M6" s="43" t="s">
        <v>315</v>
      </c>
    </row>
    <row r="7" spans="1:13" ht="15.75" thickBot="1" x14ac:dyDescent="0.3">
      <c r="B7" s="3" t="s">
        <v>297</v>
      </c>
      <c r="C7" s="10" t="s">
        <v>298</v>
      </c>
      <c r="D7" s="3" t="s">
        <v>316</v>
      </c>
      <c r="E7" s="65">
        <v>44</v>
      </c>
      <c r="F7" s="23">
        <v>-1.7999999999999999E-2</v>
      </c>
      <c r="G7" s="14">
        <v>0.59</v>
      </c>
      <c r="H7" s="12">
        <v>26</v>
      </c>
      <c r="I7" s="44"/>
      <c r="J7" s="67" t="s">
        <v>299</v>
      </c>
      <c r="K7" s="65">
        <f>$E7*K18</f>
        <v>889</v>
      </c>
      <c r="L7" s="65">
        <f t="shared" ref="L7" si="0">$E7*L18</f>
        <v>291</v>
      </c>
      <c r="M7" s="65">
        <f>$E7*M18</f>
        <v>100</v>
      </c>
    </row>
    <row r="8" spans="1:13" ht="15.75" thickBot="1" x14ac:dyDescent="0.3">
      <c r="B8" s="3"/>
      <c r="C8" s="10" t="s">
        <v>300</v>
      </c>
      <c r="D8" s="3" t="s">
        <v>316</v>
      </c>
      <c r="E8" s="66"/>
      <c r="F8" s="23">
        <v>-2.5999999999999999E-2</v>
      </c>
      <c r="G8" s="14">
        <v>0.41</v>
      </c>
      <c r="H8" s="12">
        <v>18</v>
      </c>
      <c r="I8" s="44"/>
      <c r="J8" s="68"/>
      <c r="K8" s="66"/>
      <c r="L8" s="66"/>
      <c r="M8" s="66"/>
    </row>
    <row r="9" spans="1:13" ht="15.75" thickBot="1" x14ac:dyDescent="0.3">
      <c r="B9" s="3" t="s">
        <v>301</v>
      </c>
      <c r="C9" s="10" t="s">
        <v>298</v>
      </c>
      <c r="D9" s="3" t="s">
        <v>316</v>
      </c>
      <c r="E9" s="65">
        <v>20</v>
      </c>
      <c r="F9" s="23">
        <v>-1.6E-2</v>
      </c>
      <c r="G9" s="14">
        <v>0.63</v>
      </c>
      <c r="H9" s="12">
        <v>13</v>
      </c>
      <c r="I9" s="44"/>
      <c r="J9" s="67" t="s">
        <v>299</v>
      </c>
      <c r="K9" s="65">
        <f>$E9*K18</f>
        <v>404</v>
      </c>
      <c r="L9" s="65">
        <f t="shared" ref="L9" si="1">$E9*L18</f>
        <v>132</v>
      </c>
      <c r="M9" s="65">
        <f>$E9*M18</f>
        <v>45</v>
      </c>
    </row>
    <row r="10" spans="1:13" ht="15.75" thickBot="1" x14ac:dyDescent="0.3">
      <c r="B10" s="3"/>
      <c r="C10" s="10" t="s">
        <v>300</v>
      </c>
      <c r="D10" s="3" t="s">
        <v>316</v>
      </c>
      <c r="E10" s="66"/>
      <c r="F10" s="23">
        <v>-2.4E-2</v>
      </c>
      <c r="G10" s="14">
        <v>0.45</v>
      </c>
      <c r="H10" s="12">
        <v>9</v>
      </c>
      <c r="I10" s="44"/>
      <c r="J10" s="68"/>
      <c r="K10" s="66"/>
      <c r="L10" s="66"/>
      <c r="M10" s="66"/>
    </row>
    <row r="11" spans="1:13" ht="15.75" thickBot="1" x14ac:dyDescent="0.3">
      <c r="B11" s="3" t="s">
        <v>302</v>
      </c>
      <c r="C11" s="10" t="s">
        <v>298</v>
      </c>
      <c r="D11" s="3" t="s">
        <v>316</v>
      </c>
      <c r="E11" s="65">
        <v>9</v>
      </c>
      <c r="F11" s="23">
        <v>-2E-3</v>
      </c>
      <c r="G11" s="14">
        <v>0.95</v>
      </c>
      <c r="H11" s="12">
        <v>9</v>
      </c>
      <c r="I11" s="44"/>
      <c r="J11" s="67" t="s">
        <v>299</v>
      </c>
      <c r="K11" s="65">
        <f>$E11*K18</f>
        <v>182</v>
      </c>
      <c r="L11" s="65">
        <f t="shared" ref="L11" si="2">$E11*L18</f>
        <v>60</v>
      </c>
      <c r="M11" s="65">
        <f>$E11*M18</f>
        <v>20</v>
      </c>
    </row>
    <row r="12" spans="1:13" ht="15.75" thickBot="1" x14ac:dyDescent="0.3">
      <c r="B12" s="3"/>
      <c r="C12" s="10" t="s">
        <v>300</v>
      </c>
      <c r="D12" s="3" t="s">
        <v>316</v>
      </c>
      <c r="E12" s="66"/>
      <c r="F12" s="23">
        <v>-8.0000000000000002E-3</v>
      </c>
      <c r="G12" s="14">
        <v>0.82</v>
      </c>
      <c r="H12" s="12">
        <v>7</v>
      </c>
      <c r="I12" s="44"/>
      <c r="J12" s="68"/>
      <c r="K12" s="66"/>
      <c r="L12" s="66"/>
      <c r="M12" s="66"/>
    </row>
    <row r="13" spans="1:13" x14ac:dyDescent="0.25">
      <c r="M13" s="45"/>
    </row>
    <row r="14" spans="1:13" ht="26.25" thickBot="1" x14ac:dyDescent="0.3">
      <c r="J14" s="39" t="s">
        <v>317</v>
      </c>
      <c r="K14" s="43" t="s">
        <v>194</v>
      </c>
      <c r="L14" s="43" t="s">
        <v>314</v>
      </c>
      <c r="M14" s="43" t="s">
        <v>315</v>
      </c>
    </row>
    <row r="15" spans="1:13" ht="15.75" thickBot="1" x14ac:dyDescent="0.3">
      <c r="J15" s="3" t="s">
        <v>304</v>
      </c>
      <c r="K15" s="14">
        <v>1.68</v>
      </c>
      <c r="L15" s="14">
        <v>0.69</v>
      </c>
      <c r="M15" s="14">
        <v>0.63</v>
      </c>
    </row>
    <row r="16" spans="1:13" ht="15.75" thickBot="1" x14ac:dyDescent="0.3">
      <c r="J16" s="3" t="s">
        <v>305</v>
      </c>
      <c r="K16" s="14">
        <v>0.1</v>
      </c>
      <c r="L16" s="14">
        <v>0.1</v>
      </c>
      <c r="M16" s="14">
        <v>0.11</v>
      </c>
    </row>
    <row r="17" spans="2:13" ht="15.75" thickBot="1" x14ac:dyDescent="0.3">
      <c r="J17" s="3" t="s">
        <v>306</v>
      </c>
      <c r="K17" s="14">
        <v>10.93</v>
      </c>
      <c r="L17" s="14">
        <v>8.49</v>
      </c>
      <c r="M17" s="14">
        <v>2.5</v>
      </c>
    </row>
    <row r="18" spans="2:13" ht="15.75" thickBot="1" x14ac:dyDescent="0.3">
      <c r="J18" s="3" t="s">
        <v>307</v>
      </c>
      <c r="K18" s="14">
        <f>K15*(1+K16+K17)</f>
        <v>20.21</v>
      </c>
      <c r="L18" s="14">
        <f t="shared" ref="L18" si="3">L15*(1+L16+L17)</f>
        <v>6.62</v>
      </c>
      <c r="M18" s="14">
        <f>M15*(1+M16+M17)</f>
        <v>2.27</v>
      </c>
    </row>
    <row r="21" spans="2:13" x14ac:dyDescent="0.25">
      <c r="B21" s="4" t="s">
        <v>144</v>
      </c>
      <c r="C21" s="51"/>
      <c r="D21" s="51"/>
    </row>
    <row r="22" spans="2:13" x14ac:dyDescent="0.25">
      <c r="B22" s="8" t="s">
        <v>308</v>
      </c>
      <c r="C22" s="51"/>
      <c r="D22" s="51"/>
    </row>
    <row r="23" spans="2:13" x14ac:dyDescent="0.25">
      <c r="B23" s="8" t="s">
        <v>309</v>
      </c>
      <c r="C23" s="51"/>
      <c r="D23" s="51"/>
    </row>
    <row r="24" spans="2:13" x14ac:dyDescent="0.25">
      <c r="B24" s="8" t="s">
        <v>310</v>
      </c>
      <c r="C24" s="51"/>
      <c r="D24" s="51"/>
    </row>
    <row r="25" spans="2:13" x14ac:dyDescent="0.25">
      <c r="B25" s="8" t="s">
        <v>311</v>
      </c>
      <c r="C25" s="51"/>
      <c r="D25" s="51"/>
    </row>
    <row r="26" spans="2:13" x14ac:dyDescent="0.25">
      <c r="B26" s="8" t="s">
        <v>318</v>
      </c>
      <c r="C26" s="51"/>
      <c r="D26" s="51"/>
    </row>
    <row r="29" spans="2:13" x14ac:dyDescent="0.25">
      <c r="B29" s="46"/>
    </row>
  </sheetData>
  <sheetProtection algorithmName="SHA-512" hashValue="i+is6Qss1LLm8hP5pQ7X8ruG97xruj44hDdot6GD6WJco8i+kqtLQGePutPy4yD64OgYNWBJGlE3QVeI6XfiJQ==" saltValue="fq0hjz2uJJU9w1QIrNNc0A==" spinCount="100000" sheet="1" objects="1" scenarios="1"/>
  <mergeCells count="15">
    <mergeCell ref="E9:E10"/>
    <mergeCell ref="J9:J10"/>
    <mergeCell ref="K9:K10"/>
    <mergeCell ref="L9:L10"/>
    <mergeCell ref="M9:M10"/>
    <mergeCell ref="E7:E8"/>
    <mergeCell ref="J7:J8"/>
    <mergeCell ref="K7:K8"/>
    <mergeCell ref="L7:L8"/>
    <mergeCell ref="M7:M8"/>
    <mergeCell ref="E11:E12"/>
    <mergeCell ref="J11:J12"/>
    <mergeCell ref="K11:K12"/>
    <mergeCell ref="L11:L12"/>
    <mergeCell ref="M11:M12"/>
  </mergeCells>
  <conditionalFormatting sqref="B9:B12">
    <cfRule type="colorScale" priority="1">
      <colorScale>
        <cfvo type="min"/>
        <cfvo type="percentile" val="50"/>
        <cfvo type="max"/>
        <color rgb="FF63BE7B"/>
        <color rgb="FFFFEB84"/>
        <color rgb="FFF8696B"/>
      </colorScale>
    </cfRule>
  </conditionalFormatting>
  <hyperlinks>
    <hyperlink ref="A1" location="Inhalt!A1" display="Zum Inhalt" xr:uid="{4BCE4784-04E1-4502-8B8A-67C6061A01CD}"/>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549C6-4D3F-4AF2-B1D7-BF365F5F9C7C}">
  <sheetPr codeName="Tabelle57"/>
  <dimension ref="A1:I35"/>
  <sheetViews>
    <sheetView workbookViewId="0"/>
  </sheetViews>
  <sheetFormatPr baseColWidth="10" defaultColWidth="11.42578125" defaultRowHeight="15" x14ac:dyDescent="0.25"/>
  <sheetData>
    <row r="1" spans="1:8" ht="25.5" x14ac:dyDescent="0.25">
      <c r="A1" s="29" t="s">
        <v>143</v>
      </c>
    </row>
    <row r="2" spans="1:8" x14ac:dyDescent="0.25">
      <c r="A2" s="56"/>
    </row>
    <row r="3" spans="1:8" x14ac:dyDescent="0.25">
      <c r="A3" s="56"/>
      <c r="B3" s="4" t="s">
        <v>96</v>
      </c>
    </row>
    <row r="4" spans="1:8" x14ac:dyDescent="0.25">
      <c r="A4" s="56"/>
    </row>
    <row r="5" spans="1:8" x14ac:dyDescent="0.25">
      <c r="B5" s="4" t="s">
        <v>283</v>
      </c>
      <c r="C5" s="4" t="s">
        <v>319</v>
      </c>
    </row>
    <row r="6" spans="1:8" x14ac:dyDescent="0.25">
      <c r="B6" s="4" t="s">
        <v>320</v>
      </c>
      <c r="C6" s="4"/>
    </row>
    <row r="7" spans="1:8" ht="39" thickBot="1" x14ac:dyDescent="0.3">
      <c r="B7" s="1" t="s">
        <v>285</v>
      </c>
      <c r="C7" s="2"/>
      <c r="D7" s="1"/>
      <c r="E7" s="1" t="s">
        <v>287</v>
      </c>
      <c r="F7" s="22" t="s">
        <v>288</v>
      </c>
      <c r="G7" s="6" t="s">
        <v>289</v>
      </c>
      <c r="H7" s="6" t="s">
        <v>289</v>
      </c>
    </row>
    <row r="8" spans="1:8" ht="15.75" thickBot="1" x14ac:dyDescent="0.3">
      <c r="A8" s="13"/>
      <c r="B8" s="3" t="s">
        <v>321</v>
      </c>
      <c r="C8" s="10" t="s">
        <v>298</v>
      </c>
      <c r="D8" s="3" t="s">
        <v>316</v>
      </c>
      <c r="E8" s="65">
        <v>113</v>
      </c>
      <c r="F8" s="23">
        <f>-(1-G8)/23</f>
        <v>-1.2999999999999999E-2</v>
      </c>
      <c r="G8" s="14">
        <f>H8/E8</f>
        <v>0.71</v>
      </c>
      <c r="H8" s="12">
        <v>80</v>
      </c>
    </row>
    <row r="9" spans="1:8" ht="15.75" thickBot="1" x14ac:dyDescent="0.3">
      <c r="A9" s="13"/>
      <c r="B9" s="3"/>
      <c r="C9" s="11" t="s">
        <v>300</v>
      </c>
      <c r="D9" s="3" t="s">
        <v>316</v>
      </c>
      <c r="E9" s="66"/>
      <c r="F9" s="23">
        <f t="shared" ref="F9:F21" si="0">-(1-G9)/23</f>
        <v>-0.02</v>
      </c>
      <c r="G9" s="14">
        <f>H9/E8</f>
        <v>0.54</v>
      </c>
      <c r="H9" s="12">
        <v>61</v>
      </c>
    </row>
    <row r="10" spans="1:8" ht="15.75" thickBot="1" x14ac:dyDescent="0.3">
      <c r="A10" s="13"/>
      <c r="B10" s="3" t="s">
        <v>322</v>
      </c>
      <c r="C10" s="11" t="s">
        <v>298</v>
      </c>
      <c r="D10" s="3" t="s">
        <v>316</v>
      </c>
      <c r="E10" s="65">
        <v>103</v>
      </c>
      <c r="F10" s="23">
        <f t="shared" si="0"/>
        <v>-0.02</v>
      </c>
      <c r="G10" s="14">
        <f>H10/E10</f>
        <v>0.53</v>
      </c>
      <c r="H10" s="15">
        <v>55</v>
      </c>
    </row>
    <row r="11" spans="1:8" ht="15.75" thickBot="1" x14ac:dyDescent="0.3">
      <c r="A11" s="13"/>
      <c r="B11" s="3"/>
      <c r="C11" s="11" t="s">
        <v>300</v>
      </c>
      <c r="D11" s="3" t="s">
        <v>316</v>
      </c>
      <c r="E11" s="66"/>
      <c r="F11" s="23">
        <f t="shared" si="0"/>
        <v>-2.3E-2</v>
      </c>
      <c r="G11" s="14">
        <f>H11/E10</f>
        <v>0.47</v>
      </c>
      <c r="H11" s="15">
        <v>48</v>
      </c>
    </row>
    <row r="12" spans="1:8" ht="15.75" thickBot="1" x14ac:dyDescent="0.3">
      <c r="A12" s="13"/>
      <c r="B12" s="3" t="s">
        <v>323</v>
      </c>
      <c r="C12" s="11" t="s">
        <v>298</v>
      </c>
      <c r="D12" s="3" t="s">
        <v>316</v>
      </c>
      <c r="E12" s="65">
        <v>93</v>
      </c>
      <c r="F12" s="23">
        <f t="shared" si="0"/>
        <v>-1.2999999999999999E-2</v>
      </c>
      <c r="G12" s="14">
        <f t="shared" ref="G12" si="1">H12/E12</f>
        <v>0.7</v>
      </c>
      <c r="H12" s="12">
        <v>65</v>
      </c>
    </row>
    <row r="13" spans="1:8" ht="15.75" thickBot="1" x14ac:dyDescent="0.3">
      <c r="A13" s="13"/>
      <c r="B13" s="3"/>
      <c r="C13" s="11" t="s">
        <v>300</v>
      </c>
      <c r="D13" s="3" t="s">
        <v>316</v>
      </c>
      <c r="E13" s="66"/>
      <c r="F13" s="23">
        <f t="shared" si="0"/>
        <v>-1.9E-2</v>
      </c>
      <c r="G13" s="14">
        <f t="shared" ref="G13" si="2">H13/E12</f>
        <v>0.56000000000000005</v>
      </c>
      <c r="H13" s="12">
        <v>52</v>
      </c>
    </row>
    <row r="14" spans="1:8" ht="15.75" thickBot="1" x14ac:dyDescent="0.3">
      <c r="A14" s="13"/>
      <c r="B14" s="3" t="s">
        <v>324</v>
      </c>
      <c r="C14" s="11" t="s">
        <v>298</v>
      </c>
      <c r="D14" s="3" t="s">
        <v>316</v>
      </c>
      <c r="E14" s="65">
        <v>87</v>
      </c>
      <c r="F14" s="23">
        <f t="shared" si="0"/>
        <v>-1.9E-2</v>
      </c>
      <c r="G14" s="14">
        <f t="shared" ref="G14" si="3">H14/E14</f>
        <v>0.56000000000000005</v>
      </c>
      <c r="H14" s="12">
        <v>49</v>
      </c>
    </row>
    <row r="15" spans="1:8" ht="15.75" thickBot="1" x14ac:dyDescent="0.3">
      <c r="A15" s="13"/>
      <c r="B15" s="3"/>
      <c r="C15" s="11" t="s">
        <v>300</v>
      </c>
      <c r="D15" s="3" t="s">
        <v>316</v>
      </c>
      <c r="E15" s="66"/>
      <c r="F15" s="23">
        <f t="shared" si="0"/>
        <v>-1.9E-2</v>
      </c>
      <c r="G15" s="14">
        <f t="shared" ref="G15" si="4">H15/E14</f>
        <v>0.56000000000000005</v>
      </c>
      <c r="H15" s="12">
        <v>49</v>
      </c>
    </row>
    <row r="16" spans="1:8" ht="15.75" thickBot="1" x14ac:dyDescent="0.3">
      <c r="A16" s="13"/>
      <c r="B16" s="3" t="s">
        <v>325</v>
      </c>
      <c r="C16" s="11" t="s">
        <v>298</v>
      </c>
      <c r="D16" s="3" t="s">
        <v>316</v>
      </c>
      <c r="E16" s="65">
        <v>62</v>
      </c>
      <c r="F16" s="23">
        <f t="shared" si="0"/>
        <v>-3.0000000000000001E-3</v>
      </c>
      <c r="G16" s="14">
        <f t="shared" ref="G16" si="5">H16/E16</f>
        <v>0.92</v>
      </c>
      <c r="H16" s="12">
        <v>57</v>
      </c>
    </row>
    <row r="17" spans="1:9" ht="15.75" thickBot="1" x14ac:dyDescent="0.3">
      <c r="A17" s="13"/>
      <c r="B17" s="3"/>
      <c r="C17" s="11" t="s">
        <v>300</v>
      </c>
      <c r="D17" s="3" t="s">
        <v>316</v>
      </c>
      <c r="E17" s="66"/>
      <c r="F17" s="23">
        <f t="shared" si="0"/>
        <v>-1.6E-2</v>
      </c>
      <c r="G17" s="14">
        <f t="shared" ref="G17" si="6">H17/E16</f>
        <v>0.63</v>
      </c>
      <c r="H17" s="12">
        <v>39</v>
      </c>
    </row>
    <row r="18" spans="1:9" ht="15.75" thickBot="1" x14ac:dyDescent="0.3">
      <c r="A18" s="13"/>
      <c r="B18" s="3" t="s">
        <v>326</v>
      </c>
      <c r="C18" s="11" t="s">
        <v>298</v>
      </c>
      <c r="D18" s="3" t="s">
        <v>316</v>
      </c>
      <c r="E18" s="65">
        <v>48</v>
      </c>
      <c r="F18" s="23">
        <f t="shared" si="0"/>
        <v>0</v>
      </c>
      <c r="G18" s="14">
        <f t="shared" ref="G18" si="7">H18/E18</f>
        <v>1</v>
      </c>
      <c r="H18" s="28">
        <f>E18</f>
        <v>48</v>
      </c>
    </row>
    <row r="19" spans="1:9" ht="15.75" thickBot="1" x14ac:dyDescent="0.3">
      <c r="A19" s="13"/>
      <c r="B19" s="3"/>
      <c r="C19" s="11" t="s">
        <v>300</v>
      </c>
      <c r="D19" s="3" t="s">
        <v>316</v>
      </c>
      <c r="E19" s="66"/>
      <c r="F19" s="23">
        <f t="shared" si="0"/>
        <v>0</v>
      </c>
      <c r="G19" s="14">
        <f t="shared" ref="G19" si="8">H19/E18</f>
        <v>1</v>
      </c>
      <c r="H19" s="28">
        <f>E18</f>
        <v>48</v>
      </c>
    </row>
    <row r="20" spans="1:9" ht="15.75" thickBot="1" x14ac:dyDescent="0.3">
      <c r="A20" s="13"/>
      <c r="B20" s="3" t="s">
        <v>327</v>
      </c>
      <c r="C20" s="11" t="s">
        <v>298</v>
      </c>
      <c r="D20" s="3" t="s">
        <v>316</v>
      </c>
      <c r="E20" s="65">
        <v>39</v>
      </c>
      <c r="F20" s="23">
        <f t="shared" si="0"/>
        <v>0</v>
      </c>
      <c r="G20" s="14">
        <f t="shared" ref="G20" si="9">H20/E20</f>
        <v>1</v>
      </c>
      <c r="H20" s="28">
        <f>E20</f>
        <v>39</v>
      </c>
    </row>
    <row r="21" spans="1:9" ht="15.75" thickBot="1" x14ac:dyDescent="0.3">
      <c r="A21" s="13"/>
      <c r="B21" s="3"/>
      <c r="C21" s="11" t="s">
        <v>300</v>
      </c>
      <c r="D21" s="3" t="s">
        <v>316</v>
      </c>
      <c r="E21" s="66"/>
      <c r="F21" s="23">
        <f t="shared" si="0"/>
        <v>0</v>
      </c>
      <c r="G21" s="14">
        <f t="shared" ref="G21" si="10">H21/E20</f>
        <v>1</v>
      </c>
      <c r="H21" s="28">
        <f>E20</f>
        <v>39</v>
      </c>
    </row>
    <row r="22" spans="1:9" x14ac:dyDescent="0.25">
      <c r="A22" s="13"/>
    </row>
    <row r="23" spans="1:9" x14ac:dyDescent="0.25">
      <c r="A23" s="13"/>
    </row>
    <row r="24" spans="1:9" x14ac:dyDescent="0.25">
      <c r="A24" s="13"/>
      <c r="E24" s="7"/>
      <c r="F24" s="7"/>
      <c r="G24" s="7"/>
      <c r="H24" s="7"/>
      <c r="I24" s="7"/>
    </row>
    <row r="25" spans="1:9" x14ac:dyDescent="0.25">
      <c r="A25" s="13"/>
      <c r="B25" s="4" t="s">
        <v>144</v>
      </c>
      <c r="E25" s="7"/>
      <c r="F25" s="7"/>
      <c r="G25" s="7"/>
      <c r="H25" s="7"/>
      <c r="I25" s="7"/>
    </row>
    <row r="26" spans="1:9" x14ac:dyDescent="0.25">
      <c r="A26" s="13"/>
      <c r="B26" s="8" t="s">
        <v>308</v>
      </c>
      <c r="E26" s="7"/>
      <c r="F26" s="7"/>
      <c r="G26" s="7"/>
      <c r="H26" s="7"/>
      <c r="I26" s="7"/>
    </row>
    <row r="27" spans="1:9" x14ac:dyDescent="0.25">
      <c r="A27" s="13"/>
      <c r="B27" s="8" t="s">
        <v>328</v>
      </c>
      <c r="E27" s="7"/>
      <c r="F27" s="7"/>
      <c r="G27" s="7"/>
      <c r="H27" s="7"/>
      <c r="I27" s="7"/>
    </row>
    <row r="28" spans="1:9" x14ac:dyDescent="0.25">
      <c r="A28" s="13"/>
      <c r="B28" s="8" t="s">
        <v>310</v>
      </c>
      <c r="E28" s="7"/>
      <c r="F28" s="7"/>
      <c r="G28" s="7"/>
      <c r="H28" s="7"/>
      <c r="I28" s="7"/>
    </row>
    <row r="29" spans="1:9" x14ac:dyDescent="0.25">
      <c r="A29" s="13"/>
      <c r="B29" s="8" t="s">
        <v>329</v>
      </c>
      <c r="E29" s="7"/>
      <c r="F29" s="7"/>
      <c r="G29" s="7"/>
      <c r="H29" s="7"/>
      <c r="I29" s="7"/>
    </row>
    <row r="30" spans="1:9" x14ac:dyDescent="0.25">
      <c r="A30" s="13"/>
      <c r="E30" s="7"/>
      <c r="F30" s="7"/>
      <c r="G30" s="7"/>
      <c r="H30" s="7"/>
      <c r="I30" s="7"/>
    </row>
    <row r="31" spans="1:9" x14ac:dyDescent="0.25">
      <c r="A31" s="13"/>
      <c r="E31" s="7"/>
      <c r="F31" s="7"/>
      <c r="G31" s="7"/>
      <c r="H31" s="7"/>
      <c r="I31" s="7"/>
    </row>
    <row r="32" spans="1:9" x14ac:dyDescent="0.25">
      <c r="E32" s="7"/>
      <c r="F32" s="7"/>
      <c r="G32" s="7"/>
      <c r="H32" s="7"/>
      <c r="I32" s="7"/>
    </row>
    <row r="33" spans="5:9" x14ac:dyDescent="0.25">
      <c r="E33" s="7"/>
      <c r="F33" s="7"/>
      <c r="G33" s="7"/>
      <c r="H33" s="7"/>
      <c r="I33" s="7"/>
    </row>
    <row r="34" spans="5:9" x14ac:dyDescent="0.25">
      <c r="E34" s="7"/>
      <c r="F34" s="7"/>
      <c r="G34" s="7"/>
      <c r="H34" s="7"/>
      <c r="I34" s="7"/>
    </row>
    <row r="35" spans="5:9" x14ac:dyDescent="0.25">
      <c r="E35" s="7"/>
      <c r="F35" s="7"/>
      <c r="G35" s="7"/>
      <c r="H35" s="7"/>
      <c r="I35" s="7"/>
    </row>
  </sheetData>
  <sheetProtection algorithmName="SHA-512" hashValue="Q83CYwQr4fEalf+iwMBb4+LnrZ/CzwJ3m711oQnRew+cQOotaeaKqdtLJymlbkeyH9znejDOHqgiebdgWDoAHg==" saltValue="Wrg91ZgOzSzN/0wE867tCA==" spinCount="100000" sheet="1" objects="1" scenarios="1"/>
  <mergeCells count="7">
    <mergeCell ref="E20:E21"/>
    <mergeCell ref="E8:E9"/>
    <mergeCell ref="E10:E11"/>
    <mergeCell ref="E12:E13"/>
    <mergeCell ref="E14:E15"/>
    <mergeCell ref="E16:E17"/>
    <mergeCell ref="E18:E19"/>
  </mergeCells>
  <hyperlinks>
    <hyperlink ref="A1" location="Inhalt!A1" display="Zum Inhalt" xr:uid="{16F8B9F2-93AC-4703-97E9-ACBCD72BE2C8}"/>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21B8-C455-4C05-B733-2B4C3BAEB1B5}">
  <sheetPr codeName="Tabelle58"/>
  <dimension ref="A1:H35"/>
  <sheetViews>
    <sheetView workbookViewId="0"/>
  </sheetViews>
  <sheetFormatPr baseColWidth="10" defaultColWidth="11.42578125" defaultRowHeight="15" x14ac:dyDescent="0.25"/>
  <cols>
    <col min="1" max="1" width="11.42578125" customWidth="1"/>
  </cols>
  <sheetData>
    <row r="1" spans="1:8" ht="25.5" x14ac:dyDescent="0.25">
      <c r="A1" s="29" t="s">
        <v>143</v>
      </c>
    </row>
    <row r="2" spans="1:8" x14ac:dyDescent="0.25">
      <c r="A2" s="56"/>
    </row>
    <row r="3" spans="1:8" x14ac:dyDescent="0.25">
      <c r="A3" s="56"/>
      <c r="B3" s="4" t="s">
        <v>100</v>
      </c>
    </row>
    <row r="4" spans="1:8" x14ac:dyDescent="0.25">
      <c r="A4" s="56"/>
    </row>
    <row r="5" spans="1:8" x14ac:dyDescent="0.25">
      <c r="B5" s="4" t="s">
        <v>283</v>
      </c>
      <c r="C5" s="4" t="s">
        <v>330</v>
      </c>
    </row>
    <row r="6" spans="1:8" x14ac:dyDescent="0.25">
      <c r="B6" s="4" t="s">
        <v>320</v>
      </c>
      <c r="C6" s="4"/>
    </row>
    <row r="7" spans="1:8" ht="39" thickBot="1" x14ac:dyDescent="0.3">
      <c r="B7" s="1" t="s">
        <v>285</v>
      </c>
      <c r="C7" s="2"/>
      <c r="D7" s="1" t="s">
        <v>331</v>
      </c>
      <c r="E7" s="1" t="s">
        <v>287</v>
      </c>
      <c r="F7" s="22" t="s">
        <v>288</v>
      </c>
      <c r="G7" s="6" t="s">
        <v>289</v>
      </c>
      <c r="H7" s="6" t="s">
        <v>289</v>
      </c>
    </row>
    <row r="8" spans="1:8" ht="15.75" thickBot="1" x14ac:dyDescent="0.3">
      <c r="B8" s="3" t="s">
        <v>321</v>
      </c>
      <c r="C8" s="10" t="s">
        <v>298</v>
      </c>
      <c r="D8" s="3" t="s">
        <v>316</v>
      </c>
      <c r="E8" s="65">
        <v>98</v>
      </c>
      <c r="F8" s="23">
        <f>-(1-G8)/23</f>
        <v>-0.01</v>
      </c>
      <c r="G8" s="14">
        <f>H8/E8</f>
        <v>0.76</v>
      </c>
      <c r="H8" s="12">
        <v>74</v>
      </c>
    </row>
    <row r="9" spans="1:8" ht="15.75" thickBot="1" x14ac:dyDescent="0.3">
      <c r="B9" s="3"/>
      <c r="C9" s="11" t="s">
        <v>300</v>
      </c>
      <c r="D9" s="3" t="s">
        <v>316</v>
      </c>
      <c r="E9" s="66"/>
      <c r="F9" s="23">
        <f t="shared" ref="F9:F21" si="0">-(1-G9)/23</f>
        <v>-1.7000000000000001E-2</v>
      </c>
      <c r="G9" s="14">
        <f>H9/E8</f>
        <v>0.62</v>
      </c>
      <c r="H9" s="12">
        <v>61</v>
      </c>
    </row>
    <row r="10" spans="1:8" ht="15.75" thickBot="1" x14ac:dyDescent="0.3">
      <c r="B10" s="3" t="s">
        <v>322</v>
      </c>
      <c r="C10" s="11" t="s">
        <v>298</v>
      </c>
      <c r="D10" s="3" t="s">
        <v>316</v>
      </c>
      <c r="E10" s="65">
        <v>94</v>
      </c>
      <c r="F10" s="23">
        <f t="shared" si="0"/>
        <v>-0.02</v>
      </c>
      <c r="G10" s="14">
        <f t="shared" ref="G10" si="1">H10/E10</f>
        <v>0.55000000000000004</v>
      </c>
      <c r="H10" s="15">
        <v>52</v>
      </c>
    </row>
    <row r="11" spans="1:8" ht="15.75" thickBot="1" x14ac:dyDescent="0.3">
      <c r="B11" s="3"/>
      <c r="C11" s="11" t="s">
        <v>300</v>
      </c>
      <c r="D11" s="3" t="s">
        <v>316</v>
      </c>
      <c r="E11" s="66"/>
      <c r="F11" s="23">
        <f t="shared" si="0"/>
        <v>-2.1999999999999999E-2</v>
      </c>
      <c r="G11" s="14">
        <f t="shared" ref="G11" si="2">H11/E10</f>
        <v>0.49</v>
      </c>
      <c r="H11" s="15">
        <v>46</v>
      </c>
    </row>
    <row r="12" spans="1:8" ht="15.75" thickBot="1" x14ac:dyDescent="0.3">
      <c r="B12" s="3" t="s">
        <v>323</v>
      </c>
      <c r="C12" s="11" t="s">
        <v>298</v>
      </c>
      <c r="D12" s="3" t="s">
        <v>316</v>
      </c>
      <c r="E12" s="65">
        <v>86</v>
      </c>
      <c r="F12" s="23">
        <f t="shared" si="0"/>
        <v>-1.0999999999999999E-2</v>
      </c>
      <c r="G12" s="14">
        <f t="shared" ref="G12" si="3">H12/E12</f>
        <v>0.74</v>
      </c>
      <c r="H12" s="12">
        <v>64</v>
      </c>
    </row>
    <row r="13" spans="1:8" ht="15.75" thickBot="1" x14ac:dyDescent="0.3">
      <c r="B13" s="3"/>
      <c r="C13" s="11" t="s">
        <v>300</v>
      </c>
      <c r="D13" s="3" t="s">
        <v>316</v>
      </c>
      <c r="E13" s="66"/>
      <c r="F13" s="23">
        <f t="shared" si="0"/>
        <v>-0.02</v>
      </c>
      <c r="G13" s="14">
        <f t="shared" ref="G13" si="4">H13/E12</f>
        <v>0.53</v>
      </c>
      <c r="H13" s="12">
        <v>46</v>
      </c>
    </row>
    <row r="14" spans="1:8" ht="15.75" thickBot="1" x14ac:dyDescent="0.3">
      <c r="B14" s="3" t="s">
        <v>324</v>
      </c>
      <c r="C14" s="11" t="s">
        <v>298</v>
      </c>
      <c r="D14" s="3" t="s">
        <v>316</v>
      </c>
      <c r="E14" s="65">
        <v>80</v>
      </c>
      <c r="F14" s="23">
        <f t="shared" si="0"/>
        <v>-1.7999999999999999E-2</v>
      </c>
      <c r="G14" s="14">
        <f t="shared" ref="G14" si="5">H14/E14</f>
        <v>0.57999999999999996</v>
      </c>
      <c r="H14" s="12">
        <v>46</v>
      </c>
    </row>
    <row r="15" spans="1:8" ht="15.75" thickBot="1" x14ac:dyDescent="0.3">
      <c r="B15" s="3"/>
      <c r="C15" s="11" t="s">
        <v>300</v>
      </c>
      <c r="D15" s="3" t="s">
        <v>316</v>
      </c>
      <c r="E15" s="66"/>
      <c r="F15" s="23">
        <f t="shared" si="0"/>
        <v>-1.7000000000000001E-2</v>
      </c>
      <c r="G15" s="14">
        <f t="shared" ref="G15" si="6">H15/E14</f>
        <v>0.6</v>
      </c>
      <c r="H15" s="12">
        <v>48</v>
      </c>
    </row>
    <row r="16" spans="1:8" ht="15.75" thickBot="1" x14ac:dyDescent="0.3">
      <c r="B16" s="3" t="s">
        <v>332</v>
      </c>
      <c r="C16" s="11" t="s">
        <v>298</v>
      </c>
      <c r="D16" s="3" t="s">
        <v>316</v>
      </c>
      <c r="E16" s="65">
        <v>67</v>
      </c>
      <c r="F16" s="23">
        <f t="shared" si="0"/>
        <v>-8.0000000000000002E-3</v>
      </c>
      <c r="G16" s="14">
        <f t="shared" ref="G16" si="7">H16/E16</f>
        <v>0.81</v>
      </c>
      <c r="H16" s="12">
        <v>54</v>
      </c>
    </row>
    <row r="17" spans="2:8" ht="15.75" thickBot="1" x14ac:dyDescent="0.3">
      <c r="B17" s="3"/>
      <c r="C17" s="11" t="s">
        <v>300</v>
      </c>
      <c r="D17" s="3" t="s">
        <v>316</v>
      </c>
      <c r="E17" s="66"/>
      <c r="F17" s="23">
        <f t="shared" si="0"/>
        <v>-1.9E-2</v>
      </c>
      <c r="G17" s="14">
        <f t="shared" ref="G17" si="8">H17/E16</f>
        <v>0.56999999999999995</v>
      </c>
      <c r="H17" s="12">
        <v>38</v>
      </c>
    </row>
    <row r="18" spans="2:8" ht="15.75" thickBot="1" x14ac:dyDescent="0.3">
      <c r="B18" s="3" t="s">
        <v>333</v>
      </c>
      <c r="C18" s="11" t="s">
        <v>298</v>
      </c>
      <c r="D18" s="3" t="s">
        <v>316</v>
      </c>
      <c r="E18" s="65">
        <v>43</v>
      </c>
      <c r="F18" s="23">
        <f t="shared" si="0"/>
        <v>0</v>
      </c>
      <c r="G18" s="14">
        <f t="shared" ref="G18" si="9">H18/E18</f>
        <v>1</v>
      </c>
      <c r="H18" s="28">
        <f>E18</f>
        <v>43</v>
      </c>
    </row>
    <row r="19" spans="2:8" ht="15.75" thickBot="1" x14ac:dyDescent="0.3">
      <c r="B19" s="3"/>
      <c r="C19" s="11" t="s">
        <v>300</v>
      </c>
      <c r="D19" s="3" t="s">
        <v>316</v>
      </c>
      <c r="E19" s="66"/>
      <c r="F19" s="23">
        <f t="shared" si="0"/>
        <v>0</v>
      </c>
      <c r="G19" s="14">
        <f t="shared" ref="G19" si="10">H19/E18</f>
        <v>1</v>
      </c>
      <c r="H19" s="28">
        <f>E18</f>
        <v>43</v>
      </c>
    </row>
    <row r="20" spans="2:8" ht="15.75" thickBot="1" x14ac:dyDescent="0.3">
      <c r="B20" s="3" t="s">
        <v>334</v>
      </c>
      <c r="C20" s="11" t="s">
        <v>298</v>
      </c>
      <c r="D20" s="3" t="s">
        <v>316</v>
      </c>
      <c r="E20" s="65">
        <v>42</v>
      </c>
      <c r="F20" s="23">
        <f t="shared" si="0"/>
        <v>0</v>
      </c>
      <c r="G20" s="14">
        <f t="shared" ref="G20" si="11">H20/E20</f>
        <v>1</v>
      </c>
      <c r="H20" s="28">
        <f>E20</f>
        <v>42</v>
      </c>
    </row>
    <row r="21" spans="2:8" ht="15.75" thickBot="1" x14ac:dyDescent="0.3">
      <c r="B21" s="3"/>
      <c r="C21" s="11" t="s">
        <v>300</v>
      </c>
      <c r="D21" s="3" t="s">
        <v>316</v>
      </c>
      <c r="E21" s="66"/>
      <c r="F21" s="23">
        <f t="shared" si="0"/>
        <v>0</v>
      </c>
      <c r="G21" s="14">
        <f t="shared" ref="G21" si="12">H21/E20</f>
        <v>1</v>
      </c>
      <c r="H21" s="28">
        <f>E20</f>
        <v>42</v>
      </c>
    </row>
    <row r="24" spans="2:8" x14ac:dyDescent="0.25">
      <c r="E24" s="7"/>
      <c r="F24" s="7"/>
      <c r="G24" s="7"/>
      <c r="H24" s="7"/>
    </row>
    <row r="25" spans="2:8" x14ac:dyDescent="0.25">
      <c r="B25" s="4" t="s">
        <v>144</v>
      </c>
      <c r="E25" s="7"/>
      <c r="F25" s="7"/>
      <c r="G25" s="7"/>
      <c r="H25" s="7"/>
    </row>
    <row r="26" spans="2:8" x14ac:dyDescent="0.25">
      <c r="B26" s="8" t="s">
        <v>308</v>
      </c>
      <c r="E26" s="7"/>
      <c r="F26" s="7"/>
      <c r="G26" s="7"/>
      <c r="H26" s="7"/>
    </row>
    <row r="27" spans="2:8" x14ac:dyDescent="0.25">
      <c r="B27" s="8" t="s">
        <v>328</v>
      </c>
      <c r="E27" s="7"/>
      <c r="F27" s="7"/>
      <c r="G27" s="7"/>
      <c r="H27" s="7"/>
    </row>
    <row r="28" spans="2:8" x14ac:dyDescent="0.25">
      <c r="B28" s="8" t="s">
        <v>310</v>
      </c>
      <c r="E28" s="7"/>
      <c r="F28" s="7"/>
      <c r="G28" s="7"/>
      <c r="H28" s="7"/>
    </row>
    <row r="29" spans="2:8" x14ac:dyDescent="0.25">
      <c r="B29" s="8" t="s">
        <v>329</v>
      </c>
      <c r="E29" s="7"/>
      <c r="F29" s="7"/>
      <c r="G29" s="7"/>
      <c r="H29" s="7"/>
    </row>
    <row r="30" spans="2:8" x14ac:dyDescent="0.25">
      <c r="E30" s="7"/>
      <c r="F30" s="7"/>
      <c r="G30" s="7"/>
      <c r="H30" s="7"/>
    </row>
    <row r="31" spans="2:8" x14ac:dyDescent="0.25">
      <c r="E31" s="7"/>
      <c r="F31" s="7"/>
      <c r="G31" s="7"/>
      <c r="H31" s="7"/>
    </row>
    <row r="32" spans="2:8" x14ac:dyDescent="0.25">
      <c r="E32" s="7"/>
      <c r="F32" s="7"/>
      <c r="G32" s="7"/>
      <c r="H32" s="7"/>
    </row>
    <row r="33" spans="5:8" x14ac:dyDescent="0.25">
      <c r="E33" s="7"/>
      <c r="F33" s="7"/>
      <c r="G33" s="7"/>
      <c r="H33" s="7"/>
    </row>
    <row r="34" spans="5:8" x14ac:dyDescent="0.25">
      <c r="E34" s="7"/>
      <c r="F34" s="7"/>
      <c r="G34" s="7"/>
      <c r="H34" s="7"/>
    </row>
    <row r="35" spans="5:8" x14ac:dyDescent="0.25">
      <c r="E35" s="7"/>
      <c r="F35" s="7"/>
      <c r="G35" s="7"/>
      <c r="H35" s="7"/>
    </row>
  </sheetData>
  <sheetProtection algorithmName="SHA-512" hashValue="D4kXB5dm7w6EJW2oWjjVRqdgrcpm0kogInhkDt8SOup640eZ9n1o5Asr28AqtaivmSSEe4jL/9Ve68fxj3SYrg==" saltValue="IiP12AbRSMDJXF7keHKHow==" spinCount="100000" sheet="1" objects="1" scenarios="1"/>
  <mergeCells count="7">
    <mergeCell ref="E20:E21"/>
    <mergeCell ref="E8:E9"/>
    <mergeCell ref="E10:E11"/>
    <mergeCell ref="E12:E13"/>
    <mergeCell ref="E14:E15"/>
    <mergeCell ref="E16:E17"/>
    <mergeCell ref="E18:E19"/>
  </mergeCells>
  <hyperlinks>
    <hyperlink ref="A1" location="Inhalt!A1" display="Zum Inhalt" xr:uid="{14A96B92-9079-4B28-8BD8-DE607BB846C5}"/>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646ea73-2801-47f9-86e4-ada706e716f6" xsi:nil="true"/>
    <Bereich xmlns="18cc7ac8-e119-4483-877f-14277e1c121d">UEW</Bereich>
    <c613b003a0304efb80eb38de0d996768 xmlns="18cc7ac8-e119-4483-877f-14277e1c121d">
      <Terms xmlns="http://schemas.microsoft.com/office/infopath/2007/PartnerControls"/>
    </c613b003a0304efb80eb38de0d996768>
    <Kostenstelle xmlns="18cc7ac8-e119-4483-877f-14277e1c121d">72-02-22</Kostenstelle>
    <ie6743036f144cba87819402574d6d22 xmlns="18cc7ac8-e119-4483-877f-14277e1c121d">
      <Terms xmlns="http://schemas.microsoft.com/office/infopath/2007/PartnerControls"/>
    </ie6743036f144cba87819402574d6d22>
    <Arbeitspaket xmlns="18cc7ac8-e119-4483-877f-14277e1c121d" xsi:nil="true"/>
    <Kommentar xmlns="18cc7ac8-e119-4483-877f-14277e1c121d" xsi:nil="true"/>
    <kdf6276729774cb0878dbc0d6f091741 xmlns="18cc7ac8-e119-4483-877f-14277e1c121d">
      <Terms xmlns="http://schemas.microsoft.com/office/infopath/2007/PartnerControls"/>
    </kdf6276729774cb0878dbc0d6f091741>
    <Personenbezogene_x0020_Daten xmlns="18cc7ac8-e119-4483-877f-14277e1c121d">false</Personenbezogene_x0020_Daten>
    <ke5dbd58ffee4bc3aac15008e870f6f4 xmlns="18cc7ac8-e119-4483-877f-14277e1c121d">
      <Terms xmlns="http://schemas.microsoft.com/office/infopath/2007/PartnerControls"/>
    </ke5dbd58ffee4bc3aac15008e870f6f4>
    <Arbeitsgebiet xmlns="18cc7ac8-e119-4483-877f-14277e1c121d">Kommunale Wärmewende</Arbeitsgebiet>
    <Verantwortliche_x0020_Person xmlns="18cc7ac8-e119-4483-877f-14277e1c121d">
      <UserInfo>
        <DisplayName/>
        <AccountId xsi:nil="true"/>
        <AccountType/>
      </UserInfo>
    </Verantwortliche_x0020_Person>
    <Projektstatus xmlns="a4a6ebb5-f703-4dc8-9504-50e3c7d31d11">Umsetzung</Projekt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3A8532A3F490543BAD8056133B56EF8" ma:contentTypeVersion="20" ma:contentTypeDescription="Ein neues Dokument erstellen." ma:contentTypeScope="" ma:versionID="a449edf2f7cf74ad5e1d0764dcf52228">
  <xsd:schema xmlns:xsd="http://www.w3.org/2001/XMLSchema" xmlns:xs="http://www.w3.org/2001/XMLSchema" xmlns:p="http://schemas.microsoft.com/office/2006/metadata/properties" xmlns:ns2="a4a6ebb5-f703-4dc8-9504-50e3c7d31d11" xmlns:ns3="18cc7ac8-e119-4483-877f-14277e1c121d" xmlns:ns4="3646ea73-2801-47f9-86e4-ada706e716f6" targetNamespace="http://schemas.microsoft.com/office/2006/metadata/properties" ma:root="true" ma:fieldsID="11847c8e532db4e6f36c4cbbe38c6359" ns2:_="" ns3:_="" ns4:_="">
    <xsd:import namespace="a4a6ebb5-f703-4dc8-9504-50e3c7d31d11"/>
    <xsd:import namespace="18cc7ac8-e119-4483-877f-14277e1c121d"/>
    <xsd:import namespace="3646ea73-2801-47f9-86e4-ada706e716f6"/>
    <xsd:element name="properties">
      <xsd:complexType>
        <xsd:sequence>
          <xsd:element name="documentManagement">
            <xsd:complexType>
              <xsd:all>
                <xsd:element ref="ns2:SharedWithUsers" minOccurs="0"/>
                <xsd:element ref="ns2:SharedWithDetails" minOccurs="0"/>
                <xsd:element ref="ns3:ie6743036f144cba87819402574d6d22" minOccurs="0"/>
                <xsd:element ref="ns4:TaxCatchAll" minOccurs="0"/>
                <xsd:element ref="ns4:TaxCatchAllLabel" minOccurs="0"/>
                <xsd:element ref="ns3:c613b003a0304efb80eb38de0d996768" minOccurs="0"/>
                <xsd:element ref="ns3:ke5dbd58ffee4bc3aac15008e870f6f4" minOccurs="0"/>
                <xsd:element ref="ns3:kdf6276729774cb0878dbc0d6f091741" minOccurs="0"/>
                <xsd:element ref="ns3:Personenbezogene_x0020_Daten" minOccurs="0"/>
                <xsd:element ref="ns3:Verantwortliche_x0020_Person" minOccurs="0"/>
                <xsd:element ref="ns3:Arbeitspaket" minOccurs="0"/>
                <xsd:element ref="ns3:Kommentar" minOccurs="0"/>
                <xsd:element ref="ns2:Projektstatus"/>
                <xsd:element ref="ns3:Bereich"/>
                <xsd:element ref="ns3:Kostenstelle"/>
                <xsd:element ref="ns3:Arbeitsgebiet"/>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a6ebb5-f703-4dc8-9504-50e3c7d31d11"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Projektstatus" ma:index="25" ma:displayName="Projektstatus" ma:default="Umsetzung" ma:hidden="true" ma:internalName="Projekt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8cc7ac8-e119-4483-877f-14277e1c121d" elementFormDefault="qualified">
    <xsd:import namespace="http://schemas.microsoft.com/office/2006/documentManagement/types"/>
    <xsd:import namespace="http://schemas.microsoft.com/office/infopath/2007/PartnerControls"/>
    <xsd:element name="ie6743036f144cba87819402574d6d22" ma:index="10" nillable="true" ma:taxonomy="true" ma:internalName="ie6743036f144cba87819402574d6d22" ma:taxonomyFieldName="Dokumentart" ma:displayName="Dokumentart" ma:default="" ma:fieldId="{2e674303-6f14-4cba-8781-9402574d6d22}" ma:sspId="7e0fa8e5-fa47-494c-8ad4-ff86592e9917" ma:termSetId="112d9dbb-5a6b-4d9a-912b-a0849a05d3e6" ma:anchorId="00000000-0000-0000-0000-000000000000" ma:open="false" ma:isKeyword="false">
      <xsd:complexType>
        <xsd:sequence>
          <xsd:element ref="pc:Terms" minOccurs="0" maxOccurs="1"/>
        </xsd:sequence>
      </xsd:complexType>
    </xsd:element>
    <xsd:element name="c613b003a0304efb80eb38de0d996768" ma:index="14" nillable="true" ma:taxonomy="true" ma:internalName="c613b003a0304efb80eb38de0d996768" ma:taxonomyFieldName="denaStatus" ma:displayName="Status" ma:default="" ma:fieldId="{c613b003-a030-4efb-80eb-38de0d996768}" ma:sspId="7e0fa8e5-fa47-494c-8ad4-ff86592e9917" ma:termSetId="e2ec3aa7-cd59-4481-be9a-2131ce35091c" ma:anchorId="00000000-0000-0000-0000-000000000000" ma:open="false" ma:isKeyword="false">
      <xsd:complexType>
        <xsd:sequence>
          <xsd:element ref="pc:Terms" minOccurs="0" maxOccurs="1"/>
        </xsd:sequence>
      </xsd:complexType>
    </xsd:element>
    <xsd:element name="ke5dbd58ffee4bc3aac15008e870f6f4" ma:index="16" nillable="true" ma:taxonomy="true" ma:internalName="ke5dbd58ffee4bc3aac15008e870f6f4" ma:taxonomyFieldName="Jahr" ma:displayName="Jahr" ma:default="" ma:fieldId="{4e5dbd58-ffee-4bc3-aac1-5008e870f6f4}" ma:sspId="7e0fa8e5-fa47-494c-8ad4-ff86592e9917" ma:termSetId="c23d2f2e-df6b-4bb0-9863-b649d864de44" ma:anchorId="00000000-0000-0000-0000-000000000000" ma:open="false" ma:isKeyword="false">
      <xsd:complexType>
        <xsd:sequence>
          <xsd:element ref="pc:Terms" minOccurs="0" maxOccurs="1"/>
        </xsd:sequence>
      </xsd:complexType>
    </xsd:element>
    <xsd:element name="kdf6276729774cb0878dbc0d6f091741" ma:index="18" nillable="true" ma:taxonomy="true" ma:internalName="kdf6276729774cb0878dbc0d6f091741" ma:taxonomyFieldName="Geteilt" ma:displayName="Geteilt" ma:default="" ma:fieldId="{4df62767-2977-4cb0-878d-bc0d6f091741}" ma:taxonomyMulti="true" ma:sspId="7e0fa8e5-fa47-494c-8ad4-ff86592e9917" ma:termSetId="9a3af6c0-ad03-4464-aa5d-d13323e006f1" ma:anchorId="00000000-0000-0000-0000-000000000000" ma:open="false" ma:isKeyword="false">
      <xsd:complexType>
        <xsd:sequence>
          <xsd:element ref="pc:Terms" minOccurs="0" maxOccurs="1"/>
        </xsd:sequence>
      </xsd:complexType>
    </xsd:element>
    <xsd:element name="Personenbezogene_x0020_Daten" ma:index="20" nillable="true" ma:displayName="PB Daten" ma:default="0" ma:internalName="Personenbezogene_x0020_Daten">
      <xsd:simpleType>
        <xsd:restriction base="dms:Boolean"/>
      </xsd:simpleType>
    </xsd:element>
    <xsd:element name="Verantwortliche_x0020_Person" ma:index="21" nillable="true" ma:displayName="Verantwortlich" ma:SearchPeopleOnly="false" ma:SharePointGroup="0" ma:internalName="Verantwortliche_x0020_Person"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rbeitspaket" ma:index="22" nillable="true" ma:displayName="Arbeitspaket" ma:internalName="Arbeitspaket">
      <xsd:simpleType>
        <xsd:restriction base="dms:Text">
          <xsd:maxLength value="255"/>
        </xsd:restriction>
      </xsd:simpleType>
    </xsd:element>
    <xsd:element name="Kommentar" ma:index="23" nillable="true" ma:displayName="Kommentar" ma:internalName="Kommentar">
      <xsd:simpleType>
        <xsd:restriction base="dms:Note">
          <xsd:maxLength value="255"/>
        </xsd:restriction>
      </xsd:simpleType>
    </xsd:element>
    <xsd:element name="Bereich" ma:index="26" ma:displayName="Bereich" ma:default="UEW" ma:format="Dropdown" ma:hidden="true" ma:internalName="Bereich">
      <xsd:simpleType>
        <xsd:restriction base="dms:Choice">
          <xsd:enumeration value="GF"/>
          <xsd:enumeration value="Verw"/>
          <xsd:enumeration value="Komm"/>
          <xsd:enumeration value="ZDE"/>
          <xsd:enumeration value="UEW"/>
        </xsd:restriction>
      </xsd:simpleType>
    </xsd:element>
    <xsd:element name="Kostenstelle" ma:index="27" ma:displayName="Kostenstelle" ma:default="72-02-22" ma:format="Dropdown" ma:hidden="true" ma:internalName="Kostenstelle">
      <xsd:simpleType>
        <xsd:restriction base="dms:Choice">
          <xsd:enumeration value="Kostenstelle"/>
        </xsd:restriction>
      </xsd:simpleType>
    </xsd:element>
    <xsd:element name="Arbeitsgebiet" ma:index="28" ma:displayName="Arbeitsgebiet" ma:default="Kommunale Wärmewende" ma:format="Dropdown" ma:hidden="true" ma:internalName="Arbeitsgebiet">
      <xsd:simpleType>
        <xsd:restriction base="dms:Choice">
          <xsd:enumeration value="Arbeitsgebiet 1"/>
          <xsd:enumeration value="Arbeitsgebiet 2"/>
        </xsd:restriction>
      </xsd:simpleType>
    </xsd:element>
  </xsd:schema>
  <xsd:schema xmlns:xsd="http://www.w3.org/2001/XMLSchema" xmlns:xs="http://www.w3.org/2001/XMLSchema" xmlns:dms="http://schemas.microsoft.com/office/2006/documentManagement/types" xmlns:pc="http://schemas.microsoft.com/office/infopath/2007/PartnerControls" targetNamespace="3646ea73-2801-47f9-86e4-ada706e716f6" elementFormDefault="qualified">
    <xsd:import namespace="http://schemas.microsoft.com/office/2006/documentManagement/types"/>
    <xsd:import namespace="http://schemas.microsoft.com/office/infopath/2007/PartnerControls"/>
    <xsd:element name="TaxCatchAll" ma:index="11" nillable="true" ma:displayName="Taxonomiespalte &quot;Alle abfangen&quot;" ma:hidden="true" ma:list="{73542df9-c7da-403c-b468-1dfbfca5ecdf}" ma:internalName="TaxCatchAll" ma:showField="CatchAllData" ma:web="3646ea73-2801-47f9-86e4-ada706e716f6">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iespalte &quot;Alle abfangen&quot;1" ma:hidden="true" ma:list="{73542df9-c7da-403c-b468-1dfbfca5ecdf}" ma:internalName="TaxCatchAllLabel" ma:readOnly="true" ma:showField="CatchAllDataLabel" ma:web="3646ea73-2801-47f9-86e4-ada706e716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displayName="Titel"/>
        <xsd:element ref="dc:subject" minOccurs="0" maxOccurs="1"/>
        <xsd:element ref="dc:description" minOccurs="0" maxOccurs="1"/>
        <xsd:element name="keywords" minOccurs="0" maxOccurs="1" type="xsd:string" ma:index="24" ma:displayName="Schlüsselwörter"/>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C63045-E7E5-4585-91E4-D064CE7B9D33}">
  <ds:schemaRefs>
    <ds:schemaRef ds:uri="http://schemas.microsoft.com/office/2006/metadata/properties"/>
    <ds:schemaRef ds:uri="http://schemas.microsoft.com/office/infopath/2007/PartnerControls"/>
    <ds:schemaRef ds:uri="3646ea73-2801-47f9-86e4-ada706e716f6"/>
    <ds:schemaRef ds:uri="18cc7ac8-e119-4483-877f-14277e1c121d"/>
    <ds:schemaRef ds:uri="a4a6ebb5-f703-4dc8-9504-50e3c7d31d11"/>
  </ds:schemaRefs>
</ds:datastoreItem>
</file>

<file path=customXml/itemProps2.xml><?xml version="1.0" encoding="utf-8"?>
<ds:datastoreItem xmlns:ds="http://schemas.openxmlformats.org/officeDocument/2006/customXml" ds:itemID="{23E90EEC-362E-44A8-A064-1ADA9D92EC3B}">
  <ds:schemaRefs>
    <ds:schemaRef ds:uri="http://schemas.microsoft.com/sharepoint/v3/contenttype/forms"/>
  </ds:schemaRefs>
</ds:datastoreItem>
</file>

<file path=customXml/itemProps3.xml><?xml version="1.0" encoding="utf-8"?>
<ds:datastoreItem xmlns:ds="http://schemas.openxmlformats.org/officeDocument/2006/customXml" ds:itemID="{4117733B-2415-4CBA-A642-0D1919D869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a6ebb5-f703-4dc8-9504-50e3c7d31d11"/>
    <ds:schemaRef ds:uri="18cc7ac8-e119-4483-877f-14277e1c121d"/>
    <ds:schemaRef ds:uri="3646ea73-2801-47f9-86e4-ada706e716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592d88b-751f-474a-a625-de537085907d}" enabled="0" method="" siteId="{f592d88b-751f-474a-a625-de53708590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Deckblatt</vt:lpstr>
      <vt:lpstr>ChangeLog</vt:lpstr>
      <vt:lpstr>Inhalt</vt:lpstr>
      <vt:lpstr>Tab 51</vt:lpstr>
      <vt:lpstr>Tab 52</vt:lpstr>
      <vt:lpstr>Tab 53</vt:lpstr>
      <vt:lpstr>Tab 54</vt:lpstr>
      <vt:lpstr>Tab 55</vt:lpstr>
      <vt:lpstr>Tab 56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Langreder, Nora</dc:creator>
  <cp:keywords/>
  <dc:description/>
  <cp:lastModifiedBy>Joris Zimmermann</cp:lastModifiedBy>
  <cp:revision/>
  <dcterms:created xsi:type="dcterms:W3CDTF">2015-06-05T18:19:34Z</dcterms:created>
  <dcterms:modified xsi:type="dcterms:W3CDTF">2026-01-26T11:31:46Z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0x01010083A8532A3F490543BAD8056133B56EF8</vt:lpwstr>
  </property>
  <property fmtid="{D5CDD505-2E9C-101B-9397-08002B2CF9AE}" pid="3" name="MediaServiceImageTags">
    <vt:lpwstr/>
  </property>
  <property fmtid="{D5CDD505-2E9C-101B-9397-08002B2CF9AE}" pid="4" name="Dokumentart">
    <vt:lpwstr/>
  </property>
  <property fmtid="{D5CDD505-2E9C-101B-9397-08002B2CF9AE}" pid="5" name="g93a2c1a35b64ec787f8704ec4542205">
    <vt:lpwstr/>
  </property>
  <property fmtid="{D5CDD505-2E9C-101B-9397-08002B2CF9AE}" pid="6" name="Jahr">
    <vt:lpwstr/>
  </property>
  <property fmtid="{D5CDD505-2E9C-101B-9397-08002B2CF9AE}" pid="7" name="a9a0450a703e45bf9f25a356067aaa07">
    <vt:lpwstr/>
  </property>
  <property fmtid="{D5CDD505-2E9C-101B-9397-08002B2CF9AE}" pid="8" name="Keywords1">
    <vt:lpwstr/>
  </property>
  <property fmtid="{D5CDD505-2E9C-101B-9397-08002B2CF9AE}" pid="9" name="denaStatus">
    <vt:lpwstr/>
  </property>
  <property fmtid="{D5CDD505-2E9C-101B-9397-08002B2CF9AE}" pid="10" name="Geteilt">
    <vt:lpwstr/>
  </property>
  <property fmtid="{D5CDD505-2E9C-101B-9397-08002B2CF9AE}" pid="11" name="Projektstatus0">
    <vt:lpwstr/>
  </property>
  <property fmtid="{D5CDD505-2E9C-101B-9397-08002B2CF9AE}" pid="12" name="lcf76f155ced4ddcb4097134ff3c332f">
    <vt:lpwstr/>
  </property>
</Properties>
</file>