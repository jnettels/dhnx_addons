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0.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1.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2.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2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2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29.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0.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31.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32.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33.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34.xml" ContentType="application/vnd.openxmlformats-officedocument.drawing+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35.xml" ContentType="application/vnd.openxmlformats-officedocument.drawing+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36.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37.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38.xml" ContentType="application/vnd.openxmlformats-officedocument.drawing+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DieseArbeitsmappe"/>
  <mc:AlternateContent xmlns:mc="http://schemas.openxmlformats.org/markup-compatibility/2006">
    <mc:Choice Requires="x15">
      <x15ac:absPath xmlns:x15ac="http://schemas.microsoft.com/office/spreadsheetml/2010/11/ac" url="https://denade.sharepoint.com/teams/Projekt-72-02-22/Freigegebene Dokumente/K_Technikkatalog - dena - EE Team/A Technikkataloge/KWW (Prognos) 2024_CC-BY/"/>
    </mc:Choice>
  </mc:AlternateContent>
  <xr:revisionPtr revIDLastSave="343" documentId="8_{60C58D12-149C-44CF-A80E-60F4EC8CC75D}" xr6:coauthVersionLast="47" xr6:coauthVersionMax="47" xr10:uidLastSave="{32565C49-7AC3-4054-8059-52331E943940}"/>
  <bookViews>
    <workbookView xWindow="-108" yWindow="-108" windowWidth="30936" windowHeight="16776" tabRatio="855" activeTab="9" xr2:uid="{00000000-000D-0000-FFFF-FFFF00000000}"/>
  </bookViews>
  <sheets>
    <sheet name="Deckblatt" sheetId="6" r:id="rId1"/>
    <sheet name="ChangeLog" sheetId="63" r:id="rId2"/>
    <sheet name="Inhalt" sheetId="7" r:id="rId3"/>
    <sheet name="Tab 1" sheetId="5" r:id="rId4"/>
    <sheet name="Tab 2" sheetId="8" r:id="rId5"/>
    <sheet name="Tab 3" sheetId="9" r:id="rId6"/>
    <sheet name="Tab 4" sheetId="10" r:id="rId7"/>
    <sheet name="Tab 5" sheetId="11" r:id="rId8"/>
    <sheet name="Tab 6" sheetId="12" r:id="rId9"/>
    <sheet name="Tab 7" sheetId="13" r:id="rId10"/>
    <sheet name="Tab 8" sheetId="14" r:id="rId11"/>
    <sheet name="Tab 9" sheetId="15" r:id="rId12"/>
    <sheet name="Tab 10" sheetId="16" r:id="rId13"/>
    <sheet name="Tab 11" sheetId="17" r:id="rId14"/>
    <sheet name="Tab 12" sheetId="18" r:id="rId15"/>
    <sheet name="Tab 13" sheetId="19" r:id="rId16"/>
    <sheet name="Tab 14" sheetId="20" r:id="rId17"/>
    <sheet name="Tab 15" sheetId="21" r:id="rId18"/>
    <sheet name="Tab 16" sheetId="22" r:id="rId19"/>
    <sheet name="Tab 17" sheetId="23" r:id="rId20"/>
    <sheet name="Tab 18" sheetId="24" r:id="rId21"/>
    <sheet name="Tab 19" sheetId="25" r:id="rId22"/>
    <sheet name="Tab 20" sheetId="26" r:id="rId23"/>
    <sheet name="Tab 21" sheetId="27" r:id="rId24"/>
    <sheet name="Tab 22" sheetId="28" r:id="rId25"/>
    <sheet name="Tab 23" sheetId="29" r:id="rId26"/>
    <sheet name="Tab 24" sheetId="30" r:id="rId27"/>
    <sheet name="Tab 25" sheetId="31" r:id="rId28"/>
    <sheet name="Tab 26" sheetId="32" r:id="rId29"/>
    <sheet name="Tab 27" sheetId="33" r:id="rId30"/>
    <sheet name="Tab 28" sheetId="34" r:id="rId31"/>
    <sheet name="Tab 29" sheetId="35" r:id="rId32"/>
    <sheet name="Tab 30" sheetId="36" r:id="rId33"/>
    <sheet name="Tab 31" sheetId="37" r:id="rId34"/>
    <sheet name="Tab 32" sheetId="38" r:id="rId35"/>
    <sheet name="Tab 33" sheetId="39" r:id="rId36"/>
    <sheet name="Tab 34" sheetId="40" r:id="rId37"/>
    <sheet name="Tab 35" sheetId="41" r:id="rId38"/>
    <sheet name="Tab 36" sheetId="42" r:id="rId39"/>
    <sheet name="Tab 37" sheetId="43" r:id="rId40"/>
    <sheet name="Tab 38" sheetId="44" r:id="rId41"/>
    <sheet name="Tab 39" sheetId="45" r:id="rId42"/>
    <sheet name="Tab 41" sheetId="47" r:id="rId43"/>
    <sheet name="Tab 40" sheetId="46" r:id="rId44"/>
    <sheet name="Tab 42" sheetId="48" r:id="rId45"/>
    <sheet name="Tab 43" sheetId="49" r:id="rId46"/>
    <sheet name="Tab 44" sheetId="50" r:id="rId47"/>
    <sheet name="Tab 45" sheetId="51" r:id="rId48"/>
    <sheet name="Tab 46" sheetId="52" r:id="rId49"/>
    <sheet name="Tab 47" sheetId="53" r:id="rId50"/>
    <sheet name="Tab 48" sheetId="54" r:id="rId51"/>
    <sheet name="Tab 49" sheetId="55" r:id="rId52"/>
    <sheet name="Tab 50" sheetId="56" r:id="rId53"/>
    <sheet name="Tab 51" sheetId="57" r:id="rId54"/>
    <sheet name="Tab 52" sheetId="58" r:id="rId55"/>
    <sheet name="Tab 53" sheetId="59" r:id="rId56"/>
    <sheet name="Tab 54" sheetId="60" r:id="rId57"/>
    <sheet name="Tab 55" sheetId="61" r:id="rId58"/>
    <sheet name="Tab 56" sheetId="62" r:id="rId59"/>
  </sheets>
  <definedNames>
    <definedName name="_xlnm._FilterDatabase" localSheetId="53" hidden="1">'Tab 51'!$B$5:$C$61</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62" l="1"/>
  <c r="G21" i="62" s="1"/>
  <c r="F21" i="62" s="1"/>
  <c r="H20" i="62"/>
  <c r="G20" i="62" s="1"/>
  <c r="F20" i="62" s="1"/>
  <c r="H19" i="62"/>
  <c r="G19" i="62" s="1"/>
  <c r="F19" i="62" s="1"/>
  <c r="H18" i="62"/>
  <c r="G18" i="62" s="1"/>
  <c r="F18" i="62" s="1"/>
  <c r="G17" i="62"/>
  <c r="F17" i="62"/>
  <c r="G16" i="62"/>
  <c r="F16" i="62" s="1"/>
  <c r="G15" i="62"/>
  <c r="F15" i="62"/>
  <c r="G14" i="62"/>
  <c r="F14" i="62" s="1"/>
  <c r="G13" i="62"/>
  <c r="F13" i="62" s="1"/>
  <c r="G12" i="62"/>
  <c r="F12" i="62" s="1"/>
  <c r="G11" i="62"/>
  <c r="F11" i="62" s="1"/>
  <c r="G10" i="62"/>
  <c r="F10" i="62"/>
  <c r="G9" i="62"/>
  <c r="F9" i="62" s="1"/>
  <c r="G8" i="62"/>
  <c r="F8" i="62" s="1"/>
  <c r="H21" i="61"/>
  <c r="G21" i="61" s="1"/>
  <c r="F21" i="61" s="1"/>
  <c r="H20" i="61"/>
  <c r="G20" i="61" s="1"/>
  <c r="F20" i="61" s="1"/>
  <c r="H19" i="61"/>
  <c r="G19" i="61" s="1"/>
  <c r="F19" i="61" s="1"/>
  <c r="H18" i="61"/>
  <c r="G18" i="61" s="1"/>
  <c r="F18" i="61" s="1"/>
  <c r="G17" i="61"/>
  <c r="F17" i="61" s="1"/>
  <c r="G16" i="61"/>
  <c r="F16" i="61" s="1"/>
  <c r="G15" i="61"/>
  <c r="F15" i="61" s="1"/>
  <c r="G14" i="61"/>
  <c r="F14" i="61"/>
  <c r="G13" i="61"/>
  <c r="F13" i="61" s="1"/>
  <c r="G12" i="61"/>
  <c r="F12" i="61" s="1"/>
  <c r="G11" i="61"/>
  <c r="F11" i="61"/>
  <c r="G10" i="61"/>
  <c r="F10" i="61"/>
  <c r="G9" i="61"/>
  <c r="F9" i="61"/>
  <c r="G8" i="61"/>
  <c r="F8" i="61" s="1"/>
  <c r="M18" i="60"/>
  <c r="M11" i="60" s="1"/>
  <c r="L18" i="60"/>
  <c r="L11" i="60" s="1"/>
  <c r="K18" i="60"/>
  <c r="K7" i="60" s="1"/>
  <c r="U18" i="59"/>
  <c r="U9" i="59" s="1"/>
  <c r="T18" i="59"/>
  <c r="T9" i="59" s="1"/>
  <c r="S18" i="59"/>
  <c r="S7" i="59" s="1"/>
  <c r="R18" i="59"/>
  <c r="R9" i="59" s="1"/>
  <c r="Q18" i="59"/>
  <c r="Q11" i="59" s="1"/>
  <c r="P18" i="59"/>
  <c r="P11" i="59" s="1"/>
  <c r="O18" i="59"/>
  <c r="O7" i="59" s="1"/>
  <c r="N18" i="59"/>
  <c r="N9" i="59" s="1"/>
  <c r="M18" i="59"/>
  <c r="M9" i="59" s="1"/>
  <c r="L18" i="59"/>
  <c r="L9" i="59" s="1"/>
  <c r="K18" i="59"/>
  <c r="K7" i="59" s="1"/>
  <c r="R11" i="59"/>
  <c r="N11" i="59"/>
  <c r="P7" i="59"/>
  <c r="N7" i="59"/>
  <c r="M7" i="60" l="1"/>
  <c r="R7" i="59"/>
  <c r="K9" i="59"/>
  <c r="K11" i="59"/>
  <c r="L11" i="59"/>
  <c r="S9" i="59"/>
  <c r="S11" i="59"/>
  <c r="T11" i="59"/>
  <c r="M11" i="59"/>
  <c r="M7" i="59"/>
  <c r="U7" i="59"/>
  <c r="U11" i="59"/>
  <c r="Q7" i="59"/>
  <c r="L9" i="60"/>
  <c r="L7" i="60"/>
  <c r="P9" i="59"/>
  <c r="L7" i="59"/>
  <c r="T7" i="59"/>
  <c r="Q9" i="59"/>
  <c r="M9" i="60"/>
  <c r="K11" i="60"/>
  <c r="K9" i="60"/>
  <c r="O11" i="59"/>
  <c r="O9" i="59"/>
</calcChain>
</file>

<file path=xl/sharedStrings.xml><?xml version="1.0" encoding="utf-8"?>
<sst xmlns="http://schemas.openxmlformats.org/spreadsheetml/2006/main" count="9643" uniqueCount="970">
  <si>
    <t>Impressum zum Technikkatalog Wärmeplanung</t>
  </si>
  <si>
    <t xml:space="preserve">Autorinnen und Autoren sind: </t>
  </si>
  <si>
    <t xml:space="preserve">Prognos AG </t>
  </si>
  <si>
    <t xml:space="preserve">Nora Langreder, Frederik Lettow, Malek Sahnoun, Sven Kreidelmeyer, Aurel Wünsch, </t>
  </si>
  <si>
    <t>Saskia Lengning, Sebastian Lübbers, Nils Thamling, Inka Ziegenhagen, Marco Wünsch </t>
  </si>
  <si>
    <r>
      <t>ifeu – Institut für Energie- und Umweltforschung Heidelberg gGmbH</t>
    </r>
    <r>
      <rPr>
        <sz val="10.5"/>
        <color rgb="FFFFFFFF"/>
        <rFont val="Calibri Light"/>
        <family val="2"/>
      </rPr>
      <t> </t>
    </r>
  </si>
  <si>
    <t>Dr. Sara Ortner, Angelika Paar, Lea Johannsen, Peter Mellwig</t>
  </si>
  <si>
    <t>Universität Stuttgart, Institut für Energiewirtschaft und Rationelle Energieanwendung (IER)</t>
  </si>
  <si>
    <t>Benjamin Ott, Prof. Dr. Peter Radgen</t>
  </si>
  <si>
    <t>Stand des Technikkatalogs</t>
  </si>
  <si>
    <t>Version 1.1 - August 2024</t>
  </si>
  <si>
    <t>https://creativecommons.org/licenses/by/4.0/</t>
  </si>
  <si>
    <t xml:space="preserve">Bitte zitieren Sie diesen Technikkatalog wie folgt: </t>
  </si>
  <si>
    <t>Im Begleitdokument zum Technikkatalog finden Sie Hinweise zu Hintergründen und Datenquellen</t>
  </si>
  <si>
    <t>Veränderungen gegenüber Version 1</t>
  </si>
  <si>
    <t>Tabellenblatt</t>
  </si>
  <si>
    <t>Änderung</t>
  </si>
  <si>
    <t>15-17</t>
  </si>
  <si>
    <t>Blockheizkraftwerk Erdgas/Biogas/Wasserstoff</t>
  </si>
  <si>
    <t>Korrektur Kostenkurven (Aufteilung nach Leistungsbereich); nur bei Biogas: Anpassung Kosten in 2040 auch in der Tabelle</t>
  </si>
  <si>
    <t>53-54</t>
  </si>
  <si>
    <t>Gebäudedaten Nichtwohngebäude</t>
  </si>
  <si>
    <t>Die absoluten Gebäudewerte in der Spalte H (Reduktion bis 2040) enthielten fehlerhafte Bezüge und wurden korrigiert bzw. aktualisiert</t>
  </si>
  <si>
    <t>Anmerkung</t>
  </si>
  <si>
    <t xml:space="preserve">Neben den aufgeführten Anpassungen an den Werten wurden vereinzelt kosmetische Änderungen vorgenommen, bspw. Vereinheitlichung der Bezeichnung der Blätter und Korrektur von Referenzen, sowie einzelne Anmerkungen angepasst. </t>
  </si>
  <si>
    <t>INHALT TECHNIKKATALOG</t>
  </si>
  <si>
    <t>THG-Emissionsfaktoren</t>
  </si>
  <si>
    <t xml:space="preserve">Technologiedaten Verteilnetze </t>
  </si>
  <si>
    <t>Tabelle 1</t>
  </si>
  <si>
    <t xml:space="preserve">Emissionsfaktoren </t>
  </si>
  <si>
    <t>Tabelle 40</t>
  </si>
  <si>
    <t>Erdgas/Biomethan Verteilungsnetze</t>
  </si>
  <si>
    <t>Technologiedaten Erzeugung</t>
  </si>
  <si>
    <t>Tabelle 41</t>
  </si>
  <si>
    <t>Wasserstoff Transportleitungen</t>
  </si>
  <si>
    <t>Tabelle 2</t>
  </si>
  <si>
    <t>Pelletkessel dezentral</t>
  </si>
  <si>
    <t>Tabelle 42</t>
  </si>
  <si>
    <t xml:space="preserve">Wärmenetze konventionell - Verteilungsnetze </t>
  </si>
  <si>
    <t>Tabelle 3</t>
  </si>
  <si>
    <t>Hackschnitzelkessel dezentral</t>
  </si>
  <si>
    <t>Tabelle 43</t>
  </si>
  <si>
    <t>Wärmenetze konventionell - Transportleitungen</t>
  </si>
  <si>
    <t>Tabelle 4</t>
  </si>
  <si>
    <t>Erdgas Brennwertkessel dezentral</t>
  </si>
  <si>
    <t>Tabelle 44</t>
  </si>
  <si>
    <t>Wärmenetze Niedertemperatur</t>
  </si>
  <si>
    <t>Tabelle 5</t>
  </si>
  <si>
    <t>Heizölkessel dezentral</t>
  </si>
  <si>
    <t>Tabelle 45</t>
  </si>
  <si>
    <t>Wärmenetze Kalte Nahwärme</t>
  </si>
  <si>
    <t>Tabelle 6</t>
  </si>
  <si>
    <t>Wasserstoffkessel Brennwert dezentral</t>
  </si>
  <si>
    <t>Tabelle 46</t>
  </si>
  <si>
    <t>Hausstationen Fernwärme indirekt</t>
  </si>
  <si>
    <t>Tabelle 7</t>
  </si>
  <si>
    <t>Solarthermie Dachanlagen Röhrenkollektor</t>
  </si>
  <si>
    <t>Technologiedaten Wärmespeicher</t>
  </si>
  <si>
    <t>Tabelle 8</t>
  </si>
  <si>
    <t>Solarthermie Dachanlagen Flachkollektor</t>
  </si>
  <si>
    <t>Tabelle 47</t>
  </si>
  <si>
    <t>Wärmespeicher Saisonal - Erdbeckenspeicher (PTES)</t>
  </si>
  <si>
    <t>Tabelle 9</t>
  </si>
  <si>
    <t>Stromdirektheizung fest eingebaut (bis 30 kW)</t>
  </si>
  <si>
    <t>Tabelle 48</t>
  </si>
  <si>
    <t>Wärmespeicher Saisonal - Behälterspeicher (TTES)</t>
  </si>
  <si>
    <t>Tabelle 10</t>
  </si>
  <si>
    <t>Luft-Wasser Wärmepumpe</t>
  </si>
  <si>
    <t>Tabelle 49</t>
  </si>
  <si>
    <t>Trinkwasserspeicher/kleine Pufferspeicher (150-1000 L)</t>
  </si>
  <si>
    <t>Tabelle 11</t>
  </si>
  <si>
    <t>Wasser-Wasser Wärmepumpe (mit Grundwasserbrunnen)</t>
  </si>
  <si>
    <t>Tabelle 50</t>
  </si>
  <si>
    <t>Puffer-/Kombispeicher (ab 500 L)</t>
  </si>
  <si>
    <t>Tabelle 12</t>
  </si>
  <si>
    <t>Sole-Wasser Wärmepumpe - Wärmequelle Erdwärmesonden (dezentral, &lt;110 kW)</t>
  </si>
  <si>
    <t>Technologiedaten Gebäudedaten</t>
  </si>
  <si>
    <t>Tabelle 13</t>
  </si>
  <si>
    <t>Sole-Wasser Wärmepumpe (dezentral, &lt;110 kW)</t>
  </si>
  <si>
    <t>Tabelle 51</t>
  </si>
  <si>
    <t xml:space="preserve">Zuordnung der für die Wärmeplanung relevanten Gebäudefunktionen zum Endenergiesektor </t>
  </si>
  <si>
    <t>Tabelle 14</t>
  </si>
  <si>
    <t>Hybrid Wärmepumpe</t>
  </si>
  <si>
    <t>Tabelle 52</t>
  </si>
  <si>
    <t xml:space="preserve">Zuordnung von Gebäudefunktionen zu GHD-Typen, Bewertung der Relevanz der Prozesswärme und Empfehlung zur Datenerfassung </t>
  </si>
  <si>
    <t>Tabelle 15</t>
  </si>
  <si>
    <t>Blockheizkraftwerk Erdgas</t>
  </si>
  <si>
    <t>Tabelle 53</t>
  </si>
  <si>
    <t>Gebäudedaten Nichtwohngebäude GHD-Sektor</t>
  </si>
  <si>
    <t>Tabelle 16</t>
  </si>
  <si>
    <t>Blockheizkraftwerk Biogas</t>
  </si>
  <si>
    <t>Tabelle 54</t>
  </si>
  <si>
    <t>Gebäudedaten Nichtwohngebäude Industrie</t>
  </si>
  <si>
    <t>Tabelle 17</t>
  </si>
  <si>
    <t>Blockheizkraftwerk Wasserstoff</t>
  </si>
  <si>
    <t>Tabelle 55</t>
  </si>
  <si>
    <t>Gebäudedaten Wohngebäude EZFH</t>
  </si>
  <si>
    <t>Tabelle 18</t>
  </si>
  <si>
    <t>Biomasse Heizkraftwerk - Holzhackschnitzel</t>
  </si>
  <si>
    <t>Tabelle 56</t>
  </si>
  <si>
    <t>Gebäudedaten Wohngebäude MFH</t>
  </si>
  <si>
    <t>Tabelle 19</t>
  </si>
  <si>
    <t>Biomasse Heizkraftwerk - Holzpellets</t>
  </si>
  <si>
    <t>Tabelle 20</t>
  </si>
  <si>
    <t>Biomasse Heizkraftwerk - Stroh</t>
  </si>
  <si>
    <t>Tabelle 21</t>
  </si>
  <si>
    <t>Biomasse Heizwerk - Holzhackschnitzel</t>
  </si>
  <si>
    <t>Tabelle 22</t>
  </si>
  <si>
    <t>Biomasse Heizwerk - Holzpellets</t>
  </si>
  <si>
    <t>Tabelle 23</t>
  </si>
  <si>
    <t>Biomasse Heizwerk - Stroh</t>
  </si>
  <si>
    <t>Tabelle 24</t>
  </si>
  <si>
    <t>Biomasse Großheizkraftwerk - Holzhackschnitzel</t>
  </si>
  <si>
    <t>Tabelle 25</t>
  </si>
  <si>
    <t>Biomasse Großheizkraftwerk - Holzpellets</t>
  </si>
  <si>
    <t>Tabelle 26</t>
  </si>
  <si>
    <t>Großwärmepumpe Luft (Kompressionswärmepumpe)</t>
  </si>
  <si>
    <t>Tabelle 27</t>
  </si>
  <si>
    <t>Großwärmepumpe Abwärme (Kompressionswärmepumpe)</t>
  </si>
  <si>
    <t>Tabelle 28</t>
  </si>
  <si>
    <t>Großwärmepumpe Gewässer (Kompressionswärmepumpe)</t>
  </si>
  <si>
    <t>Tabelle 29</t>
  </si>
  <si>
    <t>Großwärmepumpe Absorption</t>
  </si>
  <si>
    <t>Tabelle 30</t>
  </si>
  <si>
    <t>Großwärmepumpe Klärwasser/Abwasser (Kompressionswärmepumpe)</t>
  </si>
  <si>
    <t>Tabelle 31</t>
  </si>
  <si>
    <t>Hochtemperatur Wärmepumpe bis 125°C (Industrie)</t>
  </si>
  <si>
    <t>Tabelle 32</t>
  </si>
  <si>
    <t>Hochtemperatur Wärmepumpe bis 150°C (Industrie)</t>
  </si>
  <si>
    <t>Tabelle 33</t>
  </si>
  <si>
    <t>Erdgaskessel (zentral/Spitzenlastabdeckung)</t>
  </si>
  <si>
    <t>Tabelle 34</t>
  </si>
  <si>
    <t>Heizölkessel (zentral/Spitzenlastabdeckung)</t>
  </si>
  <si>
    <t>Tabelle 35</t>
  </si>
  <si>
    <t>Abfallkessel (zentral)</t>
  </si>
  <si>
    <t>Tabelle 36</t>
  </si>
  <si>
    <t>Solarthermie Freiflächenanlagen - Flachkollektoren</t>
  </si>
  <si>
    <t>Tabelle 37</t>
  </si>
  <si>
    <t>Solarthermie Freiflächenanlagen - Vakuum-Röhren-Kollektoren</t>
  </si>
  <si>
    <t>Tabelle 38</t>
  </si>
  <si>
    <t>Tiefengeothermie (&gt;2000m Bohrung) direkt</t>
  </si>
  <si>
    <t>Tabelle 39</t>
  </si>
  <si>
    <t>Tiefengeothermie (&gt;2000m Bohrung) mit ORC</t>
  </si>
  <si>
    <t>zurück zum Inhalt</t>
  </si>
  <si>
    <t>Emissionsfaktoren</t>
  </si>
  <si>
    <r>
      <t>in g CO</t>
    </r>
    <r>
      <rPr>
        <sz val="8"/>
        <color theme="1"/>
        <rFont val="Calibri"/>
        <family val="2"/>
      </rPr>
      <t>₂</t>
    </r>
    <r>
      <rPr>
        <sz val="8"/>
        <color theme="1"/>
        <rFont val="Franklin Gothic Demi"/>
        <family val="2"/>
      </rPr>
      <t>-Äquivalent pro kWh Endenergie (Hi)</t>
    </r>
  </si>
  <si>
    <t>Energieträger</t>
  </si>
  <si>
    <t>Referenzen</t>
  </si>
  <si>
    <t>Anmerkungen</t>
  </si>
  <si>
    <t>Fossile Brennstoffe</t>
  </si>
  <si>
    <t>Heizöl</t>
  </si>
  <si>
    <t>[1]</t>
  </si>
  <si>
    <t>Erdgas</t>
  </si>
  <si>
    <t>Braunkohle</t>
  </si>
  <si>
    <t>Steinkohle</t>
  </si>
  <si>
    <t>Biogene Brennstoffe</t>
  </si>
  <si>
    <t>Holz</t>
  </si>
  <si>
    <t xml:space="preserve">[A] </t>
  </si>
  <si>
    <t>Biogas</t>
  </si>
  <si>
    <t>[1], Fortschreibung nach [2]</t>
  </si>
  <si>
    <t>Wärme, Kälte</t>
  </si>
  <si>
    <t>Erdwärme, Geothermie, Solarthermie, Umgebungswärme</t>
  </si>
  <si>
    <t>Erdkälte, Umgebungskälte</t>
  </si>
  <si>
    <t>Wärme aus Verbrennung von Siedlungsabfällen</t>
  </si>
  <si>
    <t>Abwärme aus Prozessen</t>
  </si>
  <si>
    <t>Strom-Mix-D</t>
  </si>
  <si>
    <t>[3] (historische Werte),  [4] und [4a] (ab 2025) zzgl. Vorkettenemissionen auf Basis von [5]</t>
  </si>
  <si>
    <t>Grüner Wasserstoff</t>
  </si>
  <si>
    <t>Mittelwert</t>
  </si>
  <si>
    <t>keine großskalige Verfügbarkeit</t>
  </si>
  <si>
    <t>[B, C]</t>
  </si>
  <si>
    <t>Oberer Pfad</t>
  </si>
  <si>
    <t>[6]</t>
  </si>
  <si>
    <t>[D]</t>
  </si>
  <si>
    <t>Unterer Pfad</t>
  </si>
  <si>
    <t>[8](2030) und [9] (2050)</t>
  </si>
  <si>
    <t>Blauer Wasserstoff</t>
  </si>
  <si>
    <t>[C]</t>
  </si>
  <si>
    <t>Grenzwert nach [10]</t>
  </si>
  <si>
    <t>[7]</t>
  </si>
  <si>
    <t>Grauer Wasserstoff</t>
  </si>
  <si>
    <t>[7, 6]</t>
  </si>
  <si>
    <t>[F]</t>
  </si>
  <si>
    <t>Gesetz zur Einsparung von Energie und zur Nutzung erneuerbarer Energien zur Wärme- und Kälteerzeugung in Gebäuden (Gebäudeenergiegesetz - GEG), Anlage 9 (zu § 85 Absatz 6) Umrechnung in Treibhausgasemissionen</t>
  </si>
  <si>
    <t>[2]</t>
  </si>
  <si>
    <t>KEA (2024): Technikkatalog Baden-Württemberg Version 1.1 (Stand Januar 2024)</t>
  </si>
  <si>
    <t>[3]</t>
  </si>
  <si>
    <t>UBA CLIMATE CHANGE 20/2023 Für Mensch &amp; Umwelt Entwicklung der spezifischen Treibhausgas-Emissionen des deutschen Strommix in den Jahren 1990 - 2022</t>
  </si>
  <si>
    <t>[4]</t>
  </si>
  <si>
    <t>Prognos, Öko-Institut, Wuppertal-Institut (2021): Klimaneutrales Deutschland 2045. Wie Deutschland seine Klimaziele schon vor 2050 erreichen kann</t>
  </si>
  <si>
    <t>[4a]</t>
  </si>
  <si>
    <t>Agora Energiewende, Prognos, Consentec (2022): Klimaneutrales Stromsystem 2035. Wie der deutsche Stromsektor bis zum Jahr 2035 klimaneutral werden kann.</t>
  </si>
  <si>
    <t>[5]</t>
  </si>
  <si>
    <t>IINAS (2023) Der nichterneuerbare kumulierte Energieverbrauch und THG Emissionen des deutschen Strommix im Jahr 2022 sowie Ausblicke auf 2030 und 2050</t>
  </si>
  <si>
    <t xml:space="preserve">DVGW, Ökologische Bewertung der Wasserstoffbereitstellung, Sensitivitätsanalyse zu THG-Emissionen von Wasserstoff, 2022, https://www.dvgw.de/medien/dvgw/forschung/berichte/g202148-abschlussfolien-thg-emissionen-H2.pdf </t>
  </si>
  <si>
    <t>C. Antonini et al.: Hydrogen production from natural gas and biomethane with carbon capture and storage – A techno-environmental analysis, 2020, https://pubs.rsc.org/en/content/articlelanding/2020/se/d0se00222d</t>
  </si>
  <si>
    <t>[8]</t>
  </si>
  <si>
    <t>BDEW: Grundlagenpapier Primärenergiefaktoren, Zusammenhänge von Primärenergie und Endenergie in der energetischen Bewertung, 2022, https://www.bdew.de/media/documents/Awh_20221124_BDEW-Grundlagenpapier_PEF_final.pdf</t>
  </si>
  <si>
    <t>[9]</t>
  </si>
  <si>
    <t>Umweltbundesamt: Welche Treibhausgasemissionen verursacht die Wasserstoffproduktion? Vergleich der Treibhauswirkungen verschiedener Wasserstoffherstellungsprozesse entlang der Wertschöpfungskette, 2022, https://www.umweltbundesamt.de/sites/default/files/medien/479/dokumente/uba_welche_treibhausgasemissionen_verursacht_die_wasserstoffproduktion.pdf</t>
  </si>
  <si>
    <t>[10]</t>
  </si>
  <si>
    <t xml:space="preserve">Erneuerbare-Energien-Richtlinie (RED II,  2018/2001) </t>
  </si>
  <si>
    <t>Anmekungen</t>
  </si>
  <si>
    <t>[A]</t>
  </si>
  <si>
    <t>THG-Emissionsfaktor wird derzeit im GEG Vorhaben geprüft (Deforestation nicht berücksichtig)</t>
  </si>
  <si>
    <t>[B]</t>
  </si>
  <si>
    <t>Mittelwert aus Import und Inlandserzeugung (Anteile 2030:30/70, 2040:60/40)</t>
  </si>
  <si>
    <t>inkl. lineare Interpolation</t>
  </si>
  <si>
    <t>keine Bilanzierung des Elektrolyseurs enthalten</t>
  </si>
  <si>
    <t>[E]</t>
  </si>
  <si>
    <t xml:space="preserve">Emissionsfaktor von grauem Wasserstoff als fossiler Vergleichswert </t>
  </si>
  <si>
    <t>Mittelwert aus den Quellen</t>
  </si>
  <si>
    <t xml:space="preserve">Die angegebenen Parameter stellen bundesweite Durchschnittswerte dar. Tatsächliche Kosten können lokal z.T. erheblich abweichen und sollten daher im Einzelfall überprüft und ggf. den lokalen Umständen angepasst werden. </t>
  </si>
  <si>
    <t>Technologie</t>
  </si>
  <si>
    <t>Jahr</t>
  </si>
  <si>
    <t>technische Daten</t>
  </si>
  <si>
    <t>Einheit</t>
  </si>
  <si>
    <t>Unsicherheit ±</t>
  </si>
  <si>
    <t>Kostenkurve</t>
  </si>
  <si>
    <r>
      <t>Spezifische Investitionskosten [€/kW</t>
    </r>
    <r>
      <rPr>
        <vertAlign val="subscript"/>
        <sz val="8"/>
        <color rgb="FF666F77"/>
        <rFont val="Calibri"/>
        <family val="2"/>
        <scheme val="minor"/>
      </rPr>
      <t>th</t>
    </r>
    <r>
      <rPr>
        <sz val="8"/>
        <color rgb="FF666F77"/>
        <rFont val="Calibri"/>
        <family val="2"/>
        <scheme val="minor"/>
      </rPr>
      <t>] = a*Leistung [kW</t>
    </r>
    <r>
      <rPr>
        <vertAlign val="subscript"/>
        <sz val="8"/>
        <color rgb="FF666F77"/>
        <rFont val="Calibri"/>
        <family val="2"/>
        <scheme val="minor"/>
      </rPr>
      <t>th</t>
    </r>
    <r>
      <rPr>
        <sz val="8"/>
        <color rgb="FF666F77"/>
        <rFont val="Calibri"/>
        <family val="2"/>
        <scheme val="minor"/>
      </rPr>
      <t>]^b</t>
    </r>
  </si>
  <si>
    <t>thermische Leistung</t>
  </si>
  <si>
    <r>
      <t>kW</t>
    </r>
    <r>
      <rPr>
        <vertAlign val="subscript"/>
        <sz val="8"/>
        <color rgb="FF666F77"/>
        <rFont val="Calibri"/>
        <family val="2"/>
        <scheme val="minor"/>
      </rPr>
      <t>th</t>
    </r>
  </si>
  <si>
    <t>Wirkungsgrad</t>
  </si>
  <si>
    <t>%</t>
  </si>
  <si>
    <t>C</t>
  </si>
  <si>
    <t>Parameter a</t>
  </si>
  <si>
    <t>Lebensdauer</t>
  </si>
  <si>
    <t>a</t>
  </si>
  <si>
    <t>Parameter b</t>
  </si>
  <si>
    <t>Kosten (€2023 real, ohne MWSt.)</t>
  </si>
  <si>
    <t>Spezifische Investitionskosten</t>
  </si>
  <si>
    <r>
      <t>€/kW</t>
    </r>
    <r>
      <rPr>
        <vertAlign val="subscript"/>
        <sz val="8"/>
        <color rgb="FF666F77"/>
        <rFont val="Calibri"/>
        <family val="2"/>
        <scheme val="minor"/>
      </rPr>
      <t>th</t>
    </r>
  </si>
  <si>
    <t>[1], [2]-[5]</t>
  </si>
  <si>
    <t>A, C</t>
  </si>
  <si>
    <t>Scope</t>
  </si>
  <si>
    <t>Alle Preise in €2023 und ohne MWSt.</t>
  </si>
  <si>
    <t>davon Anlagenkosten</t>
  </si>
  <si>
    <t>davon Installationskosten</t>
  </si>
  <si>
    <t>Investitionskosten gesamt (nur Anlage + Installation)</t>
  </si>
  <si>
    <t>€</t>
  </si>
  <si>
    <t>A</t>
  </si>
  <si>
    <t>Alle Preise für Premium Brennwertgeräte mit Staubklasse unter 2,5 mg</t>
  </si>
  <si>
    <t>jährliche Fixkosten O&amp;M</t>
  </si>
  <si>
    <t>G</t>
  </si>
  <si>
    <t>B</t>
  </si>
  <si>
    <t>Pelletslagerkosten +25% des spezifischen Anlagenkosten Lagergröße 400kg/kW Leistung entsprechend [1].</t>
  </si>
  <si>
    <t>Zusätzliche Kosten (€2023 real, ohne MWSt.)</t>
  </si>
  <si>
    <t xml:space="preserve">Preise und Kenndaten von [1] aus den Katalogen Jahr 23 von Hargassner und Paradigma  mit +4% Anteil Amaturen und +6% Anteil Regelung (einfach - direkt HK/AT geführt). Hier wurden die Kosten um 25% erhöht zum Angleich an höhere Kosten in anderen Referenzen (3-5). </t>
  </si>
  <si>
    <t>Geringinvestive Maßnahmen</t>
  </si>
  <si>
    <t>F</t>
  </si>
  <si>
    <t>D</t>
  </si>
  <si>
    <t>Entsprechend [1] werden keine Kostenminderungen oder Effizienzsteigerungen angenommen.</t>
  </si>
  <si>
    <t>E</t>
  </si>
  <si>
    <t>Speichergrößen und -kosten können in der Praxis stark variieren. Hier wurden nach [1] für größere Speicher ab 35 kW (d.h. eher für Mehrfamilienhäuser) deutlich höhere spez. Kosten angesetzt, da ab dieser Größe Frischwasserstationen vorgesehen sind (vgl. Datenblatt Pufferspeicher).</t>
  </si>
  <si>
    <t>Schornsteinertüchtigung</t>
  </si>
  <si>
    <t xml:space="preserve">Beinhalten Maßnahmen zur Optimierung des Heizungssystems (hydraulischen Abgleich, Dämmung der Verteilleitungen, Einstellung der Heizkurve, Absenkung der Systemtemperaturen auf 70/55 °C nach BDEW Heizkostenvergleich), bei Neuanlagen sind diese Kostenteile zumeist in den Anlagenkosten enthalten. </t>
  </si>
  <si>
    <t>Pelletlagerkosten</t>
  </si>
  <si>
    <t>6% der Investitionskosten</t>
  </si>
  <si>
    <t>Pufferspeicher Kosten</t>
  </si>
  <si>
    <t>Kapazität</t>
  </si>
  <si>
    <t>L</t>
  </si>
  <si>
    <t>Investitionskosten</t>
  </si>
  <si>
    <t>€/L</t>
  </si>
  <si>
    <t>Investitionskosten gesamt</t>
  </si>
  <si>
    <t>DEA, Danish Energy Agency (2020): Technology Data for individual heating installations.</t>
  </si>
  <si>
    <t>UBA, Umweltbundesamt (2021): Analyse des wirtschaftlichen Potenzials für eine effiziente Wärme- und Kälteversorgung. Abschlussbericht.</t>
  </si>
  <si>
    <t>Ifeu et al. (2023): Heizen mit 65% erneuerbaren Energien – Begleitende Analysen zur Ausgestaltung der Regelung aus dem Koalitionsvertrag 2021. Teilbericht im Rahmen des Projektes „Gebäudeenergiegesetz und EPBD“.</t>
  </si>
  <si>
    <t>BDEW (2021): BDEW-Heizkostenvergleich Altbau 2021.</t>
  </si>
  <si>
    <t>VDI 2067, Blatt 1</t>
  </si>
  <si>
    <t>C, D</t>
  </si>
  <si>
    <t>A, C, D</t>
  </si>
  <si>
    <r>
      <t>Spezifische Investitionskosten [€/kW</t>
    </r>
    <r>
      <rPr>
        <vertAlign val="subscript"/>
        <sz val="8"/>
        <color rgb="FF666F77"/>
        <rFont val="Calibri"/>
        <family val="2"/>
        <scheme val="minor"/>
      </rPr>
      <t>th</t>
    </r>
    <r>
      <rPr>
        <sz val="8"/>
        <color rgb="FF666F77"/>
        <rFont val="Calibri"/>
        <family val="2"/>
        <scheme val="minor"/>
      </rPr>
      <t>] = a*Leistung [kW_</t>
    </r>
    <r>
      <rPr>
        <vertAlign val="subscript"/>
        <sz val="8"/>
        <color rgb="FF666F77"/>
        <rFont val="Calibri"/>
        <family val="2"/>
        <scheme val="minor"/>
      </rPr>
      <t>th</t>
    </r>
    <r>
      <rPr>
        <sz val="8"/>
        <color rgb="FF666F77"/>
        <rFont val="Calibri"/>
        <family val="2"/>
        <scheme val="minor"/>
      </rPr>
      <t>]^b</t>
    </r>
  </si>
  <si>
    <t>[1]-[5]</t>
  </si>
  <si>
    <t>A, B, C</t>
  </si>
  <si>
    <t xml:space="preserve">Alle Preise in €2023 und ohne MWSt. </t>
  </si>
  <si>
    <t>Alle Preise für Premium Brennwertgeräte mit niedrigster Staubklasse mit Fördermöglichkeit (&lt;2,5mg); Preise und Richtwerte der Kenndaten aus den Katalogen Jahr 23 von Hargassner  mit +4% Anteil Amaturen und +6% Anteil Regelung (einfach - direkt HK/AT geführt) nach [1], hier jedoch mit 25% Aufschlag zum Angleich an andere Quellen.</t>
  </si>
  <si>
    <t>Hackgutlagerkosten +25% des spezifischen Anlagenkosten Lagergröße siehe Hersteller Empfehlungen (entsprechend [1]).</t>
  </si>
  <si>
    <t>Hackgutlagerkosten</t>
  </si>
  <si>
    <t>O&amp;M Kosten wurden etwas höher angesetzt (6,5% d. Investtitionskosten) als beim Pelletkessel, da Hackschnitzel weniger standardisiert und damit aufwändiger im Handling sind.</t>
  </si>
  <si>
    <t>[1], [7]</t>
  </si>
  <si>
    <t>Wirkungsgrad mit Brennwerteffekt</t>
  </si>
  <si>
    <t xml:space="preserve">[6] </t>
  </si>
  <si>
    <t>Nur bis 60 kW</t>
  </si>
  <si>
    <t>In der Geräteklasse bis 25 kW keine großen technischen Unterschiede und somit gleiche Gerätekosten -&gt; spezifische Gerätekosten sinken bis 25 kW.</t>
  </si>
  <si>
    <t>Annahme für Heizungsanlage mit Brennwerteffekt, somit maximale VL-Temperatur auf 57°C eingestellt.</t>
  </si>
  <si>
    <t>Aufgrund zukünftig voraussichtlich geringerer Stückzahl sind die Kosten mit höherer Unsicherheit verbunden.</t>
  </si>
  <si>
    <t>3% der Investitionskosten</t>
  </si>
  <si>
    <t>KEA (2024): Technikkatalog Baden-Württemberg Version 1.1 (Stand Januar 2024). Kosten basierend auf Recherche Mittelwert der Preise von Buderus und Paradigma (Ritter Energie)/Online abgleich mit kleinester Regelung für eine funktionsfähige Einheit mit Absperrhähnen und Ausdehnungsgefäs für das Gerät.</t>
  </si>
  <si>
    <t>ErP Spezifikationen, Label der EU-Richtline 2010/30/EU Katalog Buderus und Ritter Energie/Remeha.</t>
  </si>
  <si>
    <t>€/kWth</t>
  </si>
  <si>
    <t>[1]-[3]</t>
  </si>
  <si>
    <t xml:space="preserve">Alle Preise in €2023 und ohne MWSt.; Kosten ohne Tanksysteme. </t>
  </si>
  <si>
    <t>Gesamtkosten aus Anlage und Heizöltank entsprechen etwa Kosten nach [1]. Ohne neuen Heizöltank sind Heizölkessel nicht viel teurer als Erdgaskessel (+10%).</t>
  </si>
  <si>
    <t>3,5% der Investitionskosten</t>
  </si>
  <si>
    <t>In der Regel nicht notwendig, wenn vorher bereits ein Heizölkessel installiert war, da Öltanks lange Lebensdauern haben.</t>
  </si>
  <si>
    <t>Heizöltank</t>
  </si>
  <si>
    <t>VDI 2067, Blatt 1.</t>
  </si>
  <si>
    <t>In der Geräteklasse bis 25 kW keine großen technischen Unterschiede und somit gleiche Gerätekosten -&gt; spezifische Gerätekosten sinken bis 25 kW. Aufgrund fehlender Verfügbarkeit von Kostendaten wurden 10% höhere Kosten im Vergleich zum Erdgaskessel angenommen.</t>
  </si>
  <si>
    <t>Kollektorfläche</t>
  </si>
  <si>
    <t>m2</t>
  </si>
  <si>
    <t>A, F</t>
  </si>
  <si>
    <t>Jahresertrag</t>
  </si>
  <si>
    <t>kWh/m2</t>
  </si>
  <si>
    <t>[2], [3]</t>
  </si>
  <si>
    <t>B, F</t>
  </si>
  <si>
    <t>[1], [2]</t>
  </si>
  <si>
    <t>Alle Kosten in €2023 und ohne MWSt.</t>
  </si>
  <si>
    <t>Angabe nach Herstellerinformationen PARADIGMA und BUDERUS. Kollektorfläche entspricht Apperturfläche [1].</t>
  </si>
  <si>
    <t>Nach [1] wird die maximale Kollektorleistung von 750 W/m2 (bei optischem Wirkungsgrad von 75%) unter Realbedingungen selten erreicht.  Für die Planung von Solarthermie Anlagen ist eine Auslegungsleistung als Untergrenze bei 500 W/m2 durch VDI 6002 definiert.</t>
  </si>
  <si>
    <r>
      <t>€/kW</t>
    </r>
    <r>
      <rPr>
        <vertAlign val="subscript"/>
        <sz val="8"/>
        <color rgb="FF666F77"/>
        <rFont val="Calibri"/>
        <family val="2"/>
        <scheme val="minor"/>
      </rPr>
      <t>th</t>
    </r>
    <r>
      <rPr>
        <sz val="8"/>
        <color rgb="FF666F77"/>
        <rFont val="Calibri"/>
        <family val="2"/>
        <scheme val="minor"/>
      </rPr>
      <t>*a</t>
    </r>
  </si>
  <si>
    <t>E, F</t>
  </si>
  <si>
    <t>Längere Lebensdauer durch bessere Wärmeträgermedien. Hersteller geben meist eine Garantie von 10 Jahren [1].</t>
  </si>
  <si>
    <t>Abhängig von bestehendem System; bei Neubau Gebäude günstiger [1].</t>
  </si>
  <si>
    <t>Jahresservice und Austausch Wärmeträgerflüssigkeit.</t>
  </si>
  <si>
    <t>VDI 6002.</t>
  </si>
  <si>
    <t>Spezifische Investitionskosten [€/kW] = a*Leistung [kW]^b</t>
  </si>
  <si>
    <t>kW</t>
  </si>
  <si>
    <t>Kosten (in €2023 real, ohne MWSt.)</t>
  </si>
  <si>
    <t>€/kW</t>
  </si>
  <si>
    <t>Alle Kosten in €2023 und ohne MWSt. Ohne Berücksichtigung von Speichern.</t>
  </si>
  <si>
    <t xml:space="preserve">Deckungsgrad Raumwärme 100%, Warmwasser 0% (nach [1]). Deckungsgrade können sich in der Zukunft verringern, je nach dem Einsatz von EE (anderen als PV) im Gesamtheizungssystem. </t>
  </si>
  <si>
    <t>€/kW*a</t>
  </si>
  <si>
    <t>Bei angenommenem Wechsel der Heizungselemente alle 10 Jahre.</t>
  </si>
  <si>
    <t>Zusätzliche Kosten (in €2023 real, ohne MWSt.)</t>
  </si>
  <si>
    <t xml:space="preserve">Nach VDI 2067, Blatt 1: 1% der Investition für Betriebskosten. </t>
  </si>
  <si>
    <t>Entsprechend [1] wird keine Kostenminderung angenommen.</t>
  </si>
  <si>
    <t>Kosten aus [1]-[3] wurden ergänzt durch aktuelle Experteneinschätzungen BDEW/VKU.</t>
  </si>
  <si>
    <t>ifeu, 2021: Nutzung von Strom aus  erneuerbaren Energien in Wärmeanwendungen, https://www.ifeu.de/fileadmin/uploads/EE-Strom_Waerme_Strategiepapier.pdf.</t>
  </si>
  <si>
    <t>ISE, 2020: Brandes et al.: Wege zu einem klimaneutralen Energiesystem 2040, Die deutsche Energiewende im Kontext gesellschaftlicher Verhaltensweisen – Update unter einer Zielvorgabe von 65% CO2-Reduktion in 2030 und 100% in 2040, Fraunhofer-Institut für Solare Energiesysteme ISE, Freiburg.</t>
  </si>
  <si>
    <t>Jahresarbeitszahl (JAZ), Neubau/Altbau kernsaniert mit Fußbodenheizung</t>
  </si>
  <si>
    <t>[2], [8]</t>
  </si>
  <si>
    <t>Parameter a - bis 50 kW</t>
  </si>
  <si>
    <t>Jahresarbeitszahl (JAZ), Altbau saniert</t>
  </si>
  <si>
    <t>Parameter b - bis 50 kW</t>
  </si>
  <si>
    <t>Jahresarbeitszahl (JAZ), Altbau unsaniert</t>
  </si>
  <si>
    <t>Parameter a - ab 50 kW</t>
  </si>
  <si>
    <t>Parameter b - ab 50 kW</t>
  </si>
  <si>
    <t>[1], [3]-[8]</t>
  </si>
  <si>
    <t>Alle Kosten in €2023 und ohne MWSt, ohne Trinkwasserspeicher.</t>
  </si>
  <si>
    <t>Investitionskosten gesamt (nur Anlage)</t>
  </si>
  <si>
    <t>Nach VDI 2067, Blatt 1: 1,5% der Investition für Wartung und Inspektion, mind. 350 €.</t>
  </si>
  <si>
    <t>Jährlich 1% Kostensenkung durch Standardisierung / Skalierung und Lerneffekte bei Massenproduktion erwartet.</t>
  </si>
  <si>
    <t>JAZ bei Auslegungstemperaturen von 70°C/55°C (Altbau unsaniert), 55°C/45°C (Altbau saniert) und 35°C/30°C (Neubau/Altbau kernsaniert mit FBH) nach [8].</t>
  </si>
  <si>
    <t>Geringinvestive Maßnahmen und Heizflächenaustausch</t>
  </si>
  <si>
    <t>Entsprechend des Technikkatalogs Baden-Württembergs und Abgleich mit weiteren Quellen wird eine Effizienzssteigerung von ca. 0,5% p.a. erwartet.</t>
  </si>
  <si>
    <t xml:space="preserve">Beinhalten Maßnahmen zur Optimierung des Heizungssystems (hydraulischen Abgleich, Dämmung der Verteilleitungen, Einstellung der Heizkurve, Absenkung der Systemtemperaturen auf 70/55 °C nach BDEW Heizkostenvergleich) Austausch der Heizflächen für Systemtemperaturen 50/40 °C. Bei Neuanlagen sind diese Kostenteile zumeist in den Anlagenkosten enthalten. </t>
  </si>
  <si>
    <t>Fraunhofer ISE (2020): Wärmepumpen in Bestandsgebäuden: Ergebnisse aus dem Forschungsprojekt "WPSmart im Bestand". Abschlussbericht für das BMWi.</t>
  </si>
  <si>
    <t>TU Braunschweig (2019): Energetische und wirtschaftliche Bewertung von Wärmequellen für Wärmepumpen. Abschlussbericht future:heatpump.</t>
  </si>
  <si>
    <t>FfE (2021): Wärmepumpen-Fahrplan. Finanzielle Kipppunkte zur Modernisierung mit Wärmepumpen im Wohngebäudebestand.</t>
  </si>
  <si>
    <t>inkl. Erschließungskosten</t>
  </si>
  <si>
    <t>Angenommen nach [1] für typische Installationskostem von 2.000 - 3.000 € [2022] pro Wärmepumpe (unabhängig der Wärmequelle; z.B. Buderus, Bosch Thermotechnik).</t>
  </si>
  <si>
    <t>Erschließungskosten Wärmequelle (Grundwasserbrunnen)</t>
  </si>
  <si>
    <t>Spez. Investitionskosten gesamt</t>
  </si>
  <si>
    <t>Jährlich 1% Produktivitätsfortschritt erwartet nach [1].</t>
  </si>
  <si>
    <t>Deckungsgrad Raumwärme = Warmwasser = 100%.</t>
  </si>
  <si>
    <t>[1], [4]</t>
  </si>
  <si>
    <t>Annahme nach [1]: Wärmepumpen verlieren ca. 15% der JAZ, wenn Radiatoren verwendet werden.</t>
  </si>
  <si>
    <t>Günther et al., 2013: „WP Monitor“ Feldmessung von Wärmepumpenanlagen, Fraunhofer-Institut für Solare Energiesysteme ISE.</t>
  </si>
  <si>
    <t>Fraunhofer ISE (2020): Wärmepumpen in Bestandsgebäuden, Ergebnisse aus dem Forschungsprojekt "WPsmart im Bestand".</t>
  </si>
  <si>
    <t>VDI 2067 Wirtschaftlichkeit gebäudetechnischer Anlagen, Blatt 1 Grundlagen und Kostenrechnung 2012-09.</t>
  </si>
  <si>
    <t>DIN V 4701-10 - Energetische Bewertung heiz- und raumlufttechnischer Anlagen Teil 10: Heizung, Trinkwassererwärmung, Lüftung. Deutsches Institut für Normung e. V., Berlin, August 2003.</t>
  </si>
  <si>
    <t>[1], [2], [9]</t>
  </si>
  <si>
    <t>Lebensdauer Wärmepumpe</t>
  </si>
  <si>
    <t>Lebensdauer Erschließung Wärmequelle</t>
  </si>
  <si>
    <t>[11]</t>
  </si>
  <si>
    <t>[1], [3]-[9]</t>
  </si>
  <si>
    <t>Nach [1]: angenommen für typische Installationskostem von 2.000 - 3.000 € [2022] pro Wärmepumpe (unabhängig der Wärmequelle; z.B. Buderus, Bosch Thermotechnik).</t>
  </si>
  <si>
    <t>Erschließungskosten Wärmequelle (Sonden)</t>
  </si>
  <si>
    <t>[1], [8], [12]</t>
  </si>
  <si>
    <t>G, H, I, N</t>
  </si>
  <si>
    <t xml:space="preserve">Kostenminderung 1% Minderung p.a. entsprechend [1] </t>
  </si>
  <si>
    <t>Investitionskosten gesamt (nur Anlage &amp; Wärmeerschließung)</t>
  </si>
  <si>
    <t>Nach z.B. Brandes et al. (2020) steigert sich die JAZ einer Wärmepumpe von 2020 zu 2030 um 10%, von 2020 zu 2050 um 30% durch technologische Weiterentwicklungen.</t>
  </si>
  <si>
    <t>B, J</t>
  </si>
  <si>
    <t>JAZ bei Auslegungstemperaturen von 70°C/55°C (Altbau unsaniert), 55°C/45°C (Altbau saniert) und 35°C/30°C (Neubau/Altbau kernsaniert mit FBH) nach [9].</t>
  </si>
  <si>
    <t>Ohne Berücksichtigung des Thermal Response Tests, der ab 3 Erdwärmesonden obligatorisch ist.</t>
  </si>
  <si>
    <t>H</t>
  </si>
  <si>
    <t>Typischerweise wird bei Erdwärmesondenfeldern ein Sicherheitszuschlag eingeplant (z.B. 25.000 €). Dieser Zuschlag wird hier nicht berücksichtigt.</t>
  </si>
  <si>
    <t>J</t>
  </si>
  <si>
    <t>Typischerweise haben einzelne Erdwärmesonden keine Betriebskosten. Für Erdwärmesondenfelder und Brunnenanlagen wird aber häufig ein Betrag um 1.000 €/a für das gesamte Feld angesetzt.</t>
  </si>
  <si>
    <t>M</t>
  </si>
  <si>
    <t>I</t>
  </si>
  <si>
    <t>Informationen zur geothermischen Entzugsleistung, Grabbarkeit des Bodens etc. können georeferenziert dem Informationssystem Oberflächennahe Geothermie (ISONG) entnommen werden. Typischer Wert geothermische Entzugsleistung Kollektor: 10 - 40 W/m^2. Siehe auch VDI 4640, Blatt 2. Für die Umrechnung in spez. Kosten wurde von einer mitteleren Leistung von 25 W/m^2 ausgegangen. Typischer Wert geothermische Entzugsleistung Sonde: Je nach Untergrundbeschaffenheit ist bei einer 100 m tiefen Sonde mit Entzugsleistungen von 3 - 6 kW zu rechnen. Siehe auch VDI 4640, Blatt 2.</t>
  </si>
  <si>
    <t>K</t>
  </si>
  <si>
    <t>Für Erschließungskosten werden Kostensteigerungen nach [1] angenommen: 10% bis 2030 für Sonden und Kollektoren, 35% bzw. 23% bis 2040 für Sonden bzw. Kollektoren</t>
  </si>
  <si>
    <t>N</t>
  </si>
  <si>
    <t xml:space="preserve">Die Lebensdauer der Sonden beträgt 50 Jahre. </t>
  </si>
  <si>
    <t>C, F</t>
  </si>
  <si>
    <t>Brandes et al., 2022: Wege zu einem klimaneutralen Energiesystem 2040, Die deutsche Energiewende im Kontext gesellschaftlicher Verhaltensweisen – Update unter einer Zielvorgabe von 65% CO2-Reduktion in 2030 und 100% in 2040, Fraunhofer-Institut für Solare Energiesysteme ISE, Freiburg.</t>
  </si>
  <si>
    <t>Arbeitsblatt 
DVGW W 120-1 (A), 2012.</t>
  </si>
  <si>
    <t>[12]</t>
  </si>
  <si>
    <t xml:space="preserve">Bundesinstitut für Bau-, Stadt- und Raumforschung (BBSR) im Bundesamt für Bauwesen und Raumordnung (BBR) (Hrsg.): EnEV 2017 – Vorbereitende Untersuchungen. BBSR-Online-Publikation 16/2017, Bonn, September 2017. </t>
  </si>
  <si>
    <t>G, H, I, K</t>
  </si>
  <si>
    <r>
      <t>Nach [1]: angenommen für typische Installationskostem von</t>
    </r>
    <r>
      <rPr>
        <sz val="11"/>
        <rFont val="Calibri"/>
        <family val="2"/>
        <scheme val="minor"/>
      </rPr>
      <t xml:space="preserve"> 2.000 - 3.000 €</t>
    </r>
    <r>
      <rPr>
        <sz val="11"/>
        <color theme="1"/>
        <rFont val="Calibri"/>
        <family val="2"/>
        <scheme val="minor"/>
      </rPr>
      <t xml:space="preserve"> [2022] pro Wärmepumpe (unabhängig der Wärmequelle; z.B. </t>
    </r>
    <r>
      <rPr>
        <i/>
        <sz val="11"/>
        <color theme="1"/>
        <rFont val="Calibri"/>
        <family val="2"/>
        <scheme val="minor"/>
      </rPr>
      <t>Buderus, Bosch Thermotechnik</t>
    </r>
    <r>
      <rPr>
        <sz val="11"/>
        <color theme="1"/>
        <rFont val="Calibri"/>
        <family val="2"/>
        <scheme val="minor"/>
      </rPr>
      <t>).</t>
    </r>
  </si>
  <si>
    <t>Erschließungskosten Wärmequelle - Kollektoren</t>
  </si>
  <si>
    <t>[1], [8]</t>
  </si>
  <si>
    <t>G, H, I, O</t>
  </si>
  <si>
    <t>Kostenminderung entsprechend [1].</t>
  </si>
  <si>
    <t xml:space="preserve">Referenzen 4-9 wurden neben internen Quellen zum Vergleich der Kosten und Einschätzung der Bandbreite herangezogen. </t>
  </si>
  <si>
    <t>Nach [8] keine Kostendegression mehr ab etwa 20 kW. Kollektoren sind bei größeren Anlagen allerdings eher unüblich aufgrund des großen Flächenbedarfs.</t>
  </si>
  <si>
    <t>Pufferspeicher</t>
  </si>
  <si>
    <t>O</t>
  </si>
  <si>
    <t>[1], [2], [9], [10]</t>
  </si>
  <si>
    <t>E, K</t>
  </si>
  <si>
    <t>G, H, I, L</t>
  </si>
  <si>
    <t>Wirkungsgrad Gasbrennwertkessel</t>
  </si>
  <si>
    <t>Wärmewirkungsgrad Gesamtsystem, Neubau/Altbau kernsaniert mit FBH</t>
  </si>
  <si>
    <t>Wärmewirkungsgrad Gesamtsystem, Altbau saniert</t>
  </si>
  <si>
    <t>Wärmewirkungsgrad Gesamtsystem, Altbau unsaniert</t>
  </si>
  <si>
    <t>10% Kostenminderung bis 2030, 20% bis 2040 erwartet nach [3]</t>
  </si>
  <si>
    <t>Da beim Hybridsystem die niedrigeren Temperaturen mit schlechter JAZ sowie ggf. die Trinkwasserversorgung über den Gaskessel abegedeckt werden (siehe auch [3]), wird in Anlehnung an [3] eine um 10% höhere JAZ angenommen.</t>
  </si>
  <si>
    <t>[3]-[6]</t>
  </si>
  <si>
    <r>
      <t>Es wird angenommen, dass die Wärmepumpe 80% des Wärmebedarfs liefert und der Gaskessel den Rest. Gesamteffizienz berechnet entsprechend [3]: 1/(80%/JAZ</t>
    </r>
    <r>
      <rPr>
        <vertAlign val="subscript"/>
        <sz val="8"/>
        <color rgb="FF666F77"/>
        <rFont val="Calibri"/>
        <family val="2"/>
        <scheme val="minor"/>
      </rPr>
      <t>WP</t>
    </r>
    <r>
      <rPr>
        <sz val="8"/>
        <color rgb="FF666F77"/>
        <rFont val="Calibri"/>
        <family val="2"/>
        <scheme val="minor"/>
      </rPr>
      <t xml:space="preserve"> + 20%/WG</t>
    </r>
    <r>
      <rPr>
        <vertAlign val="subscript"/>
        <sz val="8"/>
        <color rgb="FF666F77"/>
        <rFont val="Calibri"/>
        <family val="2"/>
        <scheme val="minor"/>
      </rPr>
      <t>GK</t>
    </r>
    <r>
      <rPr>
        <sz val="8"/>
        <color rgb="FF666F77"/>
        <rFont val="Calibri"/>
        <family val="2"/>
        <scheme val="minor"/>
      </rPr>
      <t>)</t>
    </r>
  </si>
  <si>
    <t>Brandes et al., 2020: Wege zu einem klimaneutralen Energiesystem 2050, Die deutsche Energiewende im Kontext gesellschaftlicher Verhaltensweisen; Anhang, Fraunhofer-Institut für Solare Energiesysteme ISE, Freiburg.</t>
  </si>
  <si>
    <t>elektrische Leistung</t>
  </si>
  <si>
    <r>
      <t>kW</t>
    </r>
    <r>
      <rPr>
        <vertAlign val="subscript"/>
        <sz val="8"/>
        <color rgb="FF666F77"/>
        <rFont val="Calibri"/>
        <family val="2"/>
        <scheme val="minor"/>
      </rPr>
      <t>el</t>
    </r>
  </si>
  <si>
    <t>Parameter a - bis 100 kW</t>
  </si>
  <si>
    <t>Wirkungsgrad elektrisch</t>
  </si>
  <si>
    <t>Parameter b - bis 100 kW</t>
  </si>
  <si>
    <t>Wirkungsgrad thermisch</t>
  </si>
  <si>
    <t>Parameter a - ab 100 kW</t>
  </si>
  <si>
    <t>Wirkunsgrad gesamt</t>
  </si>
  <si>
    <t>Parameter b - ab 100 kW</t>
  </si>
  <si>
    <t>Alle Kosten in €2023 und ohne MWSt. Kosten inklusive Modulkosten, Einbindung, Planung; ohne Erschließungsmaßnahmen (Medienanschlüsse für die KWK-Anlage, z.B. Anschluss an Stromnetz, Gasnetz, Wärmenetz).</t>
  </si>
  <si>
    <r>
      <t>€/kW</t>
    </r>
    <r>
      <rPr>
        <vertAlign val="subscript"/>
        <sz val="8"/>
        <color rgb="FF666F77"/>
        <rFont val="Calibri"/>
        <family val="2"/>
        <scheme val="minor"/>
      </rPr>
      <t>el</t>
    </r>
  </si>
  <si>
    <t>davon Anlagenkosten (Modulkosten)</t>
  </si>
  <si>
    <t>davon Installationskosten (Einbindung)</t>
  </si>
  <si>
    <t>Hersteller begrenzen Gewährleistung nach [2] auf diese Zeit, erfahrungsgemäß laufen die Aggregate jedoch länger, die VDI 2067 gibt für Blockheizkraftwerke eine Betriebsdauer von 15 Jahren an.</t>
  </si>
  <si>
    <t>Tsd. €</t>
  </si>
  <si>
    <t>Die thermische Leistung kann insbesondere im Bereich von 20 kW bis 500 kW von den publizierten Mittelwerten abweichen. Dies hängt einerseits mit den hydraulischen Rahmenbedingungen und den Möglichkeiten einer Brennwertnutzung ab. Andererseits spielt die eingesetzte Motorentechnik (Lambda-1 versus turboaufgeladener Magermotor) eine Rolle.</t>
  </si>
  <si>
    <t>Wirkungsgrade beziehen sich auf den Heizwert (Hu/Hi).</t>
  </si>
  <si>
    <r>
      <t>€/kW</t>
    </r>
    <r>
      <rPr>
        <vertAlign val="subscript"/>
        <sz val="8"/>
        <color rgb="FF666F77"/>
        <rFont val="Calibri"/>
        <family val="2"/>
        <scheme val="minor"/>
      </rPr>
      <t>el</t>
    </r>
    <r>
      <rPr>
        <sz val="8"/>
        <color rgb="FF666F77"/>
        <rFont val="Calibri"/>
        <family val="2"/>
        <scheme val="minor"/>
      </rPr>
      <t>*a</t>
    </r>
  </si>
  <si>
    <t xml:space="preserve"> Aufgrund voraussichtlicher geringerer Stückzahl wurden 10% höhere Kosten in 2040 angenommen.</t>
  </si>
  <si>
    <t>Variable Kosten O&amp;M</t>
  </si>
  <si>
    <r>
      <t>€/MWh</t>
    </r>
    <r>
      <rPr>
        <vertAlign val="subscript"/>
        <sz val="8"/>
        <color rgb="FF666F77"/>
        <rFont val="Calibri"/>
        <family val="2"/>
        <scheme val="minor"/>
      </rPr>
      <t>th</t>
    </r>
  </si>
  <si>
    <r>
      <t>€/MWh</t>
    </r>
    <r>
      <rPr>
        <vertAlign val="subscript"/>
        <sz val="8"/>
        <color rgb="FF666F77"/>
        <rFont val="Calibri"/>
        <family val="2"/>
        <scheme val="minor"/>
      </rPr>
      <t>el</t>
    </r>
  </si>
  <si>
    <t>BHKW-Kenndatenbank. Stand März 2023</t>
  </si>
  <si>
    <t>Baukosten</t>
  </si>
  <si>
    <t>VDI 2067 Blatt 1.</t>
  </si>
  <si>
    <t>Planung</t>
  </si>
  <si>
    <t>Biogas BHKWs werden als 10% teurer als Erdgas BHKWs angesetzt, in Anlehnung an [4]</t>
  </si>
  <si>
    <t>Wasserstoff BHKWs werden als 10% teurer in der Investition als Erdgas BHKWs angenommen.</t>
  </si>
  <si>
    <t>N.V.</t>
  </si>
  <si>
    <r>
      <t>MW</t>
    </r>
    <r>
      <rPr>
        <vertAlign val="subscript"/>
        <sz val="8"/>
        <color rgb="FF666F77"/>
        <rFont val="Calibri"/>
        <family val="2"/>
        <scheme val="minor"/>
      </rPr>
      <t>th</t>
    </r>
  </si>
  <si>
    <t>A, B</t>
  </si>
  <si>
    <r>
      <t>MW</t>
    </r>
    <r>
      <rPr>
        <vertAlign val="subscript"/>
        <sz val="8"/>
        <color rgb="FF666F77"/>
        <rFont val="Calibri"/>
        <family val="2"/>
        <scheme val="minor"/>
      </rPr>
      <t>el</t>
    </r>
  </si>
  <si>
    <t>Wärmewirkungsgrad</t>
  </si>
  <si>
    <t>Elektrischer Wirkungsgrad</t>
  </si>
  <si>
    <t>[1]-[4]</t>
  </si>
  <si>
    <t>Jeweils nur eine Stützanlage verfügbar.</t>
  </si>
  <si>
    <t>Gemittelte Daten aus einzelnen Projektbeispielen; tatsächlich ist größere Streubreite im Feld zu erwarten.</t>
  </si>
  <si>
    <t>Ohne Rauchgaskondensation. Verhältniszahlen basierend auf Leistungen aus [1] und einer Annahme von einem Gesamtwirkungsgrad von 90%.</t>
  </si>
  <si>
    <t>€/MW*a</t>
  </si>
  <si>
    <t>Variable Kosten O&amp;M (ohne Energiekosten)</t>
  </si>
  <si>
    <t>DEA, Danish Energy Agency (2020): Technology Data for generation of electricity and district heating.</t>
  </si>
  <si>
    <t>Rambøll DK: internes Modell und Bewertung basierend auf bestehenden Projekten, Lieferantenangeboten oder Vorprojektstudien. (Angabe in TK-DK 2021)</t>
  </si>
  <si>
    <t>Fraunhofer-ISE_2020 - Studie-Wege-zu-einem-klimaneutralen-Energiesystem - Anhang.</t>
  </si>
  <si>
    <t>Variable Kosten O&amp;M (inkl. Strombezug)</t>
  </si>
  <si>
    <t>€/MWh</t>
  </si>
  <si>
    <t>DEA, Danish Energy Agency (2021): Technology Data for generation of electricity and district heating.</t>
  </si>
  <si>
    <r>
      <t>Spezifische Investitionskosten [€/kW</t>
    </r>
    <r>
      <rPr>
        <vertAlign val="subscript"/>
        <sz val="8"/>
        <color rgb="FF666F77"/>
        <rFont val="Calibri"/>
        <family val="2"/>
        <scheme val="minor"/>
      </rPr>
      <t>th</t>
    </r>
    <r>
      <rPr>
        <sz val="8"/>
        <color rgb="FF666F77"/>
        <rFont val="Calibri"/>
        <family val="2"/>
        <scheme val="minor"/>
      </rPr>
      <t>] = a*Leistung [MW</t>
    </r>
    <r>
      <rPr>
        <vertAlign val="subscript"/>
        <sz val="8"/>
        <color rgb="FF666F77"/>
        <rFont val="Calibri"/>
        <family val="2"/>
        <scheme val="minor"/>
      </rPr>
      <t>th</t>
    </r>
    <r>
      <rPr>
        <sz val="8"/>
        <color rgb="FF666F77"/>
        <rFont val="Calibri"/>
        <family val="2"/>
        <scheme val="minor"/>
      </rPr>
      <t>]^b</t>
    </r>
  </si>
  <si>
    <t>Jahresarbeitszahl (JAZ), Durchschnitt/a</t>
  </si>
  <si>
    <t>[5], [6]</t>
  </si>
  <si>
    <t>Kosten (€2022, ohne MWSt.)</t>
  </si>
  <si>
    <t>Spezifische Investitionskosten (inkl. Erschließungskosten)</t>
  </si>
  <si>
    <t>Die tatsächliche Weiterentwicklung bei der Optimierung der Leistungszahl und Investitionskosten hängt von der Entwicklung der Kraftstoff- und Strompreise ab.</t>
  </si>
  <si>
    <t>jährliche Fixkosten O&amp;M (ohne Energiekosten)</t>
  </si>
  <si>
    <t>Typische JAZ von realisierten Anlagen. Die JAZ ist abhängig von der Vor-/Rücklauftemperatur des Wärmenetzes, vgl. z.B. [5].</t>
  </si>
  <si>
    <t>Bei Wärmenetztemperaturen von 40-80 °C erhöht sich die spezifische Investition voraussichtlich um 15 %, da die Komponenten der Wärmepumpe für höhere Temperaturen (bzw. Druckstufen) ausgelegt werden müssen.</t>
  </si>
  <si>
    <t>Grundstück ist in der Regel Eigentum des Unternehmens. Investitionskosten beinhalten Aufstellort für Luftkühler.</t>
  </si>
  <si>
    <t>Betrieb und Wartung beziehen sich auf die Wärmepumpe selbst einschließlich der Zusatzeinrichtungen, Gebäude usw. für die Wärmepumpe. Die Kosten beinhalten nicht Betriebs- und Wartungskosten für das Wärmenetz, Spitzenlast- oder Reserveeinheiten, Verwaltung bezüglich Endverbraucher usw.</t>
  </si>
  <si>
    <t>Die Lebensdauer kann zwischen 15 und 40 Jahren liegen (siehe [2])</t>
  </si>
  <si>
    <t>Im TK von Baden-Württemberg wurden für Anlagen der Größe 1,5 MW und 5 MW Bandbreiten angegeben. Kosten- und technische Daten wurden für diese Stützanlagen hier linear interpoliert.</t>
  </si>
  <si>
    <t>Es wird eine Kostenminderung um 10% bis 2040 (5% bis 2030) angenommen. In [1] wird keine Kostenminderung erwartet, in [3] eine höhere als hier (15% bis 2040).</t>
  </si>
  <si>
    <t>AGFW-Praxisleitfaden Großwärmepumpen (2023).</t>
  </si>
  <si>
    <t>Pieper et.al., Allocation of investment costs for large-scale heat pumps supplying district heating, Energy Procedia 147 (2018) S. 358–367.</t>
  </si>
  <si>
    <t>AGFW, Arbeitsgemeinschaft Fernwärme (2020): Perspektive der Fernwärme: Maßnahmenprogramm 2030.</t>
  </si>
  <si>
    <t>Agora Energiewende, Fraunhofer IEG (2023): Roll-out von Großwärmepumpen in Deutschland. Strategien für den Markthochlauf in Wärmenetzen und Industrie.</t>
  </si>
  <si>
    <t>A, D, E, J</t>
  </si>
  <si>
    <t>Basierend auf Kühlwasser, das von 25 auf 15 °C gekühlt wird. Die tatsächliche Entwicklung der Leistungszahloptimierung und reduzierten Investitionskosten hängt von der Entwicklung der Brennstoff- und Strompreise ab.</t>
  </si>
  <si>
    <t>Basierend auf Projektbeispielen aus [6].</t>
  </si>
  <si>
    <t>Preise beinhalten nur Wärmepumpe, Erschließungskosten werden hier nicht mit betrachtet. Es wird davon ausgegangen, dass Wärmepumpen wie Elektrokessel mit eingeschränktem Zugang angeschlossen sind. Kosten können höher liegen, wenn Installationen für den vollen Zugang bezahlen müssen [1].</t>
  </si>
  <si>
    <t>A, D, E, I, J</t>
  </si>
  <si>
    <t>Streubreite der Erschließungskosten ist in der Praxis groß, da abhängig von Projekt, Quelle etc. Dies kann erhebliche Auswirkungen auf die Investitionskosten haben.</t>
  </si>
  <si>
    <t>[3], [4]</t>
  </si>
  <si>
    <t>Der Jahresmittelwert variiert bei unterschiedlichen Wassertemperaturen und Wärmenetztemperaturen  (typisch: 40 °C Rücklauf und 80 °C Vorlauf). Temperaturveränderungen (Quelle/Senke) können somit zu anderen Leistungsdaten (z.B. Jahresarbeitszahl) führen.</t>
  </si>
  <si>
    <t xml:space="preserve">Es wird davon ausgegangen, dass Wärmepumpen an bestehende Kraftwerke angeschlossen werden. </t>
  </si>
  <si>
    <t>Betrifft Wärmepumpen, die bei bestehenden Kraftwerken installiert werden und die vorhandene Infrastruktur wie Stromversorgung, Wassereinlass, FW-Rohre usw. nutzen. Für eigenständige Anlagen wird angenommen, dass die Gesamtinvestition in der Nähe der oberen Grenze in der Tabelle liegt.</t>
  </si>
  <si>
    <t>Preise beinhalten nur Wärmepumpe, Erschließungskosten werden hier nicht mit betrachtet. Grundstück ist in der Regel Eigentum des Unternehmens.</t>
  </si>
  <si>
    <t>G, I</t>
  </si>
  <si>
    <t>Die Wärmeabgabe wird mit 80 °C im Jahr 2020 und 60 °C im Jahr 2040 angenommen. Veränderungen in Rücklauf-/Vorlauftemperatur können somit zu anderen Leistungsdaten (z.B. Jahresarbeitszahl) führen. Zudem kann die JAZ in Abhängigkeit von der genutzten Abwärmequelle niedriger ausfallen.</t>
  </si>
  <si>
    <t>Die Lebensdauer kann zwischen 15 und 30 Jahren liegen (siehe [2])</t>
  </si>
  <si>
    <t xml:space="preserve">Die Wärmepumpe selbst macht – im Vergleich zu Kompressionswärmepumpen – einen geringeren Teil der Gesamtinvestition aus. Weitere Komponente, wie bspw. ein Gasbrenner (bei gasbefeuerten Absorptionswärmepumpen), sind ggf. mitzuberücksichtigen. Je nach Größe beträgt die Wärmepumpe etwa 160 [2020] € pro kW Wärme (ohne Antriebsenergie). </t>
  </si>
  <si>
    <t>C, E, F</t>
  </si>
  <si>
    <t>[5], [11]</t>
  </si>
  <si>
    <t>[5], [10]</t>
  </si>
  <si>
    <t>[1], [2]-[4]</t>
  </si>
  <si>
    <t>Rechnerische Nutzungsdauer nach [1].</t>
  </si>
  <si>
    <t xml:space="preserve">Um die geforderte Entzugsleistung – auch in Zeiten längerer Trockenheit – zu gewährleisten, wird bei der Dimensionierung eine zusätzliche Übertragungsfläche von etwa 30 bis 40 % veranschlagt.  </t>
  </si>
  <si>
    <t>Annahme: Hilfsenergiebedarf beträgt etwa 1,5 der einzuspeisenden Wärme (inkl. Verluste), in Anlehnung an Ref. 8.</t>
  </si>
  <si>
    <t>Nach [5] 2,5% der Investitionskosten.</t>
  </si>
  <si>
    <t>F, G</t>
  </si>
  <si>
    <t xml:space="preserve">Stadtwerke Lemgo GmbH, Geförderte Maßnahmen - Großwärmepumpe, online, 2021, https://www.stadtwerke-lemgo.de/privatkundenbereich/ueber-uns/gefoerderte-massnahmen/?L=0#collapse-5398-61555f1c94c20. </t>
  </si>
  <si>
    <t>erneuerbare.tv, 2021, Experteninterview mit Uwe Weber von den Stadtwerken Lemgo, online abrufbar: https://www.youtube.com/watch?v=ttScOqdG0TQ.</t>
  </si>
  <si>
    <t>Uwe Weber (Stadtwerke Lemgo), Fernwärmenetze werden grün, B.KWK Kongress 2019, online abrufbar: https://youtu.be/PlDkSA_QO2U.</t>
  </si>
  <si>
    <t>Fraunhofer ISE: Transformationspfade der Fernwärme in Rückkopplung mit dem Energiesystem und notwendige Rahmenbedingungen (2021).</t>
  </si>
  <si>
    <t>Bothmer, S. (UHRIG Energie GmbH), Wärmewende mit Energie aus Abwasser - Das unterschätzte Potenzial im Kanal, Berlin 2019.</t>
  </si>
  <si>
    <t>VDI 2067-1.</t>
  </si>
  <si>
    <t>DME Consult GmbH, Machbarkeitsstudie Klimafreundliche Wärmeversorgung Siedlung Eichkamp in Berlin Bezirk Charlottenburg Wilmersdorf, 2021.</t>
  </si>
  <si>
    <t>N/A (konstante Kosten pro kW)</t>
  </si>
  <si>
    <t>Jahresarbeitszahl (JAZ), Typenschild</t>
  </si>
  <si>
    <t>Kosten (€2023, ohne MWSt.)</t>
  </si>
  <si>
    <t xml:space="preserve">Entspricht einem Temperaturhub von etwa 70 K. Bandbreite nach [1]. </t>
  </si>
  <si>
    <t>Berücksichtigt Anlaufverluste. Bandbreite nach [1].</t>
  </si>
  <si>
    <t>Nach [3] für (allgemeine) WP-Technologie bis 2050 nur 10% Kostenreduktion ggü. 2020 prognostiziert.</t>
  </si>
  <si>
    <t>Die Lebensdauer wird in [1] mit einer Bandbreite von 15 bis 30 Jahren angegeben.</t>
  </si>
  <si>
    <t>Aufgrund mangelnder Datenlage keine Differenzierung über Anlagengröße.</t>
  </si>
  <si>
    <r>
      <t>€/MW</t>
    </r>
    <r>
      <rPr>
        <vertAlign val="subscript"/>
        <sz val="8"/>
        <color rgb="FF666F77"/>
        <rFont val="Calibri"/>
        <family val="2"/>
        <scheme val="minor"/>
      </rPr>
      <t>th</t>
    </r>
    <r>
      <rPr>
        <sz val="8"/>
        <color rgb="FF666F77"/>
        <rFont val="Calibri"/>
        <family val="2"/>
        <scheme val="minor"/>
      </rPr>
      <t>*a</t>
    </r>
  </si>
  <si>
    <t>Arpagaus, C., Bless, F., Uhlmann, M., Schiffmann, S. High temperature heat pumps: Market overview, state of the art, research status, refrigerants, and application potentials, Energy 152, 2018.</t>
  </si>
  <si>
    <t>C, E</t>
  </si>
  <si>
    <t>Wärmewirkungsgrad (mit Brennwertnutzung)</t>
  </si>
  <si>
    <t>[1] - [5]</t>
  </si>
  <si>
    <t>[1], [5]</t>
  </si>
  <si>
    <t xml:space="preserve">Bezogen auf den Heizwert. In [1] wird eine Bandbreite von 93% bis 105% angegeben. </t>
  </si>
  <si>
    <t>Spezifische Kosten zwischen den zwei Stützanlagen sind hier nach [1] als Bandbreite zu verstehen.</t>
  </si>
  <si>
    <t>Lebensdauern in der Regel länger als 25 Jahre [1].</t>
  </si>
  <si>
    <t>DGC 2016 - Facts and figures about domestic gas boilers.</t>
  </si>
  <si>
    <t>Danish District Heating Association 2012 - Marktumfrage.</t>
  </si>
  <si>
    <t>Wärmewirkungsgrad im Jahresdurchschnitt, netto</t>
  </si>
  <si>
    <t>[1], [4]-[8]</t>
  </si>
  <si>
    <t xml:space="preserve">Bezogen auf den Heizwert. In [1] wird eine Bandbreite von 90% bis 95% (bzw. 95% bis 98%) angegeben mit dem Hinweis, dass der typische Wirkungsgrad um ca. 5 %-Punkte niedriger liegt als es z.B. das Ökodesign Label angibt. </t>
  </si>
  <si>
    <t xml:space="preserve">Van Holsteijn und Kemna, 2006-2007:  "Eco-design of Boilers and Combi-boilers" Studie für Europäische Kommission, DG Transport and Energy (DG TREN). </t>
  </si>
  <si>
    <t>Jean Schweitzer e.a., 2000: "Recent Progress (and Application) Achieved in the Way to Estimate Real Performances of Domestic Boilers Once Installed" Jean Schweitzer, Christian Holm Christiansen Danish Gas Technology Centre, Denmark Martin Koot Gastec, Holland Otto Paulsen DTI, Denmark. SAVE Workshop Utrecht 2000.</t>
  </si>
  <si>
    <t>BOILSIM, 2011: http://www.boilsim.com/.</t>
  </si>
  <si>
    <t>Sparolie.dk, 2011: List of high efficiency oil-fired boilers and list of status for existing oilfired boilers.</t>
  </si>
  <si>
    <t>DTU BYG, Teknologisk institut und Dansk Gasteknisk Center A/S, 2005: Kedeleffektiviteter for oliefyr og naturgaskedler i enfamiliehuse. (Kesselwirkungsgrade für Ölkessel und Erdgaskessel in Einfamilienhäusern.)</t>
  </si>
  <si>
    <t>Verbrennungskapazität</t>
  </si>
  <si>
    <t>t/h</t>
  </si>
  <si>
    <t>Spezifische Investitionskosten [€/m2] = a*Kollektorfläche[m2]^b</t>
  </si>
  <si>
    <t>Kollektor-Apperturfläche</t>
  </si>
  <si>
    <t>Anlagen-Nennleistung</t>
  </si>
  <si>
    <t>Spez. Kollektorfeldertrag</t>
  </si>
  <si>
    <t>Kollektorfeldertrag</t>
  </si>
  <si>
    <r>
      <t>MWh</t>
    </r>
    <r>
      <rPr>
        <vertAlign val="subscript"/>
        <sz val="8"/>
        <color rgb="FF666F77"/>
        <rFont val="Calibri"/>
        <family val="2"/>
        <scheme val="minor"/>
      </rPr>
      <t>th</t>
    </r>
  </si>
  <si>
    <t>Solarer Nutzwärmeertrag</t>
  </si>
  <si>
    <t>B, C</t>
  </si>
  <si>
    <t>Nutzungsgrad des Kollektorfeldes</t>
  </si>
  <si>
    <t>[1] - [4], [6]</t>
  </si>
  <si>
    <t>Umrechnungsfaktor von Bruttokollektor- auf Apperturfläche für Flachkollektoren: 0,92; Vakuum-Rohren-Kollektoren: 0,74; Vakuum-Rohren-Kollektoren CPC: 0,91; [1]</t>
  </si>
  <si>
    <t>€/m2</t>
  </si>
  <si>
    <t>[1], [4]-[7]</t>
  </si>
  <si>
    <t>Vermindert um die Wärmeverluste der Anschlussleitungen [1].</t>
  </si>
  <si>
    <t>Abhängig vom Kollektortyp, Ausrichtung und Neigung, Temperaturniveau der Wärmesenke, usw. - kann nicht pauschal angenommen werden; Kollektorfelderträge sollen grundsätzlich mit dem Jahreslastgang (z.B. und dem SDH-Online-Rechner) bestimmt werden - nur bei ausreichender Abnahme im Sommer können spez. Kollektorerträge in dieser Höhe erreicht werden [1].</t>
  </si>
  <si>
    <t>In [1] wird für Lebensdauern eine Bandbreite von 25 bis 30 Jahren angegeben.</t>
  </si>
  <si>
    <t>In [1] wird eine Bandbreite von 42% (unteres Ende der Leistungsklasse) bis 49% (oberes Ende) für 2030 bzw. 46% bis 54% für 2040 angegeben.</t>
  </si>
  <si>
    <t>1,2 % % der Investitionskosten</t>
  </si>
  <si>
    <t>€/a</t>
  </si>
  <si>
    <t>[2], [4]</t>
  </si>
  <si>
    <t>Solites, 2015: SolnetBW: Solare Wärmenetze für Baden-Württemberg Grundlagen I Potenziale I Strategien.</t>
  </si>
  <si>
    <t>Solites, 2021: SDH-Online-Rechner; https://sdh-online.solites.de/.</t>
  </si>
  <si>
    <t>Hamburg Institut und Prognos, 2020: Perspektiven der Fernwärme; Maßnahmenprogramm 2030; im Auftrag des AGFW; https://www.agfw.de/strategien-der-waermewende/perspektive-der-fw-7070-4040/.</t>
  </si>
  <si>
    <t>AGFW, 2021: Praxisleitfaden Solarthermie.</t>
  </si>
  <si>
    <t>SDH, 2017: Solar District Heating EU Projects, Plant database; https://www.solar-district-heating.eu/en/plant-database/.</t>
  </si>
  <si>
    <t>Spezifische Investitionskosten [M€/MW] = a*Leistung [MW]^b</t>
  </si>
  <si>
    <t>MW</t>
  </si>
  <si>
    <t>Kosten</t>
  </si>
  <si>
    <t>Kosten in €2023 ohne MWSt.</t>
  </si>
  <si>
    <t>[7], [8]</t>
  </si>
  <si>
    <t>Nach [1] wird eine Kostenminderung von 20% bis 2040 angenommen.</t>
  </si>
  <si>
    <t>Hier werden nur hydrohermale Systeme mit verschiedenen Reservoirtemperaturen betrachtet: 40 &lt; T [°C] &gt; 165.</t>
  </si>
  <si>
    <t>Vollständige obertägige Installationen, inkl.- Kraft/Heizwerk und Bohrung.</t>
  </si>
  <si>
    <t>Annahme:  1,5% der Investition (basierend auf [1] und [9]).</t>
  </si>
  <si>
    <t>Erschließungskosten machen nach [1] und [6]  55% der Investitionskosten aus</t>
  </si>
  <si>
    <t xml:space="preserve">Es ist nach [1] mit einer drastischen Steigerung der Anlagenleistungen zu rechnen: 3x bis 2030, 10x bis 2040 (zum Bezugsjahr 2022). </t>
  </si>
  <si>
    <t>Als Mittelwert der verschiedenen Anlagenkomponenten (siehe [4]).</t>
  </si>
  <si>
    <t>Berücksichtigt 5-15% Hilfsstrombedarf.</t>
  </si>
  <si>
    <t>Brandes et al., 2022: Wege zu einem klimaneutralen Energiesystem 2050, 
Die deutsche Energiewende im Kontext 
gesellschaftlicher Verhaltensweisen – 
Update unter einer Zielvorgabe von 65% 
CO2-Reduktion in 2030 und 100% in 2050, Fraunhofer-Institut für Solare Energiesysteme ISE, Freiburg.</t>
  </si>
  <si>
    <t>gec-co Global Engineering &amp; Consulting-Company GmbH, 2019: Vorbereitung und Begleitung bei der Erstellung eines Erfahrungsberichts gemäß § 97 Erneuerbare-Energien-Gesetz, Teilvorhaben II b): Geothermie.</t>
  </si>
  <si>
    <t>A, D</t>
  </si>
  <si>
    <t>Heumann und Huenges, 2017: Technologiebericht 1.2 Tiefengeothermie. In: 
Wuppertal Institut, ISI, IZES (Hrsg.): Technologien für die Energiewende. Teilbericht 
2 an das Bundesministerium für Wirtschaft und Energie (BMWi). Wuppertal, 
Karlsruhe, Saarbrücken.</t>
  </si>
  <si>
    <t>INNIUS DÖ GmbH, 2010: Standortunabhängige Studie
 zur Nutzung von Tiefengeothermie 
im Freistaat Sachsen, Staatsbetrieb Sächsisches Immobilien und 
Baumanagement.</t>
  </si>
  <si>
    <t>Clauser und Elsner, 2015: Geothermische Kraftwerke, Technologiesteckbrief zur Analyse "Flexibilitätskonzepte für die Stromversorgung 2050", Schriftenreihe Energiesysteme der Zukunft, Deutsche Akademie der Technikwissenschaften.</t>
  </si>
  <si>
    <t>AGFW (2023): Praxisleitfaden Geothermie.</t>
  </si>
  <si>
    <t xml:space="preserve">Gesamtwirkungsgrad (elektrisch) im Jahresdurchschnitt, netto </t>
  </si>
  <si>
    <t>[1], [4],  [7]-[10]</t>
  </si>
  <si>
    <t>[4], [9]</t>
  </si>
  <si>
    <t>Nach [1] wird eine Kostenminderung von 20% bis 2040 angenommen, aber keine Kostenminderung bis 2030.</t>
  </si>
  <si>
    <t>A, D, F</t>
  </si>
  <si>
    <t>Annahme 1,5% der Investition (nach [1] und [11]).</t>
  </si>
  <si>
    <t>Instandhaltung + Betriebskosten, Abnahme pro Zeitschritt 15% (siehe Referenz 10).</t>
  </si>
  <si>
    <t>Als Mittelwert der verschiedenen Anlagenkomponenten. Lebensdauer: Pumpen: 5 Jahre, Anlagen Wärmeerzeugung (ohne Netz): 30 Jahre, Thermalwasserkreislauf und -trasse: je 30 Jahre, Untertägige Installationen: 50 Jahre, Wärmeerzeugung (Netz): 50 Jahre (siehe [4]).</t>
  </si>
  <si>
    <t>In der entsprechenden Referenz (4] finden sich nur Angaben zu MW_elektrisch. Die Angaben hier sind also als Näherungen zu verstehen.</t>
  </si>
  <si>
    <t>Fraunhofer ISI et al., 2018: EEG-Erfahrungsbericht 2018, Wissenschaftlicher Gesamtbericht.</t>
  </si>
  <si>
    <t>Bundesministerium für Umwelt, Naturschutz und Reaktorsicherheit, 2007: Tiefe Geothermie in Deutschland.</t>
  </si>
  <si>
    <t>Die angegebenen Parameter stellen bundesweite Durchschnittswerte dar. Tatsächliche Kosten können lokal z.T. erheblich abweichen und sollten daher im Einzelfall überprüft und ggf. den lokalen Umständen angepasst werden. Einflussparameter bei Netzen können neben der Bodenbeschaffenheit  sein: Querung von Schienen, Bodendenkmalschutz, Grünanlagen, Ressourcen-Verfügbarkeit.</t>
  </si>
  <si>
    <t>Kostenkurven</t>
  </si>
  <si>
    <t>Spezifische Investitionskosten [€/m] = a*Leistung [MW]^b</t>
  </si>
  <si>
    <t>Energieverluste Leitungen</t>
  </si>
  <si>
    <t>%/1000km</t>
  </si>
  <si>
    <t>Verbrauch Hilfsenergie (Kompressor)</t>
  </si>
  <si>
    <t>Bauzeit</t>
  </si>
  <si>
    <t>Technische Nutzungsdauer (Pipeline)</t>
  </si>
  <si>
    <t>Technische Nutzungsdauer (Kompressor)</t>
  </si>
  <si>
    <t>Kosten Netzausbau (€2023 real, ohne MWSt.)</t>
  </si>
  <si>
    <t>Hauptleitungsstrang</t>
  </si>
  <si>
    <t>€/m</t>
  </si>
  <si>
    <t>Anteil Installationskosten</t>
  </si>
  <si>
    <t>DEA, Danish Energy Agency (2021): Technology data for energy transport.</t>
  </si>
  <si>
    <t>Anteil Materialkosten</t>
  </si>
  <si>
    <t>van Rossum, R. et al. (2022): European Hydrogen Backbone. A European Hydrogen Infrastructure Vision Covering 28 Countries.</t>
  </si>
  <si>
    <t>Fixe Kosten O&amp;M</t>
  </si>
  <si>
    <t>% d. Investkosten</t>
  </si>
  <si>
    <t>Kompressorstation</t>
  </si>
  <si>
    <r>
      <t>M€/MW</t>
    </r>
    <r>
      <rPr>
        <vertAlign val="subscript"/>
        <sz val="8"/>
        <color rgb="FF666F77"/>
        <rFont val="Calibri"/>
        <family val="2"/>
        <scheme val="minor"/>
      </rPr>
      <t>e</t>
    </r>
  </si>
  <si>
    <t>Daten für 70 bar. Aufgrund mangelnder Datenlage keine Angabe von Daten für kleinere Leistungen (Verteilnetze) möglich.</t>
  </si>
  <si>
    <t>Verluste Leitungen</t>
  </si>
  <si>
    <t>[1], [3]</t>
  </si>
  <si>
    <t>Alle Kosten in €2023 und ohne MWSt. Annahme: Biogas-Verteilnetz eher kleinere Struktur ohne Übergabestationen.</t>
  </si>
  <si>
    <t>Technische Nutzungsdauer</t>
  </si>
  <si>
    <t xml:space="preserve">Für das deutsche Gasnetz liegen keine allgemeinen Daten vor. Die angegebenen Verluste basieren auf einer europäischen Erhebung. Europäische Gasnetze sind im Allgemeinen Durchschnitt bereits älter. Daher wird erwartet, dass die Verluste aus neu zu errichtenden Systemen deutlich geringer sind als in der Tabelle angegeben. Der Mangel an Daten erklärt die genannte hohe Unsicherheit. </t>
  </si>
  <si>
    <t>Verteilnetz</t>
  </si>
  <si>
    <t>Neue Gasanlagen werden ohne Stationen im Verteilnetz errichtet.</t>
  </si>
  <si>
    <t>unbefestigtes Terrain/ländlich</t>
  </si>
  <si>
    <t>€/(MWh/a)</t>
  </si>
  <si>
    <t>In [1] werden Kosten nur für 10-20 kW angegeben, größere Leistungsbereiche nicht relevant.</t>
  </si>
  <si>
    <t>teilbefestigtes Terrain</t>
  </si>
  <si>
    <t>[1]: Die angegebene Zahl bis 1 MW gilt für Ø40-Rohre - das kleinste verwendete Rohr. Es ist nur unwesentlich billiger/teurer, kleinere/größere Rohre zu verwenden.  Für &gt;1 MW wurden für jedes Intervall zwei Rohrgrößen gewählt (eine für die niedrigste Leistungsstufe und eine für die höchste) und der Durchschnitt angegeben</t>
  </si>
  <si>
    <t>neues Baugebiet/komplett unbefestigt</t>
  </si>
  <si>
    <t>Die Grabenkosten werden für die gegebene Oberflächentype (befestigt/unbefestigt) abgeschätzt zu 50% der bei Wärmeverteilnetzen bekannten Kosten für vergleichbare Rohrgröße.</t>
  </si>
  <si>
    <t>Hausanschlussleitung</t>
  </si>
  <si>
    <t>€/Anschluss</t>
  </si>
  <si>
    <t>Angegebene Unsicherheiten entsprechen den in [1] angegebenen Bandbreiten.</t>
  </si>
  <si>
    <t>Kostenanteil Installation</t>
  </si>
  <si>
    <t>Survey methane emissions for gas transmission and distribution in Europe Marcogaz WG-ME-14-26  29/02/2016.</t>
  </si>
  <si>
    <t>Kostenanteil Material</t>
  </si>
  <si>
    <t>HMN Naturgas.</t>
  </si>
  <si>
    <t>Konstantin, P.: Praxisbuch Energiewirtschaft. Berlin/Heidelberg 2017.</t>
  </si>
  <si>
    <t>€/MW/a</t>
  </si>
  <si>
    <t>Die angegebenen Parameter stellen bundesweite Durchschnittswerte dar. Tatsächliche Kosten können lokal z.T. erheblich abweichen und sollten daher im Einzelfall überprüft und ggf. den lokalen Umständen angepasst werden. Insbesondere bei Wärmenetze können einige Einflussfaktoren für starke Abweichungen sorgen, siehe Anmerkung J.</t>
  </si>
  <si>
    <t>Terrain</t>
  </si>
  <si>
    <t>unbefestigt</t>
  </si>
  <si>
    <t>teilbefestigt</t>
  </si>
  <si>
    <t>befestigt</t>
  </si>
  <si>
    <t>Wärmeverluste Leitungen</t>
  </si>
  <si>
    <r>
      <t>Spezifische Investitionskosten [€/Anschluss] = a*Leistung [kW</t>
    </r>
    <r>
      <rPr>
        <vertAlign val="subscript"/>
        <sz val="8"/>
        <color rgb="FF666F77"/>
        <rFont val="Calibri"/>
        <family val="2"/>
        <scheme val="minor"/>
      </rPr>
      <t>th</t>
    </r>
    <r>
      <rPr>
        <sz val="8"/>
        <color rgb="FF666F77"/>
        <rFont val="Calibri"/>
        <family val="2"/>
        <scheme val="minor"/>
      </rPr>
      <t>] + b</t>
    </r>
  </si>
  <si>
    <t>unbefestigtes Terrain</t>
  </si>
  <si>
    <t>befestigtes Terrain</t>
  </si>
  <si>
    <r>
      <t>Spezifische Investitionskosten [€/m] = a*Leistung [kW</t>
    </r>
    <r>
      <rPr>
        <vertAlign val="subscript"/>
        <sz val="8"/>
        <color rgb="FF666F77"/>
        <rFont val="Calibri"/>
        <family val="2"/>
        <scheme val="minor"/>
      </rPr>
      <t>th</t>
    </r>
    <r>
      <rPr>
        <sz val="8"/>
        <color rgb="FF666F77"/>
        <rFont val="Calibri"/>
        <family val="2"/>
        <scheme val="minor"/>
      </rPr>
      <t>]^b</t>
    </r>
  </si>
  <si>
    <t>Wärmeverluste Übergabestationen</t>
  </si>
  <si>
    <t>Verbrauch Hilfsenergie (Strom/Wärmeabnahme)</t>
  </si>
  <si>
    <t>[1], [2], [6], [7]</t>
  </si>
  <si>
    <t>E, F, J</t>
  </si>
  <si>
    <t>Bezogen auf Jahrestransportmenge für gesamtes Verteilnetz.</t>
  </si>
  <si>
    <t>Soweit verfügbar, werden Doppelrohre angenommen; Einzelrohre führen zu höheren Wärmeverlusten</t>
  </si>
  <si>
    <t>befestigtes Terrain/innerstädtisch</t>
  </si>
  <si>
    <t>Für Übergabestationen liegen die Wärmeverluste unter 5 % und sind abhängig von der Wärmedämmung. Für Pumpstationen ist der Wärmeverlust vernachlässigbar.</t>
  </si>
  <si>
    <t>[1], [3], [4], [6], [7]</t>
  </si>
  <si>
    <t>F, G, J</t>
  </si>
  <si>
    <t>Die Lebensdauer von Fernwärmerohren liegt bei mindestens 30 Jahren, kann jedoch wesentlich länger sein (in Abhängigkeit von den Betriebsbedingungen, z.B. Temperaturwechsel, Bodenverhältnisse…).</t>
  </si>
  <si>
    <t>Die Kosten für Verteilnetzleitungen basieren auf den Gesamtkosten für das Versorgungsgebiet, dividiert durch die jährliche Wärmeverbrauchsmenge. Laut deutschlandweiter Studie des AGFW [6] werden auch teils größere Streubandbreiten berichtet. Bei der künftigen Kostenentwicklung ist mit steigendem Netzausbau angesichts nur langsamer Kapazitätszunahme mit stärker ansteigenden Preisen als hier tabelliert zu rechnen: Als optionaler Zuschlag werden etwa 5-10 Prozent Zunahme im betrachteten Zeitraum prognostiziert.</t>
  </si>
  <si>
    <t>Für die Hauptleitungen wird von befestigten Oberflächen ausgegangen; für die Anschlussleitungen nach Terrain unterschieden. Die genannten Kostenspannen sind typische Werte für übliche Oberflächenmaterialien. Bei aufwändiger Gestaltung befestigter Oberflächen oder auch bei komplexeren Tiefbaukonstellationen, wie sie punktuell in stark verdichteten urbanen Regionen auftreten können, ergeben sich teils deutlich höhere (Faktor 1,5 bis 2) Beträge. Temperaturspreizung hier zu 30K angenommen.</t>
  </si>
  <si>
    <t>Kosten für Hausanschlussleitungen gehen von einer durchschnittlichen Anschlusslänge von 15 Metern aus. Anschlussleistungen über 100 kW sind nicht relevant für  vornehmlich  ländliche Gebiete.</t>
  </si>
  <si>
    <t>F, H, J</t>
  </si>
  <si>
    <t>Transportleistungen über 25 MW sind nicht relevant für  vornehmlich ländliche Gebiete.</t>
  </si>
  <si>
    <t>Kosten können erheblich abweichen und sind u.a. abhängig vom Verlegesystem, der Verlegetiefe, dem Baugrund, der Wiederherstellung der Oberfläche, der Begrenzung der Baustellenlänge, von gesetzlichen und berufsgenossenschaftlichen Vorgaben, dem Vorhandensein anderer Infrastrukturleitungen und der Lage der Baustelle. Zusätzlich spielen die aktuelle Personallage verbunden mit der Verfügbarkeit der Baufirmen und die Preissteigerungen beim Material eine Rolle.</t>
  </si>
  <si>
    <t>Übergabestation</t>
  </si>
  <si>
    <t>€/MW</t>
  </si>
  <si>
    <t>Pumpstation</t>
  </si>
  <si>
    <t>davon Materialkosten</t>
  </si>
  <si>
    <t>CARMEN_2020 - Grundlagenschulung Teil3 - Wärmenetze.pdf.</t>
  </si>
  <si>
    <t>UM-BW 2021: Evaluation aus Daten geförderter Wärmenetzprojekte.</t>
  </si>
  <si>
    <t>AGFW, 2021: Praxishilfe Fernwärmeleitungsbau – Verlegesysteme und Kosten.</t>
  </si>
  <si>
    <t>AGFW, Arbeitsgemeinschaft Fernwärme (2024): Perspektive der Fernwärme: Maßnahmenprogramm 2030 - Update 2024.</t>
  </si>
  <si>
    <t>Die angegebenen Parameter stellen bundesweite Durchschnittswerte dar. Tatsächliche Kosten können lokal z.T. erheblich abweichen und sollten daher im Einzelfall überprüft und ggf. den lokalen Umständen angepasst werden. Insbesondere bei Wärmenetze können einige Einflussfaktoren für starke Abweichungen sorgen, siehe Anmerkung F.</t>
  </si>
  <si>
    <t>1-20</t>
  </si>
  <si>
    <t>20-100</t>
  </si>
  <si>
    <t>&gt;100</t>
  </si>
  <si>
    <t>Verluste pro km Transportleitung.</t>
  </si>
  <si>
    <t>Es wird von unbefestigten Oberflächen ausgegangen.</t>
  </si>
  <si>
    <t>Investitionskosten Station [Typ 1, Transformer]</t>
  </si>
  <si>
    <t>Energieverluste in den Pumpstationen werden als vernachlässigbar angesehen.</t>
  </si>
  <si>
    <t>Investitionskosten Station [Typ 2, Stabilisator]</t>
  </si>
  <si>
    <t>Für die Hauptleitungen wird von unbefestigten Oberflächen ausgegangen; auch für die Anschlussleitungen werden unbefestigte Oberflächen angenommen. Kostensenkungen sind durch Mitverlegen anderer Netzleitungen (Wasser, Breitband, etc.) zu erreichen, hier aber noch nicht mit berücksichtigt. Temperaturspreizung hier zu 25-30K angenommen.</t>
  </si>
  <si>
    <t>Angegebene Unsicherheiten entsprechend den in [1] angegebenen Bandbreiten.</t>
  </si>
  <si>
    <r>
      <t>Spezifische Investitionskosten [€/kW</t>
    </r>
    <r>
      <rPr>
        <vertAlign val="subscript"/>
        <sz val="8"/>
        <color rgb="FF666F77"/>
        <rFont val="Calibri"/>
        <family val="2"/>
        <scheme val="minor"/>
      </rPr>
      <t>th</t>
    </r>
    <r>
      <rPr>
        <sz val="8"/>
        <color rgb="FF666F77"/>
        <rFont val="Calibri"/>
        <family val="2"/>
        <scheme val="minor"/>
      </rPr>
      <t>] = a*Leistung [kW_</t>
    </r>
    <r>
      <rPr>
        <vertAlign val="subscript"/>
        <sz val="8"/>
        <color rgb="FF666F77"/>
        <rFont val="Calibri"/>
        <family val="2"/>
        <scheme val="minor"/>
      </rPr>
      <t>th</t>
    </r>
    <r>
      <rPr>
        <sz val="8"/>
        <color rgb="FF666F77"/>
        <rFont val="Calibri"/>
        <family val="2"/>
        <scheme val="minor"/>
      </rPr>
      <t>]+b</t>
    </r>
  </si>
  <si>
    <t>Entsprechende DN</t>
  </si>
  <si>
    <t>Wärmegewinne Leitungen</t>
  </si>
  <si>
    <t>Nur Hauptleitungsstrang, inkl. Grabenbau</t>
  </si>
  <si>
    <t>Kosten Netzbau (€2023 real, ohne MWSt.)</t>
  </si>
  <si>
    <t>C, D, G</t>
  </si>
  <si>
    <t>Hauptleitungsstrang (bis 13 kW Stichleitung)</t>
  </si>
  <si>
    <t>Kalte Nahwärmenetze haben keine Netzverluste. Im Gegenteil verhält sich das Verteilnetz wie ein geothermischer Horizontalkollektor. Es kann angenommen werden, dass das Verteilnetz min. +20%, max. +45% Wärmegewinne bezogen auf die Leistung der Wärmequelle (z.B. Erdwärmesondenfeld) liefert [1].</t>
  </si>
  <si>
    <t>Ausbaukosten (% Kosten Rohrmaterial)</t>
  </si>
  <si>
    <t>Nur, wenn zentrale Netzpumpe zum Einsatz kommt ("aktive kalte Nahwärme"). Angabe Hilfsenergie als % an Gesamtenergiebedarf, den es zu ermitteln gilt.</t>
  </si>
  <si>
    <t>B, E</t>
  </si>
  <si>
    <t xml:space="preserve">Heute werden Kalte Nahwärmenetze ausschließlich in Neubaugebieten (Wohn+ Nichtwohngebäude) bei laufenden Erdarbeiten mitverlegt. Hier müssen aber Tiefbaukosten berücksichtigt werden (siehe auch Tab. Konventionelle Wärmenetze). Die Tiefbaukosten orientieren sich an den Kosten für Grabarbeiten klassischer Netze, mit den entsprechenden Rohrdurchmessern und den jeweiligen Gebieten. </t>
  </si>
  <si>
    <t>Kostenanteil Installation (% Summe Netzbaukosten)</t>
  </si>
  <si>
    <t>[1], [6]</t>
  </si>
  <si>
    <t>Hinweis: Wenn das Verteilnetz in Neubaugebieten mitverlegt wird, ist mit einer deutlichen Kostenreduzierung zu rechnen. Bsp. 100 €/m Netzbau insgesamt.</t>
  </si>
  <si>
    <t>Fixe Kosten Betrieb und Instandhaltung (% Summe Netzbaukosten)</t>
  </si>
  <si>
    <t>Moderate Kostensteigerungen für Wärmenetz-, Tief- und Grabenbau von min. +20% über den gesamten Betrachtungszeitraum erwartet.</t>
  </si>
  <si>
    <t>Kosten Grabenbau (€2023 real, ohne MWSt.)</t>
  </si>
  <si>
    <t xml:space="preserve">Kein Unterschied ob Leitung als Ringbund oder Stange. </t>
  </si>
  <si>
    <t>Grabenbau Hauptleitungsstrang (bis 13 kW Stichleitung)</t>
  </si>
  <si>
    <t>Pumpe(n) inkl. Druckhaltung und Technikgebäude. Hier bspw. 2x4 kW Umwälzpumpen 10.000 € + 10.000 € Gebäude Technikzentrale.</t>
  </si>
  <si>
    <t>Für eine Angabe in Leistung, Annahme Spreizung 5 K.</t>
  </si>
  <si>
    <t>Kosten für typische Rohrdurchmesser Kalter Nahwärmenetze. Annahmen für Berechnung der Leistung: Ethylenglykol-Wasser-Gemisch, Strömungsgeschwindigkeit 10 cm/s, Temperaturspreizung: 5 K.</t>
  </si>
  <si>
    <t>Annahme: Mittlere Distanz Hausanschluss- zur Stichleitung: 15 m. Dieser Wert kann natürlich auch ortsaufgelöst in einem GIS berechnet werden.</t>
  </si>
  <si>
    <t>Grabenbau Hausanschlussleitung</t>
  </si>
  <si>
    <t>Sicherheitsfaktor 25% Aufschlag auf Rohrmaterial und zusätzliche Aufwendung für z.B. für Verbindungsstücke, T-Stücke etc. Annahme: Diese Kosten betragen ca. 50% des Rohrmaterials.</t>
  </si>
  <si>
    <t>Pers. Comm. R. Koenigsdorff (HS Biberach), TEWAG, Energie PLUS Concept GmbH.</t>
  </si>
  <si>
    <t>Konstantin, 2017: Praxisbuch Energiewirtschaft, Berlin/Heidelberg 2017.</t>
  </si>
  <si>
    <t>Pers. Comm. T. Giel (HS Mainz,Transferstelle Bingen).</t>
  </si>
  <si>
    <t>Mittlere Angaben der Hersteller: PeTec, Rehau.</t>
  </si>
  <si>
    <t>VDI 2067, Blatt 1: 1% der Investition für Betriebskosten (Pumpen, deren Peripherie sowie Technikstation und die Wartung der Erdwärmequelle).</t>
  </si>
  <si>
    <t>Hauptleitungsstrang gesamt</t>
  </si>
  <si>
    <t>Alle Kosten in €2023 und ohne MWSt.: Kosten inkl. Wärmezähler (Installationskosten), inkl. Warmwasserbereitung, ohne Hausanschlussleitung (s. weitere Blätter), ohne Baukostenzuschuss</t>
  </si>
  <si>
    <t>Systembedingt keine Verluste durch Energieumwandlung wie bei Verbrennungsprozessen oder Wärmepumpen. Verluste bei HÜS sind die Standby-Wärmeverluste, die bei größeren Anlagentypen durch Isolation praktisch vollkommen vermieden werden können. Für kleinere HÜS sind die nicht nutzbaren Wärmeverluste (insb. Im Sommer) nicht vernachlässigbar, sie werden hier mit ca. 3-4% angesetzt [1].</t>
  </si>
  <si>
    <t xml:space="preserve">Hier Investition in Abzweigleitung vom Straßennetz zum Gebäude und in den Wärmezähler. Die Lebensdauer des Abzweigrohrs wird auf 50 Jahre geschätzt [1]. </t>
  </si>
  <si>
    <t>Die Betriebs- und Wartungskosten beinhalten den zweijährlichen Wartungscheck, werden aber hier als jährlich abgeschrieben [1].</t>
  </si>
  <si>
    <t>Annahme von 0,5% Kostenminderung p.a. entsprechend [1]</t>
  </si>
  <si>
    <t>Hier werden  keine direkten Übergabestationen betrachtet, die in der Praxis kaum noch umgesetzt werden. Für direkte Stationen könnte bei Bedarf  in Anlehnung an [1] ein Abschlag von 10% bzw. 25% auf die Kosten für kleine bzw. große Anlagen angesetzt werden.</t>
  </si>
  <si>
    <t>Keine Kosten für einen evtl. anfallenden Baukostenzuschuss berücksichtig</t>
  </si>
  <si>
    <t>D, F</t>
  </si>
  <si>
    <t>COWI 2016 - Analyse zu Lebensdauer, Betriebs- und Wartungskosten von Fernwärmeeinheiten.</t>
  </si>
  <si>
    <t>Spezifische Investitionskosten [€/MWh Kapazität] = a*Speicherkapazität [MWh]^b</t>
  </si>
  <si>
    <t>Speichervolumen</t>
  </si>
  <si>
    <t>m3</t>
  </si>
  <si>
    <t>Max.Speichertemperatur</t>
  </si>
  <si>
    <t>°C</t>
  </si>
  <si>
    <t>Speichertemperatur bei Entladung (°C)</t>
  </si>
  <si>
    <t>Speicherkapazität des Wärmespeichers</t>
  </si>
  <si>
    <t>MWh</t>
  </si>
  <si>
    <t>Wärmebereitstellung für Verbraucher</t>
  </si>
  <si>
    <t>Wärmeverluste</t>
  </si>
  <si>
    <t>Energieverluste während der Speicherung</t>
  </si>
  <si>
    <t>°C/ Tag</t>
  </si>
  <si>
    <t>[1], [2], [8]</t>
  </si>
  <si>
    <t>Durch das Verwenden des Kies-Wasser-Gemisch als Speichermedium unterscheidet sich das wasseräquivaletes Speichervolumen vom brutto Speichervolumen um ca. 1/3.</t>
  </si>
  <si>
    <t>Stark abhängig von Zyklen und Betriebsweise [1], können zwischen 60% und 80% variieren.</t>
  </si>
  <si>
    <t>€/MWh Speicherkapazität</t>
  </si>
  <si>
    <t>[1], [4], [5], [8]</t>
  </si>
  <si>
    <t>Derart tiefe Temperaturen sind wohl nur mit Wärmepumpen zu erzielen. Entsprechend muss der höhere Hilfsenergiebedarf berücksichtigt sein (siehe Zeile 11).</t>
  </si>
  <si>
    <t>Tendenziell geringere Lebensdauer bei 90°C ( vgl. Marstal) eher 15 Jahre wäre angebracht; Hier gibt es einige Forschungsaktivitäten, sodass  bis 2040 ein deutlich höheren techn. Lebensdauern angenommen werden kann. Laut [1] Bandbreite daher 15 bis 30 Jahre.</t>
  </si>
  <si>
    <t>Die Investitionskosten in Dänemark (Referenz im TK Baden-Württembergs) sind (...) aufgrund niedrigerer Grundwasserstände deutlich geringer als in Deutschland. Wenn eine Abdichtung gegen Grundwasser erfolgen muss, liegen die Kosten deutlich höher. Nach Berechnung 2021 der KEA Baden-Württemberg für ein norddeutsches Stadtwerk lagen die spez. Speicherkosten für einen 100.000 m³ (inkl. Peripherie und Wärmepumpe) mit Dichtwand und Dichtsohle gegen Grundwasser  bei ca. 55 €/m³ bzw. 1.120 €/MWh ( Invest bezogen auf Entlademenge bei 1 Zyklus ohne Förderung).</t>
  </si>
  <si>
    <t>Können nach [2] zwischen 20 und 40% variieren</t>
  </si>
  <si>
    <t>€/MWh Speicherkapazität * a</t>
  </si>
  <si>
    <t>[1], [2], [6]</t>
  </si>
  <si>
    <t>DEA, Danish Energy Agency (2020): Technology Data for energy storage.</t>
  </si>
  <si>
    <t>Schmuck, Martin (2017): Wirtschaftliche Umsetzbarkeit saisonaler Wärmespeicher; Schriftenreihe des Instituts für Baubetriebswesen der Technischen Universität Dresden; expert verlag 2017.</t>
  </si>
  <si>
    <t>PlanEnergi (2017); ermittelt aus den letzten drei realisierten Projekten sowie zwei geplannten Vorhaben; In DEA (2018).</t>
  </si>
  <si>
    <t>Schmidt, Sørensen (2018). Monitoring Results from Large Scale Heat storages for District Heating in Denmark. 14th International Conference on Energy Storage, 25-28 April 2018, Adana, Turkey.</t>
  </si>
  <si>
    <t>Fraunhofer-ISE, 2020: Wege zu einem klimaneutralen Energiesystem, Anhang.</t>
  </si>
  <si>
    <t>BVES Bundesverband Energiespeicher (2016): FACT SHEET SPEICHERTECHNOLOGIEN; Sensibler Wärmespeicher im Niedertemperaturbereich (bis 150 °C).</t>
  </si>
  <si>
    <t>Experten-Mitteilung;  N. Strodel, Hamburg Institut, 2021.</t>
  </si>
  <si>
    <t xml:space="preserve"> </t>
  </si>
  <si>
    <t>Bandbreite</t>
  </si>
  <si>
    <t>Typische Temperaturdifferenz (kalt/warm) (°K)</t>
  </si>
  <si>
    <t>°K</t>
  </si>
  <si>
    <t>Annahme nach DEA, 2019: Temperaturdifferenz 55 °K zwischen "kalt" und "warm", 90% effektiv nutzbares Speichervolumen.</t>
  </si>
  <si>
    <t>[1], [4], [5], [9]</t>
  </si>
  <si>
    <t>Werte zwischen den beiden Anlagengrößen sind nach [1] als Bandbreite zu verstehen. Werte aus [1] wurden in Anlehnung an [9] angepasst.</t>
  </si>
  <si>
    <t>Fixkosten O&amp;M können spezifisch stark variieren, im dänischen TK [2] werden bspw. 1500 €/Speicher/Jahr [in €2015] angenommen, d.h. Kosten unabhängig von der Größe des Speichers.</t>
  </si>
  <si>
    <t>DEA, Danish Energy Agency (2019): Technology Data for energy storage.</t>
  </si>
  <si>
    <t>Solites (2021) Spezifische Investitionskosten saisonaler thermischer Speicher ohne Planungskosten und MwSt.</t>
  </si>
  <si>
    <t>Spezifische Investitionskosten [€/L] = a*Kapazität [L]^b</t>
  </si>
  <si>
    <t>Speichervolumen des Wärmespeichers</t>
  </si>
  <si>
    <t>Max. Speichertemperatur</t>
  </si>
  <si>
    <t>Bereitschaftswärmeverlust</t>
  </si>
  <si>
    <t>kWh/24h</t>
  </si>
  <si>
    <t>Fachagentur für nachwachsende Rohstoffe (FNR), 2013: Handbuch Bioenergie Kleinanlagen.</t>
  </si>
  <si>
    <t>C.A.R.M.E.N. e.V. (2019): Förderfähige Wärmespeicher im 10.000-HäuserProgramm.</t>
  </si>
  <si>
    <t>VDI 2067: Wirtschaftlichkeit gebäudetechnischer Anlagen, Blatt 1 Grundlagen und Kostenrechnung 2000-09. Aktuell in der Überarbeitung.</t>
  </si>
  <si>
    <t>Kostensprung im Vergleich zu kleineren Speichern aufgrund Komplexitität der größeren Systeme, Pufferspeicher ab 500 L Volumen im EFH/MFH immer mit Frischwasserstation nach TRGI-Vorgaben zu Legionellen. Für kleinere Heizsysteme (EFH) z.B. für Wärmepumpen können einfachere, kleinere Speicher angenommen werden (siehe geringere Kosten auf anderem Blatt)</t>
  </si>
  <si>
    <t>BHD (2020): Informationsblatt Nr. 74 Energetische Bewertung von Warmwasserspeichern</t>
  </si>
  <si>
    <t>Gebäudefunktion</t>
  </si>
  <si>
    <t>Endenergiesektor [Wohngebäude, GHD, Industrie]</t>
  </si>
  <si>
    <t>Apotheke</t>
  </si>
  <si>
    <t>GHD</t>
  </si>
  <si>
    <t>Aquarium, Terrarium, Voliere</t>
  </si>
  <si>
    <t>Badegebäude, Hallenbad</t>
  </si>
  <si>
    <t>Biogasanlage</t>
  </si>
  <si>
    <t>Brennerei</t>
  </si>
  <si>
    <t>Büroähnliche Gebäude</t>
  </si>
  <si>
    <t>Empfangsgebäude</t>
  </si>
  <si>
    <t>Feuerwehr</t>
  </si>
  <si>
    <t>Gaswerk</t>
  </si>
  <si>
    <t>Gebäude für andere Erholungseinrichtung</t>
  </si>
  <si>
    <t>Gebäude für Bewirtung</t>
  </si>
  <si>
    <t>Gebäude für Bildungszwecke</t>
  </si>
  <si>
    <t>Gebäude für Erholungszwecke</t>
  </si>
  <si>
    <t>Gebäude für Freizeitaktivitäten</t>
  </si>
  <si>
    <t>Gebäude für Gesundheitswesen</t>
  </si>
  <si>
    <t>Gebäude für Gewerbe und Industrie</t>
  </si>
  <si>
    <t>Gebäude für Handel und Dienstleistungen</t>
  </si>
  <si>
    <t>Gebäude für Land- und Forstwirtschaft</t>
  </si>
  <si>
    <t>Gebäude für öffentliche Zwecke mit Wohnen</t>
  </si>
  <si>
    <t>Gebäude für Wirtschaft oder Gewerbe</t>
  </si>
  <si>
    <t>Gebäude im botanischen Garten</t>
  </si>
  <si>
    <t>Gebäude zur Energieversorgung</t>
  </si>
  <si>
    <t>Gebäude zur Gasversorgung</t>
  </si>
  <si>
    <t>Gebäude zu öffentlichen Verkehrsmitteln</t>
  </si>
  <si>
    <t>Gebäude zur Wasserversorgung</t>
  </si>
  <si>
    <t>Hallen</t>
  </si>
  <si>
    <t>Kaserne</t>
  </si>
  <si>
    <t>Krematorium</t>
  </si>
  <si>
    <t>Kühlhaus</t>
  </si>
  <si>
    <t>Land- und forstwirtschaftliches Betriebsgebäude</t>
  </si>
  <si>
    <t>Produktionsgebäude</t>
  </si>
  <si>
    <t>Religiöse Einrichtung</t>
  </si>
  <si>
    <t>Sonstiges Gebäude für Gewerbe und Industrie</t>
  </si>
  <si>
    <t>Speditionsgebäude</t>
  </si>
  <si>
    <t>Stadion</t>
  </si>
  <si>
    <t>Stall für Tiergroßhaltung</t>
  </si>
  <si>
    <t>Werkstatt</t>
  </si>
  <si>
    <t>Wirtschaftsgebäude</t>
  </si>
  <si>
    <t>Wohnheime und Unterkünfte</t>
  </si>
  <si>
    <t>Gebäude für Gewerbe und Industrie mit Wohnen</t>
  </si>
  <si>
    <t>Haushalte/Wohngebäude</t>
  </si>
  <si>
    <t>Gebäude für Handel und Dienstleistung mit Wohnen</t>
  </si>
  <si>
    <t>Land- und forstwirtschaftliches Wohn- und Betriebsgebäude</t>
  </si>
  <si>
    <t>Wohn- und Bürogebäude</t>
  </si>
  <si>
    <t>Wohngebäude / Wohnhaus</t>
  </si>
  <si>
    <t>Bergwerk</t>
  </si>
  <si>
    <t>Industrie</t>
  </si>
  <si>
    <t>Betriebsgebäude</t>
  </si>
  <si>
    <t>Brauerei</t>
  </si>
  <si>
    <t>Fabrik</t>
  </si>
  <si>
    <t>Gradierwerk</t>
  </si>
  <si>
    <t>Hochofen</t>
  </si>
  <si>
    <t>Kühlturm</t>
  </si>
  <si>
    <t>Mühle</t>
  </si>
  <si>
    <t>Sägewerk</t>
  </si>
  <si>
    <t>Saline</t>
  </si>
  <si>
    <t>Turbinenhaus</t>
  </si>
  <si>
    <t>Werft (Halle)</t>
  </si>
  <si>
    <t>GHD-Typ laut Schlomann et. al</t>
  </si>
  <si>
    <t>GHD-Typ lt. IWU</t>
  </si>
  <si>
    <t>Prozesswärme [ja/nein]</t>
  </si>
  <si>
    <r>
      <t>Datenerfassung empfohlen [ja/nein</t>
    </r>
    <r>
      <rPr>
        <sz val="8"/>
        <color rgb="FF000000"/>
        <rFont val="Franklin Gothic Book"/>
        <family val="2"/>
      </rPr>
      <t>  </t>
    </r>
    <r>
      <rPr>
        <b/>
        <sz val="8"/>
        <color rgb="FF000000"/>
        <rFont val="Franklin Gothic Book"/>
        <family val="2"/>
      </rPr>
      <t>]</t>
    </r>
  </si>
  <si>
    <t>Voraussetzung</t>
  </si>
  <si>
    <t>Übrige</t>
  </si>
  <si>
    <t>Gebäude für Kultur und Freizeit (5)</t>
  </si>
  <si>
    <t>Ja</t>
  </si>
  <si>
    <t>Nein</t>
  </si>
  <si>
    <t>Bäder</t>
  </si>
  <si>
    <t>Sportgebäude (6)</t>
  </si>
  <si>
    <t>Immer</t>
  </si>
  <si>
    <t>Herstellungsbetriebe</t>
  </si>
  <si>
    <t>Produktions-, Werkstatt-, Lager- oder Betriebsgebäude (8)</t>
  </si>
  <si>
    <t>Prüfen ob keine eigene Prozesswärmeversorgung erfolgt und eine externe Versorgung möglich ist, Pth &gt; 50 kW</t>
  </si>
  <si>
    <t>Prüfen wie Prozesswärmebedarf gedeckt wird</t>
  </si>
  <si>
    <t>Büroähnliche Betriebe (öffentlich oder privat)</t>
  </si>
  <si>
    <t>Büroähnliche Betriebe</t>
  </si>
  <si>
    <t>Büro-, Verwaltungs- oder Amtsgebäude (1)
Gebäude für Forschung und Hochschullehre (2)
Handelsgebäude (9)</t>
  </si>
  <si>
    <t>Büro-, Verwaltungs- oder Amtsgebäude (1)</t>
  </si>
  <si>
    <t>Flughafengebäude</t>
  </si>
  <si>
    <t>Flughäfen</t>
  </si>
  <si>
    <t>Verkehrsgebäude (11)</t>
  </si>
  <si>
    <t>Erzeugungsleistung &gt; 50 kW</t>
  </si>
  <si>
    <t>Technikgebäude (Ver- und Entsorgung) (10)</t>
  </si>
  <si>
    <t xml:space="preserve">Kann ggf. sinnvoll sein, wenn es aktiv für die Herstellung von Gasen genutzt wird. </t>
  </si>
  <si>
    <t>Beherbergung, Gaststätten, Heime</t>
  </si>
  <si>
    <t>Beherbergungs- oder Unterbringungsgebäude, Gastronomie- oder Verpflegungsgebäude (7)</t>
  </si>
  <si>
    <t>Wenn eigene Wäscherei, Küche oder Sauna</t>
  </si>
  <si>
    <t>Gebäude für Bewirtung (Gaststätte, Restaurant, Kantine)</t>
  </si>
  <si>
    <t>Gebäude für Bildungszwecke (z. B. allgemein- und berufsbildende Schulen, Kinderkrippe, Kindergarten, Kindertagesstätte)</t>
  </si>
  <si>
    <t>Schulen</t>
  </si>
  <si>
    <t>Schule, Kindertagesstätte und sonstiges Betreuungsgebäude (4)</t>
  </si>
  <si>
    <t>Nur sofern im Eigentum der Gemeinde</t>
  </si>
  <si>
    <t>Gebäude für Forschung und Lehre (Hochschulgebäude, Forschungsinstitut</t>
  </si>
  <si>
    <t>Gebäude für Forschung und Hochschullehre (2)</t>
  </si>
  <si>
    <t>Erfassung auf Campus Ebene</t>
  </si>
  <si>
    <t>Gebäude für Freizeitaktivitäten (Bibliothek, Museum, Kino, Theater, Freizeit- und Vergnügungsstätten)</t>
  </si>
  <si>
    <t>Büroähnliche Betriebe
Beherbergung, Gaststätten, Heime
Handel
Übrige</t>
  </si>
  <si>
    <t>Schule, Kindertagesstätte und sonstiges Betreuungsgebäude (4)
Gebäude für Kultur und Freizeit (5)</t>
  </si>
  <si>
    <t>Krankenhäuser</t>
  </si>
  <si>
    <t>Gebäude für Gesundheit und Pflege (3)</t>
  </si>
  <si>
    <t>Wenn Prozesswärme genutzt wird und Pth &gt; 50 kW
Wenn eigene Wäscherei, Küche oder Sauna</t>
  </si>
  <si>
    <t>Prüfen, ob Prozesswärme genutzt wird, Wärmeleistung &gt; 50 kW</t>
  </si>
  <si>
    <t>Gebäude für Handel und Dienstleistungen (Einkaufszentrum, Kaufhaus, Laden)</t>
  </si>
  <si>
    <t>Handel</t>
  </si>
  <si>
    <t>Handelsgebäude (9)</t>
  </si>
  <si>
    <t>Prüfen ob Prozesswärme relevant</t>
  </si>
  <si>
    <t>Landwirtschaft</t>
  </si>
  <si>
    <t>Prüfen, ob Küche oder Sauna etc. vorhanden ist, Pth &gt; 50 kW</t>
  </si>
  <si>
    <t>Gartenbau</t>
  </si>
  <si>
    <t>Handel
Übrige</t>
  </si>
  <si>
    <t>Produktions-, Werkstatt-, Lager- oder Betriebsgebäude (8)
Verkehrsgebäude (11)</t>
  </si>
  <si>
    <t>Gebäude zur Energieversorgung (z. B. Müllverbrennung oder Gasometer)</t>
  </si>
  <si>
    <t>Herstellungsbetriebe
Übrige
Nicht über FB erfasste Betriebe</t>
  </si>
  <si>
    <t>Prüfen, ob eine Gasvorwärmung erfolgt</t>
  </si>
  <si>
    <t>Gewächshaus (Botanik oder verschiebbar)</t>
  </si>
  <si>
    <t>Gartenbau
Landwirtschaft</t>
  </si>
  <si>
    <t>Ja
Nein</t>
  </si>
  <si>
    <t xml:space="preserve">Feuerungsleistung &gt; 50 kW und Überschreitung einer Fläche von 100 m² </t>
  </si>
  <si>
    <t>Hallen (Fahrzeug, Markt, Messe, Sport, Wagenhalle)</t>
  </si>
  <si>
    <t>Herstellungsbetriebe
Nicht über FB erfasste Betriebe
Übrige</t>
  </si>
  <si>
    <t>Schule, Kindertagesstätte und sonstiges Betreuungsgebäude (4)
Gebäude für Kultur und Freizeit (5)
Produktions-, Werkstatt-, Lager- oder Betriebsgebäude (8)
Verkehrsgebäude (11)</t>
  </si>
  <si>
    <t>Prüfen, ob eine Großküche vorhanden ist</t>
  </si>
  <si>
    <t>Feuerungsleistung &gt; 50 kW</t>
  </si>
  <si>
    <t>Restl. Nahrungsmittelgewerbe</t>
  </si>
  <si>
    <t>Relevant für Abwärmepotenzial</t>
  </si>
  <si>
    <t>Wärmeleistung &gt; 50 kW</t>
  </si>
  <si>
    <t>Religiöse Einrichtungen (Kloster, Moschee, Synagoge)</t>
  </si>
  <si>
    <t>nein</t>
  </si>
  <si>
    <t>Ggf. individuell prüfen</t>
  </si>
  <si>
    <t>Textil, Bekleidung, Spedition</t>
  </si>
  <si>
    <t>Rasenheizung ?</t>
  </si>
  <si>
    <t>Nicht über FB erfasste Betriebe</t>
  </si>
  <si>
    <t>Wenn Produktionshalle</t>
  </si>
  <si>
    <t>Wohnheime und Unterkünfte für unterschiedliche Gruppen sowie Gebäude für Beherbungen (Senior*innen, Kinder, Schüler*innen, Obdachlose, Geflüchtete, Pflegepersonal, Hotel, Motel, Pensions, Jugendherberge etc.)</t>
  </si>
  <si>
    <t>Gebäude für Gesundheit und Pflege (3)
Beherbergungs- oder Unterbringungsgebäude, Gastronomie- oder Verpflegungsgebäude (7)</t>
  </si>
  <si>
    <t>Gebäudetyp</t>
  </si>
  <si>
    <t>Gewerbe, Handel, Dienstleistungen</t>
  </si>
  <si>
    <t>Baualtersklasse</t>
  </si>
  <si>
    <t>Nutzenergie-verbrauch</t>
  </si>
  <si>
    <t>Status Quo</t>
  </si>
  <si>
    <t>mittlere jährliche Reduktion um</t>
  </si>
  <si>
    <t>Reduktion bis 2045 auf</t>
  </si>
  <si>
    <t>Nutzenergieverbrauch NWG 
nach Branche</t>
  </si>
  <si>
    <t>Wäschereien</t>
  </si>
  <si>
    <t>Beherbergung, Gastsstätten, Heime</t>
  </si>
  <si>
    <t>Kultur</t>
  </si>
  <si>
    <t>Sport</t>
  </si>
  <si>
    <t>Bildung</t>
  </si>
  <si>
    <t>Baugewerbe</t>
  </si>
  <si>
    <t>bis 1978</t>
  </si>
  <si>
    <t>niedrig</t>
  </si>
  <si>
    <t>kWh/(m²*a)</t>
  </si>
  <si>
    <t>hoch</t>
  </si>
  <si>
    <t>bis 2009</t>
  </si>
  <si>
    <t>ab 2010</t>
  </si>
  <si>
    <t>Branchenkorrekturfaktoren</t>
  </si>
  <si>
    <r>
      <t>Branchenfaktor (f</t>
    </r>
    <r>
      <rPr>
        <vertAlign val="subscript"/>
        <sz val="8"/>
        <color rgb="FF666F77"/>
        <rFont val="Calibri"/>
        <family val="2"/>
        <scheme val="minor"/>
      </rPr>
      <t>B</t>
    </r>
    <r>
      <rPr>
        <sz val="8"/>
        <color rgb="FF666F77"/>
        <rFont val="Calibri"/>
        <family val="2"/>
        <scheme val="minor"/>
      </rPr>
      <t>)</t>
    </r>
  </si>
  <si>
    <r>
      <t>Warmwasserfaktor  (f</t>
    </r>
    <r>
      <rPr>
        <vertAlign val="subscript"/>
        <sz val="8"/>
        <color rgb="FF666F77"/>
        <rFont val="Calibri"/>
        <family val="2"/>
        <scheme val="minor"/>
      </rPr>
      <t>WW</t>
    </r>
    <r>
      <rPr>
        <sz val="8"/>
        <color rgb="FF666F77"/>
        <rFont val="Calibri"/>
        <family val="2"/>
        <scheme val="minor"/>
      </rPr>
      <t>)</t>
    </r>
  </si>
  <si>
    <r>
      <t>Prozesswärmefaktor (f</t>
    </r>
    <r>
      <rPr>
        <vertAlign val="subscript"/>
        <sz val="8"/>
        <color rgb="FF666F77"/>
        <rFont val="Calibri"/>
        <family val="2"/>
        <scheme val="minor"/>
      </rPr>
      <t>PW</t>
    </r>
    <r>
      <rPr>
        <sz val="8"/>
        <color rgb="FF666F77"/>
        <rFont val="Calibri"/>
        <family val="2"/>
        <scheme val="minor"/>
      </rPr>
      <t>)</t>
    </r>
  </si>
  <si>
    <r>
      <t>Branchenkorrekturfaktor Gesamt (f</t>
    </r>
    <r>
      <rPr>
        <vertAlign val="subscript"/>
        <sz val="8"/>
        <color rgb="FF666F77"/>
        <rFont val="Calibri"/>
        <family val="2"/>
        <scheme val="minor"/>
      </rPr>
      <t>G</t>
    </r>
    <r>
      <rPr>
        <sz val="8"/>
        <color rgb="FF666F77"/>
        <rFont val="Calibri"/>
        <family val="2"/>
        <scheme val="minor"/>
      </rPr>
      <t>)</t>
    </r>
  </si>
  <si>
    <t>Langfristszenarien für die Transformation des Energiesystems in Deutschland, Fraunhofer ISI, ifeu GmbH et al.,  Stand 2022</t>
  </si>
  <si>
    <t>niedriger Pfad: T45 RedEff-Szenario Langfristszenarien</t>
  </si>
  <si>
    <t>hoher Pfad: T45 Strom-Szenario der Langfristszenarien</t>
  </si>
  <si>
    <t>Status Quo: Nichtwohngebaeude-Typologie-Deutschland, Institut für Wohnen und Umwelt, 2022</t>
  </si>
  <si>
    <t>Energieverbrauch des Sektors Gewerbe, Handel, Dienstleistungen (GHD) in Deutschland für die Jahre 2011 bis 2013, Fraunhofer ISI Stand 2015</t>
  </si>
  <si>
    <t>Nutzenergieverbrauch NWG nach Branche</t>
  </si>
  <si>
    <t>Nahrungsmittel-gewerbe</t>
  </si>
  <si>
    <t>Herstellungs-betriebe</t>
  </si>
  <si>
    <t>kWh/m²*a</t>
  </si>
  <si>
    <t>Branchenkorrekturfaktor</t>
  </si>
  <si>
    <t>Erstellung von Anwendungsbilanzen für die Jahre 2021 bis 2023 für die Sektoren Industrie und GHD, Fraunhofer ISI, Stand 2022</t>
  </si>
  <si>
    <t>Ein- und Zweifamilienhaus</t>
  </si>
  <si>
    <t xml:space="preserve">Nutzenergieverbrauch für Heizung und Warmwasser </t>
  </si>
  <si>
    <t>bis 1918</t>
  </si>
  <si>
    <t>1919-1948</t>
  </si>
  <si>
    <t>1949-1978</t>
  </si>
  <si>
    <t>1979-1994</t>
  </si>
  <si>
    <t>1995-2011</t>
  </si>
  <si>
    <t>2012-2020</t>
  </si>
  <si>
    <t>2021-2035</t>
  </si>
  <si>
    <t>niedriger Pfad: T45 RedEff-Szenario der Langfristszenarien</t>
  </si>
  <si>
    <t>Status Quo nach BMWi (2019): Energieeffizienz in Zahlen; AG Energiebilanzen e.V.: Anwendungsbilanzen; Destatis: Umweltökonomische Gesamtrechnungen Energiegesamtrechnung</t>
  </si>
  <si>
    <t>Mehrfamilienhaus</t>
  </si>
  <si>
    <t>Nutzenergie</t>
  </si>
  <si>
    <t>1995-2009</t>
  </si>
  <si>
    <t>2010-2020</t>
  </si>
  <si>
    <t>2012-2035</t>
  </si>
  <si>
    <t>Die ausschließlichen und unbeschränkten Nutzungsrechte an diesem Technikkatalog liegen beim Bundesministerium für Wirtschaft und Klimaschutz.</t>
  </si>
  <si>
    <t>Die Inhalte dieses Technikkatalogs dürfen genutzt, geteilt und bearbeitet werden, auch kommerziell, solange die ursprüngliche Publikation, der Nutzungsrechteinhaber, hier das Bundesministerium für Wirtschaft und Klimaschutz, und der Urheber genannt sowie die Bearbeitungen kenntlich gemacht werden. Details und Beispiele für den Quellenverweis siehe</t>
  </si>
  <si>
    <t>Der Technikkatalog wurde im Auftrag des BMWK unter Beteiligung des BMWSB erstellt.</t>
  </si>
  <si>
    <t>Nutzung unter Nennung des Nutzungsrechteinhabers und der Urheber gestattet (CC-BY 4.0)</t>
  </si>
  <si>
    <r>
      <rPr>
        <b/>
        <sz val="10.5"/>
        <color rgb="FFFFFFFF"/>
        <rFont val="Calibri"/>
        <family val="2"/>
        <scheme val="minor"/>
      </rPr>
      <t>Technikkatalog (Langreder et al. 2024, im Auftrag des BMWK)</t>
    </r>
    <r>
      <rPr>
        <sz val="10.5"/>
        <color rgb="FFFFFFFF"/>
        <rFont val="Calibri"/>
        <family val="2"/>
        <scheme val="minor"/>
      </rPr>
      <t xml:space="preserve">
Langreder, Nora; Lettow, Frederik; Sahnoun, Malek; Kreidelmeyer, Sven; Wünsch, Aurel; Lengning, Saskia et al. (2024): Technikkatalog Wärmeplanung. Hg. v. ifeu – Institut für Energie- und Umweltforschung Heidelberg, Öko-Institut e.V., IER Stuttgart, adelphi consult GmbH, Becker Büttner Held PartGmbB, Prognos AG, et al., im Auftrag des BMWK. Online verfügbar unter [https://www.kww-halle.de/praxis-kommunale-waermewende/bundesgesetz-zur-waermeplanung], zuletzt geprüft am [Datum einfügen].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</si>
</sst>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00"/>
    <numFmt numFmtId="165" formatCode="0.0"/>
    <numFmt numFmtId="166" formatCode="_-* #,##0_-;\-* #,##0_-;_-* &quot;-&quot;??_-;_-@_-"/>
    <numFmt numFmtId="167" formatCode="_-* #,##0.0_-;\-* #,##0.0_-;_-* &quot;-&quot;??_-;_-@_-"/>
    <numFmt numFmtId="168" formatCode="0.0%"/>
    <numFmt numFmtId="169" formatCode="_-* #,##0.000_-;\-* #,##0.000_-;_-* &quot;-&quot;??_-;_-@_-"/>
    <numFmt numFmtId="170" formatCode="_-* #,##0.00\ _€_-;\-* #,##0.00\ _€_-;_-* &quot;-&quot;?\ _€_-;_-@_-"/>
    <numFmt numFmtId="171" formatCode="_-* #,##0.00\ _€_-;\-* #,##0.00\ _€_-;_-* &quot;-&quot;??\ _€_-;_-@_-"/>
    <numFmt numFmtId="172" formatCode="#,##0.0"/>
  </numFmts>
  <fonts count="41">
    <font>
      <sz val="11"/>
      <color theme="1"/>
      <name val="Calibri"/>
      <family val="2"/>
      <scheme val="minor"/>
    </font>
    <font>
      <sz val="8"/>
      <color rgb="FF000000"/>
      <name val="Franklin Gothic Demi"/>
      <family val="2"/>
    </font>
    <font>
      <sz val="8"/>
      <color rgb="FF666F77"/>
      <name val="Calibri"/>
      <family val="2"/>
      <scheme val="minor"/>
    </font>
    <font>
      <sz val="8"/>
      <color theme="1"/>
      <name val="Franklin Gothic Demi"/>
      <family val="2"/>
    </font>
    <font>
      <b/>
      <sz val="11"/>
      <color rgb="FF000000"/>
      <name val="Calibri"/>
      <family val="2"/>
    </font>
    <font>
      <sz val="11"/>
      <color rgb="FF000000"/>
      <name val="Calibri"/>
      <family val="2"/>
    </font>
    <font>
      <sz val="11"/>
      <color theme="1"/>
      <name val="Calibri"/>
      <family val="2"/>
    </font>
    <font>
      <sz val="8"/>
      <name val="Calibri"/>
      <family val="2"/>
      <scheme val="minor"/>
    </font>
    <font>
      <sz val="10"/>
      <color theme="1"/>
      <name val="Times New Roman"/>
      <family val="1"/>
    </font>
    <font>
      <sz val="11"/>
      <color rgb="FFFFFFFF"/>
      <name val="Calibri"/>
      <family val="2"/>
    </font>
    <font>
      <sz val="8"/>
      <color theme="1" tint="0.34998626667073579"/>
      <name val="Calibri"/>
      <family val="2"/>
      <scheme val="minor"/>
    </font>
    <font>
      <sz val="8"/>
      <color theme="1" tint="0.34998626667073579"/>
      <name val="Franklin Gothic Demi"/>
      <family val="2"/>
    </font>
    <font>
      <sz val="8"/>
      <color theme="1"/>
      <name val="Calibri"/>
      <family val="2"/>
    </font>
    <font>
      <sz val="11"/>
      <color theme="1"/>
      <name val="Calibri"/>
      <family val="2"/>
      <scheme val="minor"/>
    </font>
    <font>
      <b/>
      <sz val="11"/>
      <color theme="1"/>
      <name val="Calibri"/>
      <family val="2"/>
      <scheme val="minor"/>
    </font>
    <font>
      <u/>
      <sz val="11"/>
      <color theme="10"/>
      <name val="Calibri"/>
      <family val="2"/>
      <scheme val="minor"/>
    </font>
    <font>
      <sz val="8"/>
      <color rgb="FF000000"/>
      <name val="Franklin Gothic Book"/>
      <family val="2"/>
    </font>
    <font>
      <vertAlign val="subscript"/>
      <sz val="8"/>
      <color rgb="FF666F77"/>
      <name val="Calibri"/>
      <family val="2"/>
      <scheme val="minor"/>
    </font>
    <font>
      <b/>
      <sz val="8"/>
      <color rgb="FF666F77"/>
      <name val="Calibri"/>
      <family val="2"/>
      <scheme val="minor"/>
    </font>
    <font>
      <sz val="11"/>
      <name val="Calibri"/>
      <family val="2"/>
      <scheme val="minor"/>
    </font>
    <font>
      <i/>
      <sz val="11"/>
      <color theme="1"/>
      <name val="Calibri"/>
      <family val="2"/>
      <scheme val="minor"/>
    </font>
    <font>
      <sz val="8"/>
      <color rgb="FF000000"/>
      <name val="Calibri"/>
      <family val="2"/>
      <scheme val="minor"/>
    </font>
    <font>
      <sz val="12"/>
      <name val="Calibri"/>
      <family val="2"/>
      <scheme val="minor"/>
    </font>
    <font>
      <sz val="8"/>
      <color theme="2" tint="-0.499984740745262"/>
      <name val="Calibri"/>
      <family val="2"/>
      <scheme val="minor"/>
    </font>
    <font>
      <b/>
      <sz val="8"/>
      <color rgb="FF000000"/>
      <name val="Franklin Gothic Book"/>
      <family val="2"/>
    </font>
    <font>
      <u/>
      <sz val="10"/>
      <color theme="0"/>
      <name val="Calibri"/>
      <family val="2"/>
      <scheme val="minor"/>
    </font>
    <font>
      <b/>
      <sz val="16"/>
      <color rgb="FFFF9900"/>
      <name val="Calibri"/>
      <family val="2"/>
      <scheme val="minor"/>
    </font>
    <font>
      <sz val="11"/>
      <color rgb="FFFF9900"/>
      <name val="Calibri"/>
      <family val="2"/>
      <scheme val="minor"/>
    </font>
    <font>
      <b/>
      <sz val="10.5"/>
      <color rgb="FFFFFFFF"/>
      <name val="Calibri"/>
      <family val="2"/>
      <scheme val="minor"/>
    </font>
    <font>
      <sz val="10.5"/>
      <color rgb="FFFFFFFF"/>
      <name val="Calibri Light"/>
      <family val="2"/>
    </font>
    <font>
      <b/>
      <sz val="10.5"/>
      <color rgb="FFFFFFFF"/>
      <name val="Calibri Light"/>
      <family val="2"/>
    </font>
    <font>
      <sz val="10.5"/>
      <color rgb="FFFFFFFF"/>
      <name val="Calibri"/>
      <family val="2"/>
      <scheme val="minor"/>
    </font>
    <font>
      <sz val="8"/>
      <name val="Franklin Gothic Demi"/>
      <family val="2"/>
    </font>
    <font>
      <u/>
      <sz val="11"/>
      <name val="Calibri"/>
      <family val="2"/>
      <scheme val="minor"/>
    </font>
    <font>
      <sz val="10"/>
      <color rgb="FF000000"/>
      <name val="Franklin Gothic Demi"/>
      <family val="2"/>
    </font>
    <font>
      <sz val="11"/>
      <color rgb="FF666F77"/>
      <name val="Calibri"/>
      <family val="2"/>
      <scheme val="minor"/>
    </font>
    <font>
      <b/>
      <sz val="20"/>
      <color rgb="FFFF9900"/>
      <name val="Calibri"/>
      <family val="2"/>
      <scheme val="minor"/>
    </font>
    <font>
      <sz val="11"/>
      <color theme="0"/>
      <name val="Calibri"/>
      <family val="2"/>
      <scheme val="minor"/>
    </font>
    <font>
      <u/>
      <sz val="11"/>
      <color theme="0"/>
      <name val="Calibri"/>
      <family val="2"/>
      <scheme val="minor"/>
    </font>
    <font>
      <sz val="8"/>
      <color rgb="FF000000"/>
      <name val="Franklin Gothic Demi"/>
    </font>
    <font>
      <sz val="8"/>
      <color theme="1"/>
      <name val="Franklin Gothic Demi"/>
    </font>
  </fonts>
  <fills count="6">
    <fill>
      <patternFill patternType="none"/>
    </fill>
    <fill>
      <patternFill patternType="gray125"/>
    </fill>
    <fill>
      <patternFill patternType="solid">
        <fgColor rgb="FFE1E4E6"/>
        <bgColor indexed="64"/>
      </patternFill>
    </fill>
    <fill>
      <patternFill patternType="solid">
        <fgColor rgb="FFE1E4E6"/>
        <bgColor rgb="FF000000"/>
      </patternFill>
    </fill>
    <fill>
      <patternFill patternType="solid">
        <fgColor rgb="FF006666"/>
        <bgColor indexed="64"/>
      </patternFill>
    </fill>
    <fill>
      <patternFill patternType="solid">
        <fgColor theme="0"/>
        <bgColor indexed="64"/>
      </patternFill>
    </fill>
  </fills>
  <borders count="10">
    <border>
      <left/>
      <right/>
      <top/>
      <bottom/>
      <diagonal/>
    </border>
    <border>
      <left/>
      <right/>
      <top/>
      <bottom style="medium">
        <color rgb="FF666F77"/>
      </bottom>
      <diagonal/>
    </border>
    <border>
      <left/>
      <right/>
      <top style="medium">
        <color rgb="FF666F77"/>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right/>
      <top style="medium">
        <color theme="2" tint="-0.499984740745262"/>
      </top>
      <bottom style="medium">
        <color rgb="FF666F77"/>
      </bottom>
      <diagonal/>
    </border>
  </borders>
  <cellStyleXfs count="4">
    <xf numFmtId="0" fontId="0" fillId="0" borderId="0"/>
    <xf numFmtId="43" fontId="13" fillId="0" borderId="0" applyFont="0" applyFill="0" applyBorder="0" applyAlignment="0" applyProtection="0"/>
    <xf numFmtId="9" fontId="13" fillId="0" borderId="0" applyFont="0" applyFill="0" applyBorder="0" applyAlignment="0" applyProtection="0"/>
    <xf numFmtId="0" fontId="15" fillId="0" borderId="0" applyNumberFormat="0" applyFill="0" applyBorder="0" applyAlignment="0" applyProtection="0"/>
  </cellStyleXfs>
  <cellXfs count="153">
    <xf numFmtId="0" fontId="0" fillId="0" borderId="0" xfId="0"/>
    <xf numFmtId="0" fontId="1" fillId="2" borderId="1" xfId="0" applyFont="1" applyFill="1" applyBorder="1" applyAlignment="1">
      <alignment vertical="center"/>
    </xf>
    <xf numFmtId="0" fontId="1" fillId="2" borderId="1" xfId="0" applyFont="1" applyFill="1" applyBorder="1" applyAlignment="1">
      <alignment horizontal="right" vertical="center"/>
    </xf>
    <xf numFmtId="0" fontId="2" fillId="0" borderId="1" xfId="0" applyFont="1" applyBorder="1" applyAlignment="1">
      <alignment vertical="center"/>
    </xf>
    <xf numFmtId="0" fontId="3" fillId="0" borderId="0" xfId="0" applyFont="1"/>
    <xf numFmtId="3" fontId="2" fillId="0" borderId="1" xfId="0" applyNumberFormat="1" applyFont="1" applyBorder="1" applyAlignment="1">
      <alignment horizontal="left" vertical="center"/>
    </xf>
    <xf numFmtId="0" fontId="1" fillId="2" borderId="1" xfId="0" applyFont="1" applyFill="1" applyBorder="1" applyAlignment="1">
      <alignment horizontal="right" vertical="center" wrapText="1"/>
    </xf>
    <xf numFmtId="0" fontId="5" fillId="0" borderId="0" xfId="0" applyFont="1" applyAlignment="1">
      <alignment vertical="center"/>
    </xf>
    <xf numFmtId="0" fontId="5" fillId="0" borderId="0" xfId="0" applyFont="1" applyAlignment="1">
      <alignment horizontal="right" vertical="center"/>
    </xf>
    <xf numFmtId="2" fontId="0" fillId="0" borderId="0" xfId="0" applyNumberFormat="1"/>
    <xf numFmtId="1" fontId="0" fillId="0" borderId="0" xfId="0" applyNumberFormat="1"/>
    <xf numFmtId="164" fontId="0" fillId="0" borderId="0" xfId="0" applyNumberFormat="1"/>
    <xf numFmtId="0" fontId="2" fillId="0" borderId="0" xfId="0" applyFont="1" applyAlignment="1">
      <alignment vertical="center"/>
    </xf>
    <xf numFmtId="1" fontId="2" fillId="0" borderId="1" xfId="0" applyNumberFormat="1" applyFont="1" applyBorder="1" applyAlignment="1">
      <alignment vertical="center"/>
    </xf>
    <xf numFmtId="0" fontId="4" fillId="0" borderId="0" xfId="0" applyFont="1" applyAlignment="1">
      <alignment vertical="center"/>
    </xf>
    <xf numFmtId="0" fontId="8" fillId="0" borderId="0" xfId="0" applyFont="1" applyAlignment="1">
      <alignment wrapText="1"/>
    </xf>
    <xf numFmtId="0" fontId="8" fillId="0" borderId="0" xfId="0" applyFont="1"/>
    <xf numFmtId="0" fontId="5" fillId="0" borderId="0" xfId="0" applyFont="1" applyAlignment="1">
      <alignment vertical="center" wrapText="1"/>
    </xf>
    <xf numFmtId="0" fontId="4" fillId="0" borderId="0" xfId="0" applyFont="1" applyAlignment="1">
      <alignment horizontal="right" vertical="center"/>
    </xf>
    <xf numFmtId="0" fontId="4" fillId="0" borderId="0" xfId="0" applyFont="1" applyAlignment="1">
      <alignment vertical="center" wrapText="1"/>
    </xf>
    <xf numFmtId="0" fontId="6" fillId="0" borderId="0" xfId="0" applyFont="1" applyAlignment="1">
      <alignment horizontal="right" vertical="center"/>
    </xf>
    <xf numFmtId="0" fontId="9"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right" vertical="center"/>
    </xf>
    <xf numFmtId="0" fontId="6" fillId="0" borderId="0" xfId="0" applyFont="1" applyAlignment="1">
      <alignment vertical="center"/>
    </xf>
    <xf numFmtId="0" fontId="6" fillId="0" borderId="0" xfId="0" applyFont="1" applyAlignment="1">
      <alignment vertical="center" wrapText="1"/>
    </xf>
    <xf numFmtId="1" fontId="2" fillId="0" borderId="1" xfId="0" applyNumberFormat="1" applyFont="1" applyBorder="1" applyAlignment="1">
      <alignment horizontal="right" vertical="center"/>
    </xf>
    <xf numFmtId="0" fontId="10" fillId="2" borderId="1" xfId="0" applyFont="1" applyFill="1" applyBorder="1" applyAlignment="1">
      <alignment vertical="center"/>
    </xf>
    <xf numFmtId="0" fontId="11" fillId="2" borderId="1" xfId="0" applyFont="1" applyFill="1" applyBorder="1" applyAlignment="1">
      <alignmen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3" fontId="2" fillId="0" borderId="1" xfId="0" applyNumberFormat="1" applyFont="1" applyBorder="1" applyAlignment="1">
      <alignment horizontal="right" vertical="center"/>
    </xf>
    <xf numFmtId="9" fontId="2" fillId="0" borderId="1" xfId="0" applyNumberFormat="1" applyFont="1" applyBorder="1" applyAlignment="1">
      <alignment vertical="center"/>
    </xf>
    <xf numFmtId="3" fontId="2" fillId="0" borderId="1" xfId="0" applyNumberFormat="1" applyFont="1" applyBorder="1" applyAlignment="1">
      <alignment vertical="center"/>
    </xf>
    <xf numFmtId="9" fontId="2" fillId="0" borderId="1" xfId="2" applyFont="1" applyFill="1" applyBorder="1" applyAlignment="1">
      <alignment vertical="center"/>
    </xf>
    <xf numFmtId="0" fontId="2" fillId="0" borderId="1" xfId="0" applyFont="1" applyBorder="1" applyAlignment="1">
      <alignment horizontal="left" vertical="center" indent="1"/>
    </xf>
    <xf numFmtId="165" fontId="2" fillId="0" borderId="1" xfId="0" applyNumberFormat="1" applyFont="1" applyBorder="1" applyAlignment="1">
      <alignment vertical="center"/>
    </xf>
    <xf numFmtId="0" fontId="18" fillId="0" borderId="1" xfId="0" applyFont="1" applyBorder="1" applyAlignment="1">
      <alignment vertical="center"/>
    </xf>
    <xf numFmtId="0" fontId="18" fillId="0" borderId="1" xfId="0" applyFont="1" applyBorder="1" applyAlignment="1">
      <alignment horizontal="left" vertical="center"/>
    </xf>
    <xf numFmtId="3" fontId="18" fillId="0" borderId="1" xfId="0" applyNumberFormat="1" applyFont="1" applyBorder="1" applyAlignment="1">
      <alignment vertical="center"/>
    </xf>
    <xf numFmtId="166" fontId="2" fillId="0" borderId="1" xfId="1" applyNumberFormat="1" applyFont="1" applyBorder="1" applyAlignment="1">
      <alignment vertical="center"/>
    </xf>
    <xf numFmtId="167" fontId="2" fillId="0" borderId="1" xfId="1" applyNumberFormat="1" applyFont="1" applyBorder="1" applyAlignment="1">
      <alignment vertical="center"/>
    </xf>
    <xf numFmtId="0" fontId="2" fillId="0" borderId="0" xfId="0" applyFont="1" applyAlignment="1">
      <alignment horizontal="right" vertical="center"/>
    </xf>
    <xf numFmtId="9" fontId="0" fillId="0" borderId="0" xfId="2" applyFont="1"/>
    <xf numFmtId="165" fontId="0" fillId="0" borderId="0" xfId="0" applyNumberFormat="1"/>
    <xf numFmtId="1" fontId="2" fillId="0" borderId="1" xfId="2" applyNumberFormat="1" applyFont="1" applyBorder="1" applyAlignment="1">
      <alignment vertical="center"/>
    </xf>
    <xf numFmtId="10" fontId="2" fillId="0" borderId="0" xfId="2" applyNumberFormat="1" applyFont="1" applyAlignment="1">
      <alignment vertical="center"/>
    </xf>
    <xf numFmtId="9" fontId="2" fillId="0" borderId="0" xfId="0" applyNumberFormat="1" applyFont="1" applyAlignment="1">
      <alignment vertical="center"/>
    </xf>
    <xf numFmtId="165" fontId="2" fillId="0" borderId="1" xfId="0" applyNumberFormat="1" applyFont="1" applyBorder="1" applyAlignment="1">
      <alignment horizontal="right" vertical="center"/>
    </xf>
    <xf numFmtId="0" fontId="3" fillId="0" borderId="0" xfId="0" applyFont="1" applyAlignment="1">
      <alignment horizontal="left" vertical="center"/>
    </xf>
    <xf numFmtId="2" fontId="2" fillId="0" borderId="1" xfId="0" applyNumberFormat="1" applyFont="1" applyBorder="1" applyAlignment="1">
      <alignment vertical="center"/>
    </xf>
    <xf numFmtId="9" fontId="2" fillId="0" borderId="1" xfId="2" applyFont="1" applyFill="1" applyBorder="1" applyAlignment="1">
      <alignment horizontal="right" vertical="center"/>
    </xf>
    <xf numFmtId="43" fontId="0" fillId="0" borderId="0" xfId="1" applyFont="1"/>
    <xf numFmtId="9" fontId="2" fillId="0" borderId="1" xfId="2" applyFont="1" applyBorder="1" applyAlignment="1">
      <alignment vertical="center"/>
    </xf>
    <xf numFmtId="3" fontId="2" fillId="0" borderId="1" xfId="2" applyNumberFormat="1" applyFont="1" applyBorder="1" applyAlignment="1">
      <alignment vertical="center"/>
    </xf>
    <xf numFmtId="1" fontId="2" fillId="0" borderId="0" xfId="0" applyNumberFormat="1" applyFont="1" applyAlignment="1">
      <alignment vertical="center"/>
    </xf>
    <xf numFmtId="166" fontId="0" fillId="0" borderId="0" xfId="0" applyNumberFormat="1"/>
    <xf numFmtId="43" fontId="0" fillId="0" borderId="0" xfId="0" applyNumberFormat="1"/>
    <xf numFmtId="168" fontId="0" fillId="0" borderId="0" xfId="2" applyNumberFormat="1" applyFont="1" applyFill="1"/>
    <xf numFmtId="167" fontId="2" fillId="0" borderId="1" xfId="1" applyNumberFormat="1" applyFont="1" applyBorder="1" applyAlignment="1">
      <alignment horizontal="right" vertical="center"/>
    </xf>
    <xf numFmtId="1" fontId="2" fillId="0" borderId="1" xfId="2" applyNumberFormat="1" applyFont="1" applyBorder="1" applyAlignment="1">
      <alignment horizontal="right" vertical="center"/>
    </xf>
    <xf numFmtId="166" fontId="2" fillId="0" borderId="1" xfId="1" applyNumberFormat="1" applyFont="1" applyBorder="1" applyAlignment="1">
      <alignment horizontal="right" vertical="center"/>
    </xf>
    <xf numFmtId="166" fontId="18" fillId="0" borderId="1" xfId="1" applyNumberFormat="1" applyFont="1" applyBorder="1" applyAlignment="1">
      <alignment vertical="center"/>
    </xf>
    <xf numFmtId="169" fontId="0" fillId="0" borderId="0" xfId="0" applyNumberFormat="1"/>
    <xf numFmtId="167" fontId="2" fillId="0" borderId="1" xfId="0" applyNumberFormat="1" applyFont="1" applyBorder="1" applyAlignment="1">
      <alignment vertical="center"/>
    </xf>
    <xf numFmtId="9" fontId="0" fillId="0" borderId="0" xfId="0" applyNumberFormat="1"/>
    <xf numFmtId="170" fontId="0" fillId="0" borderId="0" xfId="0" applyNumberFormat="1"/>
    <xf numFmtId="167" fontId="2" fillId="0" borderId="0" xfId="1" applyNumberFormat="1" applyFont="1" applyFill="1" applyBorder="1" applyAlignment="1">
      <alignment vertical="center"/>
    </xf>
    <xf numFmtId="171" fontId="0" fillId="0" borderId="0" xfId="0" applyNumberFormat="1"/>
    <xf numFmtId="166" fontId="2" fillId="0" borderId="0" xfId="1" applyNumberFormat="1" applyFont="1" applyFill="1" applyBorder="1" applyAlignment="1">
      <alignment vertical="center"/>
    </xf>
    <xf numFmtId="2" fontId="2" fillId="0" borderId="1" xfId="0" applyNumberFormat="1" applyFont="1" applyBorder="1" applyAlignment="1">
      <alignment horizontal="right" vertical="center"/>
    </xf>
    <xf numFmtId="0" fontId="17" fillId="0" borderId="1" xfId="0" applyFont="1" applyBorder="1" applyAlignment="1">
      <alignment horizontal="left" vertical="center"/>
    </xf>
    <xf numFmtId="166" fontId="2" fillId="0" borderId="1" xfId="0" applyNumberFormat="1" applyFont="1" applyBorder="1" applyAlignment="1">
      <alignment vertical="center"/>
    </xf>
    <xf numFmtId="0" fontId="21" fillId="2" borderId="1" xfId="0" applyFont="1" applyFill="1" applyBorder="1" applyAlignment="1">
      <alignment vertical="center"/>
    </xf>
    <xf numFmtId="3" fontId="2" fillId="0" borderId="0" xfId="0" applyNumberFormat="1" applyFont="1" applyAlignment="1">
      <alignment vertical="center"/>
    </xf>
    <xf numFmtId="4" fontId="2" fillId="0" borderId="0" xfId="0" applyNumberFormat="1" applyFont="1" applyAlignment="1">
      <alignment vertical="center"/>
    </xf>
    <xf numFmtId="0" fontId="22" fillId="0" borderId="0" xfId="0" applyFont="1" applyAlignment="1">
      <alignment vertical="top"/>
    </xf>
    <xf numFmtId="0" fontId="23" fillId="0" borderId="1" xfId="0" applyFont="1" applyBorder="1" applyAlignment="1">
      <alignment horizontal="left" vertical="center" indent="1"/>
    </xf>
    <xf numFmtId="0" fontId="2" fillId="0" borderId="9" xfId="0" applyFont="1" applyBorder="1" applyAlignment="1">
      <alignment vertical="center"/>
    </xf>
    <xf numFmtId="0" fontId="1" fillId="0" borderId="0" xfId="0" applyFont="1" applyAlignment="1">
      <alignment vertical="center"/>
    </xf>
    <xf numFmtId="172" fontId="2" fillId="0" borderId="1" xfId="0" applyNumberFormat="1" applyFont="1" applyBorder="1" applyAlignment="1">
      <alignment vertical="center"/>
    </xf>
    <xf numFmtId="0" fontId="2" fillId="0" borderId="1" xfId="0" applyFont="1" applyBorder="1" applyAlignment="1">
      <alignment vertical="center" wrapText="1"/>
    </xf>
    <xf numFmtId="165" fontId="2" fillId="0" borderId="0" xfId="0" applyNumberFormat="1" applyFont="1" applyAlignment="1">
      <alignment vertical="center"/>
    </xf>
    <xf numFmtId="0" fontId="16" fillId="0" borderId="0" xfId="0" applyFont="1" applyAlignment="1">
      <alignment vertical="center" wrapText="1"/>
    </xf>
    <xf numFmtId="4" fontId="2" fillId="0" borderId="1" xfId="0" applyNumberFormat="1" applyFont="1" applyBorder="1" applyAlignment="1">
      <alignment horizontal="right" vertical="center"/>
    </xf>
    <xf numFmtId="172" fontId="2" fillId="0" borderId="1" xfId="0" applyNumberFormat="1" applyFont="1" applyBorder="1" applyAlignment="1">
      <alignment horizontal="right" vertical="center"/>
    </xf>
    <xf numFmtId="0" fontId="19" fillId="0" borderId="0" xfId="0" applyFont="1"/>
    <xf numFmtId="0" fontId="2" fillId="0" borderId="1" xfId="0" applyFont="1" applyBorder="1" applyAlignment="1">
      <alignment horizontal="left" vertical="center" wrapText="1"/>
    </xf>
    <xf numFmtId="3" fontId="2" fillId="0" borderId="1" xfId="0" applyNumberFormat="1" applyFont="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168" fontId="2" fillId="0" borderId="1" xfId="2" applyNumberFormat="1" applyFont="1" applyBorder="1" applyAlignment="1">
      <alignment vertical="center"/>
    </xf>
    <xf numFmtId="168" fontId="0" fillId="0" borderId="0" xfId="0" applyNumberFormat="1"/>
    <xf numFmtId="166" fontId="0" fillId="0" borderId="0" xfId="1" applyNumberFormat="1" applyFont="1"/>
    <xf numFmtId="0" fontId="1" fillId="3" borderId="1" xfId="0" applyFont="1" applyFill="1" applyBorder="1" applyAlignment="1">
      <alignment vertical="center" wrapText="1"/>
    </xf>
    <xf numFmtId="0" fontId="15" fillId="0" borderId="0" xfId="3" applyAlignment="1"/>
    <xf numFmtId="166" fontId="2" fillId="0" borderId="1" xfId="1" applyNumberFormat="1" applyFont="1" applyFill="1" applyBorder="1" applyAlignment="1">
      <alignment vertical="center"/>
    </xf>
    <xf numFmtId="0" fontId="25" fillId="4" borderId="0" xfId="3" applyFont="1" applyFill="1" applyAlignment="1">
      <alignment vertical="center" wrapText="1"/>
    </xf>
    <xf numFmtId="0" fontId="0" fillId="4" borderId="0" xfId="0" applyFill="1"/>
    <xf numFmtId="0" fontId="26" fillId="4" borderId="0" xfId="0" applyFont="1" applyFill="1"/>
    <xf numFmtId="0" fontId="27" fillId="4" borderId="0" xfId="0" applyFont="1" applyFill="1"/>
    <xf numFmtId="0" fontId="28" fillId="4" borderId="0" xfId="0" applyFont="1" applyFill="1" applyAlignment="1">
      <alignment horizontal="left" vertical="center" readingOrder="1"/>
    </xf>
    <xf numFmtId="0" fontId="29" fillId="4" borderId="0" xfId="0" applyFont="1" applyFill="1" applyAlignment="1">
      <alignment horizontal="left" vertical="center" readingOrder="1"/>
    </xf>
    <xf numFmtId="0" fontId="30" fillId="4" borderId="0" xfId="0" applyFont="1" applyFill="1" applyAlignment="1">
      <alignment horizontal="left" vertical="center" readingOrder="1"/>
    </xf>
    <xf numFmtId="0" fontId="31" fillId="4" borderId="0" xfId="0" applyFont="1" applyFill="1" applyAlignment="1">
      <alignment horizontal="left" vertical="center" readingOrder="1"/>
    </xf>
    <xf numFmtId="17" fontId="28" fillId="4" borderId="0" xfId="0" applyNumberFormat="1" applyFont="1" applyFill="1" applyAlignment="1">
      <alignment horizontal="left" vertical="center" readingOrder="1"/>
    </xf>
    <xf numFmtId="0" fontId="32" fillId="0" borderId="0" xfId="0" applyFont="1"/>
    <xf numFmtId="0" fontId="32" fillId="2" borderId="1" xfId="0" applyFont="1" applyFill="1" applyBorder="1" applyAlignment="1">
      <alignment vertical="center"/>
    </xf>
    <xf numFmtId="0" fontId="32" fillId="2" borderId="1" xfId="0" applyFont="1" applyFill="1" applyBorder="1" applyAlignment="1">
      <alignment horizontal="right" vertical="center"/>
    </xf>
    <xf numFmtId="0" fontId="32" fillId="2" borderId="1" xfId="0" applyFont="1" applyFill="1" applyBorder="1" applyAlignment="1">
      <alignment vertical="center" wrapText="1"/>
    </xf>
    <xf numFmtId="0" fontId="32" fillId="2" borderId="1" xfId="0" applyFont="1" applyFill="1" applyBorder="1" applyAlignment="1">
      <alignment horizontal="right" vertical="center" wrapText="1"/>
    </xf>
    <xf numFmtId="0" fontId="32" fillId="3" borderId="1" xfId="0" applyFont="1" applyFill="1" applyBorder="1" applyAlignment="1">
      <alignment wrapText="1"/>
    </xf>
    <xf numFmtId="168" fontId="19" fillId="0" borderId="0" xfId="0" applyNumberFormat="1" applyFont="1"/>
    <xf numFmtId="9" fontId="19" fillId="0" borderId="0" xfId="0" applyNumberFormat="1" applyFont="1"/>
    <xf numFmtId="0" fontId="33" fillId="0" borderId="0" xfId="3" applyFont="1" applyAlignment="1">
      <alignment wrapText="1"/>
    </xf>
    <xf numFmtId="0" fontId="0" fillId="5" borderId="0" xfId="0" applyFill="1"/>
    <xf numFmtId="0" fontId="15" fillId="5" borderId="0" xfId="3" applyFill="1"/>
    <xf numFmtId="0" fontId="14" fillId="5" borderId="0" xfId="0" applyFont="1" applyFill="1"/>
    <xf numFmtId="0" fontId="15" fillId="5" borderId="0" xfId="3" applyFill="1" applyAlignment="1">
      <alignment wrapText="1"/>
    </xf>
    <xf numFmtId="0" fontId="35" fillId="0" borderId="0" xfId="0" applyFont="1"/>
    <xf numFmtId="0" fontId="34" fillId="5" borderId="1" xfId="0" applyFont="1" applyFill="1" applyBorder="1" applyAlignment="1">
      <alignment vertical="center"/>
    </xf>
    <xf numFmtId="0" fontId="36" fillId="4" borderId="0" xfId="0" applyFont="1" applyFill="1"/>
    <xf numFmtId="0" fontId="37" fillId="4" borderId="0" xfId="0" applyFont="1" applyFill="1"/>
    <xf numFmtId="0" fontId="38" fillId="4" borderId="0" xfId="3" applyFont="1" applyFill="1"/>
    <xf numFmtId="0" fontId="25" fillId="0" borderId="0" xfId="3" applyFont="1" applyFill="1" applyAlignment="1">
      <alignment vertical="center" wrapText="1"/>
    </xf>
    <xf numFmtId="0" fontId="39" fillId="2" borderId="1" xfId="0" applyFont="1" applyFill="1" applyBorder="1" applyAlignment="1">
      <alignment horizontal="left" vertical="center" wrapText="1"/>
    </xf>
    <xf numFmtId="0" fontId="40" fillId="0" borderId="0" xfId="0" applyFont="1" applyAlignment="1">
      <alignment vertical="top"/>
    </xf>
    <xf numFmtId="0" fontId="0" fillId="0" borderId="0" xfId="0" applyAlignment="1">
      <alignment vertical="top"/>
    </xf>
    <xf numFmtId="0" fontId="29" fillId="4" borderId="0" xfId="0" applyFont="1" applyFill="1" applyAlignment="1">
      <alignment horizontal="left" vertical="top" wrapText="1" readingOrder="1"/>
    </xf>
    <xf numFmtId="17" fontId="31" fillId="4" borderId="0" xfId="0" applyNumberFormat="1" applyFont="1" applyFill="1" applyAlignment="1">
      <alignment horizontal="left" vertical="top" wrapText="1" readingOrder="1"/>
    </xf>
    <xf numFmtId="0" fontId="31" fillId="4" borderId="0" xfId="0" applyFont="1" applyFill="1" applyAlignment="1">
      <alignment horizontal="left" vertical="center" wrapText="1" readingOrder="1"/>
    </xf>
    <xf numFmtId="0" fontId="39" fillId="2" borderId="1" xfId="0" applyFont="1" applyFill="1" applyBorder="1" applyAlignment="1">
      <alignment horizontal="left" vertical="center"/>
    </xf>
    <xf numFmtId="0" fontId="2" fillId="0" borderId="0" xfId="0" applyFont="1" applyAlignment="1">
      <alignment horizontal="left" vertical="top" wrapText="1"/>
    </xf>
    <xf numFmtId="0" fontId="5" fillId="0" borderId="0" xfId="0" applyFont="1" applyAlignment="1">
      <alignment vertical="center" wrapText="1"/>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8" fillId="0" borderId="0" xfId="0" applyFont="1"/>
    <xf numFmtId="0" fontId="5" fillId="0" borderId="0" xfId="0" applyFont="1" applyAlignment="1">
      <alignment vertical="center"/>
    </xf>
    <xf numFmtId="0" fontId="5" fillId="0" borderId="0" xfId="0" applyFont="1" applyAlignment="1">
      <alignment horizontal="right" vertical="center"/>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 fillId="2" borderId="1" xfId="0" applyFont="1" applyFill="1" applyBorder="1" applyAlignment="1">
      <alignment horizontal="center" vertical="center"/>
    </xf>
    <xf numFmtId="166" fontId="2" fillId="0" borderId="2" xfId="1" applyNumberFormat="1" applyFont="1" applyBorder="1" applyAlignment="1">
      <alignment horizontal="center" vertical="center"/>
    </xf>
    <xf numFmtId="166" fontId="2" fillId="0" borderId="1" xfId="1" applyNumberFormat="1"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cellXfs>
  <cellStyles count="4">
    <cellStyle name="Komma" xfId="1" builtinId="3"/>
    <cellStyle name="Link" xfId="3" builtinId="8"/>
    <cellStyle name="Prozent" xfId="2" builtinId="5"/>
    <cellStyle name="Standard" xfId="0" builtinId="0"/>
  </cellStyles>
  <dxfs count="0"/>
  <tableStyles count="0" defaultTableStyle="TableStyleMedium2" defaultPivotStyle="PivotStyleLight16"/>
  <colors>
    <mruColors>
      <color rgb="FF666F77"/>
      <color rgb="FFFF9900"/>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Pelletkessel (nur Anlage &amp; Installation)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2'!$D$6:$H$6</c:f>
              <c:numCache>
                <c:formatCode>General</c:formatCode>
                <c:ptCount val="5"/>
                <c:pt idx="0">
                  <c:v>10</c:v>
                </c:pt>
                <c:pt idx="1">
                  <c:v>20</c:v>
                </c:pt>
                <c:pt idx="2">
                  <c:v>30</c:v>
                </c:pt>
                <c:pt idx="3">
                  <c:v>60</c:v>
                </c:pt>
                <c:pt idx="4">
                  <c:v>110</c:v>
                </c:pt>
              </c:numCache>
            </c:numRef>
          </c:xVal>
          <c:yVal>
            <c:numRef>
              <c:f>'Tab 2'!$D$10:$H$10</c:f>
              <c:numCache>
                <c:formatCode>#,##0</c:formatCode>
                <c:ptCount val="5"/>
                <c:pt idx="0">
                  <c:v>1428</c:v>
                </c:pt>
                <c:pt idx="1">
                  <c:v>1014</c:v>
                </c:pt>
                <c:pt idx="2">
                  <c:v>801</c:v>
                </c:pt>
                <c:pt idx="3">
                  <c:v>552</c:v>
                </c:pt>
                <c:pt idx="4">
                  <c:v>414</c:v>
                </c:pt>
              </c:numCache>
            </c:numRef>
          </c:yVal>
          <c:smooth val="0"/>
          <c:extLst>
            <c:ext xmlns:c16="http://schemas.microsoft.com/office/drawing/2014/chart" uri="{C3380CC4-5D6E-409C-BE32-E72D297353CC}">
              <c16:uniqueId val="{00000001-1581-470A-9155-C8F3C8700EAF}"/>
            </c:ext>
          </c:extLst>
        </c:ser>
        <c:ser>
          <c:idx val="1"/>
          <c:order val="1"/>
          <c:tx>
            <c:strRef>
              <c:f>'Tab 2'!$C$27</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2'!$D$29:$H$29</c:f>
              <c:numCache>
                <c:formatCode>General</c:formatCode>
                <c:ptCount val="5"/>
                <c:pt idx="0">
                  <c:v>10</c:v>
                </c:pt>
                <c:pt idx="1">
                  <c:v>20</c:v>
                </c:pt>
                <c:pt idx="2">
                  <c:v>30</c:v>
                </c:pt>
                <c:pt idx="3">
                  <c:v>60</c:v>
                </c:pt>
                <c:pt idx="4">
                  <c:v>110</c:v>
                </c:pt>
              </c:numCache>
            </c:numRef>
          </c:xVal>
          <c:yVal>
            <c:numRef>
              <c:f>'Tab 2'!$D$33:$H$33</c:f>
              <c:numCache>
                <c:formatCode>#,##0</c:formatCode>
                <c:ptCount val="5"/>
                <c:pt idx="0">
                  <c:v>1428</c:v>
                </c:pt>
                <c:pt idx="1">
                  <c:v>1014</c:v>
                </c:pt>
                <c:pt idx="2">
                  <c:v>801</c:v>
                </c:pt>
                <c:pt idx="3">
                  <c:v>552</c:v>
                </c:pt>
                <c:pt idx="4">
                  <c:v>414</c:v>
                </c:pt>
              </c:numCache>
            </c:numRef>
          </c:yVal>
          <c:smooth val="0"/>
          <c:extLst xmlns:c15="http://schemas.microsoft.com/office/drawing/2012/chart">
            <c:ext xmlns:c16="http://schemas.microsoft.com/office/drawing/2014/chart" uri="{C3380CC4-5D6E-409C-BE32-E72D297353CC}">
              <c16:uniqueId val="{00000003-1581-470A-9155-C8F3C8700EAF}"/>
            </c:ext>
          </c:extLst>
        </c:ser>
        <c:ser>
          <c:idx val="2"/>
          <c:order val="2"/>
          <c:tx>
            <c:strRef>
              <c:f>'Tab 2'!$C$49</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2'!$D$51:$H$51</c:f>
              <c:numCache>
                <c:formatCode>General</c:formatCode>
                <c:ptCount val="5"/>
                <c:pt idx="0">
                  <c:v>10</c:v>
                </c:pt>
                <c:pt idx="1">
                  <c:v>20</c:v>
                </c:pt>
                <c:pt idx="2">
                  <c:v>30</c:v>
                </c:pt>
                <c:pt idx="3">
                  <c:v>60</c:v>
                </c:pt>
                <c:pt idx="4">
                  <c:v>110</c:v>
                </c:pt>
              </c:numCache>
            </c:numRef>
          </c:xVal>
          <c:yVal>
            <c:numRef>
              <c:f>'Tab 2'!$D$55:$H$55</c:f>
              <c:numCache>
                <c:formatCode>#,##0</c:formatCode>
                <c:ptCount val="5"/>
                <c:pt idx="0">
                  <c:v>1428</c:v>
                </c:pt>
                <c:pt idx="1">
                  <c:v>1014</c:v>
                </c:pt>
                <c:pt idx="2">
                  <c:v>801</c:v>
                </c:pt>
                <c:pt idx="3">
                  <c:v>552</c:v>
                </c:pt>
                <c:pt idx="4">
                  <c:v>414</c:v>
                </c:pt>
              </c:numCache>
            </c:numRef>
          </c:yVal>
          <c:smooth val="0"/>
          <c:extLst xmlns:c15="http://schemas.microsoft.com/office/drawing/2012/chart">
            <c:ext xmlns:c16="http://schemas.microsoft.com/office/drawing/2014/chart" uri="{C3380CC4-5D6E-409C-BE32-E72D297353CC}">
              <c16:uniqueId val="{00000005-1581-470A-9155-C8F3C8700EAF}"/>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Hackschnitzelkessel (nur Anlage + Installation)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3'!$D$6:$H$6</c:f>
              <c:numCache>
                <c:formatCode>General</c:formatCode>
                <c:ptCount val="5"/>
                <c:pt idx="0">
                  <c:v>20</c:v>
                </c:pt>
                <c:pt idx="1">
                  <c:v>30</c:v>
                </c:pt>
                <c:pt idx="2">
                  <c:v>40</c:v>
                </c:pt>
                <c:pt idx="3">
                  <c:v>60</c:v>
                </c:pt>
                <c:pt idx="4">
                  <c:v>110</c:v>
                </c:pt>
              </c:numCache>
            </c:numRef>
          </c:xVal>
          <c:yVal>
            <c:numRef>
              <c:f>'Tab 3'!$D$10:$H$10</c:f>
              <c:numCache>
                <c:formatCode>_-* #,##0_-;\-* #,##0_-;_-* "-"??_-;_-@_-</c:formatCode>
                <c:ptCount val="5"/>
                <c:pt idx="0">
                  <c:v>1891</c:v>
                </c:pt>
                <c:pt idx="1">
                  <c:v>1520</c:v>
                </c:pt>
                <c:pt idx="2">
                  <c:v>1109</c:v>
                </c:pt>
                <c:pt idx="3">
                  <c:v>726</c:v>
                </c:pt>
                <c:pt idx="4">
                  <c:v>414</c:v>
                </c:pt>
              </c:numCache>
            </c:numRef>
          </c:yVal>
          <c:smooth val="0"/>
          <c:extLst>
            <c:ext xmlns:c16="http://schemas.microsoft.com/office/drawing/2014/chart" uri="{C3380CC4-5D6E-409C-BE32-E72D297353CC}">
              <c16:uniqueId val="{00000001-DDB4-47D2-ADB7-AAF8B2C9163E}"/>
            </c:ext>
          </c:extLst>
        </c:ser>
        <c:dLbls>
          <c:showLegendKey val="0"/>
          <c:showVal val="0"/>
          <c:showCatName val="0"/>
          <c:showSerName val="0"/>
          <c:showPercent val="0"/>
          <c:showBubbleSize val="0"/>
        </c:dLbls>
        <c:axId val="14719936"/>
        <c:axId val="16286816"/>
        <c:extLst>
          <c:ext xmlns:c15="http://schemas.microsoft.com/office/drawing/2012/chart" uri="{02D57815-91ED-43cb-92C2-25804820EDAC}">
            <c15:filteredScatterSeries>
              <c15:ser>
                <c:idx val="1"/>
                <c:order val="1"/>
                <c:tx>
                  <c:strRef>
                    <c:extLst>
                      <c:ext uri="{02D57815-91ED-43cb-92C2-25804820EDAC}">
                        <c15:formulaRef>
                          <c15:sqref>'Tab 3'!$C$26</c15:sqref>
                        </c15:formulaRef>
                      </c:ext>
                    </c:extLst>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extLst>
                      <c:ext uri="{02D57815-91ED-43cb-92C2-25804820EDAC}">
                        <c15:formulaRef>
                          <c15:sqref>'Tab 3'!$D$28:$I$28</c15:sqref>
                        </c15:formulaRef>
                      </c:ext>
                    </c:extLst>
                    <c:numCache>
                      <c:formatCode>General</c:formatCode>
                      <c:ptCount val="6"/>
                      <c:pt idx="0">
                        <c:v>20</c:v>
                      </c:pt>
                      <c:pt idx="1">
                        <c:v>30</c:v>
                      </c:pt>
                      <c:pt idx="2">
                        <c:v>40</c:v>
                      </c:pt>
                      <c:pt idx="3">
                        <c:v>60</c:v>
                      </c:pt>
                      <c:pt idx="4">
                        <c:v>110</c:v>
                      </c:pt>
                    </c:numCache>
                  </c:numRef>
                </c:xVal>
                <c:yVal>
                  <c:numRef>
                    <c:extLst>
                      <c:ext uri="{02D57815-91ED-43cb-92C2-25804820EDAC}">
                        <c15:formulaRef>
                          <c15:sqref>'Tab 3'!$D$32:$I$32</c15:sqref>
                        </c15:formulaRef>
                      </c:ext>
                    </c:extLst>
                    <c:numCache>
                      <c:formatCode>_-* #,##0_-;\-* #,##0_-;_-* "-"??_-;_-@_-</c:formatCode>
                      <c:ptCount val="6"/>
                      <c:pt idx="0">
                        <c:v>1891</c:v>
                      </c:pt>
                      <c:pt idx="1">
                        <c:v>1520</c:v>
                      </c:pt>
                      <c:pt idx="2">
                        <c:v>1109</c:v>
                      </c:pt>
                      <c:pt idx="3">
                        <c:v>726</c:v>
                      </c:pt>
                      <c:pt idx="4">
                        <c:v>414</c:v>
                      </c:pt>
                      <c:pt idx="5" formatCode="0%">
                        <c:v>0.2</c:v>
                      </c:pt>
                    </c:numCache>
                  </c:numRef>
                </c:yVal>
                <c:smooth val="0"/>
                <c:extLst>
                  <c:ext xmlns:c16="http://schemas.microsoft.com/office/drawing/2014/chart" uri="{C3380CC4-5D6E-409C-BE32-E72D297353CC}">
                    <c16:uniqueId val="{00000003-DDB4-47D2-ADB7-AAF8B2C9163E}"/>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'Tab 3'!$C$48</c15:sqref>
                        </c15:formulaRef>
                      </c:ext>
                    </c:extLst>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extLst xmlns:c15="http://schemas.microsoft.com/office/drawing/2012/chart">
                      <c:ext xmlns:c15="http://schemas.microsoft.com/office/drawing/2012/chart" uri="{02D57815-91ED-43cb-92C2-25804820EDAC}">
                        <c15:formulaRef>
                          <c15:sqref>'Tab 3'!$D$50:$I$50</c15:sqref>
                        </c15:formulaRef>
                      </c:ext>
                    </c:extLst>
                    <c:numCache>
                      <c:formatCode>General</c:formatCode>
                      <c:ptCount val="6"/>
                      <c:pt idx="0">
                        <c:v>20</c:v>
                      </c:pt>
                      <c:pt idx="1">
                        <c:v>30</c:v>
                      </c:pt>
                      <c:pt idx="2">
                        <c:v>40</c:v>
                      </c:pt>
                      <c:pt idx="3">
                        <c:v>60</c:v>
                      </c:pt>
                      <c:pt idx="4">
                        <c:v>110</c:v>
                      </c:pt>
                    </c:numCache>
                  </c:numRef>
                </c:xVal>
                <c:yVal>
                  <c:numRef>
                    <c:extLst xmlns:c15="http://schemas.microsoft.com/office/drawing/2012/chart">
                      <c:ext xmlns:c15="http://schemas.microsoft.com/office/drawing/2012/chart" uri="{02D57815-91ED-43cb-92C2-25804820EDAC}">
                        <c15:formulaRef>
                          <c15:sqref>'Tab 3'!$D$54:$I$54</c15:sqref>
                        </c15:formulaRef>
                      </c:ext>
                    </c:extLst>
                    <c:numCache>
                      <c:formatCode>_-* #,##0_-;\-* #,##0_-;_-* "-"??_-;_-@_-</c:formatCode>
                      <c:ptCount val="6"/>
                      <c:pt idx="0">
                        <c:v>1891</c:v>
                      </c:pt>
                      <c:pt idx="1">
                        <c:v>1520</c:v>
                      </c:pt>
                      <c:pt idx="2">
                        <c:v>1109</c:v>
                      </c:pt>
                      <c:pt idx="3">
                        <c:v>726</c:v>
                      </c:pt>
                      <c:pt idx="4">
                        <c:v>414</c:v>
                      </c:pt>
                      <c:pt idx="5" formatCode="0%">
                        <c:v>0.25</c:v>
                      </c:pt>
                    </c:numCache>
                  </c:numRef>
                </c:yVal>
                <c:smooth val="0"/>
                <c:extLst xmlns:c15="http://schemas.microsoft.com/office/drawing/2012/chart">
                  <c:ext xmlns:c16="http://schemas.microsoft.com/office/drawing/2014/chart" uri="{C3380CC4-5D6E-409C-BE32-E72D297353CC}">
                    <c16:uniqueId val="{00000005-DDB4-47D2-ADB7-AAF8B2C9163E}"/>
                  </c:ext>
                </c:extLst>
              </c15:ser>
            </c15:filteredScatterSeries>
          </c:ext>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Gas BW-Kessel (bis 60kW)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4'!$D$6:$G$6</c:f>
              <c:numCache>
                <c:formatCode>General</c:formatCode>
                <c:ptCount val="4"/>
                <c:pt idx="0">
                  <c:v>10</c:v>
                </c:pt>
                <c:pt idx="1">
                  <c:v>20</c:v>
                </c:pt>
                <c:pt idx="2">
                  <c:v>30</c:v>
                </c:pt>
                <c:pt idx="3">
                  <c:v>60</c:v>
                </c:pt>
              </c:numCache>
            </c:numRef>
          </c:xVal>
          <c:yVal>
            <c:numRef>
              <c:f>'Tab 4'!$D$11:$G$11</c:f>
              <c:numCache>
                <c:formatCode>0</c:formatCode>
                <c:ptCount val="4"/>
                <c:pt idx="0">
                  <c:v>709</c:v>
                </c:pt>
                <c:pt idx="1">
                  <c:v>354</c:v>
                </c:pt>
                <c:pt idx="2">
                  <c:v>245</c:v>
                </c:pt>
                <c:pt idx="3">
                  <c:v>165</c:v>
                </c:pt>
              </c:numCache>
            </c:numRef>
          </c:yVal>
          <c:smooth val="0"/>
          <c:extLst>
            <c:ext xmlns:c16="http://schemas.microsoft.com/office/drawing/2014/chart" uri="{C3380CC4-5D6E-409C-BE32-E72D297353CC}">
              <c16:uniqueId val="{00000001-4A3D-41F7-80E0-2E23C8B14CDA}"/>
            </c:ext>
          </c:extLst>
        </c:ser>
        <c:ser>
          <c:idx val="2"/>
          <c:order val="2"/>
          <c:tx>
            <c:strRef>
              <c:f>'Tab 4'!$C$48</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4'!$D$50:$G$50</c:f>
              <c:numCache>
                <c:formatCode>General</c:formatCode>
                <c:ptCount val="4"/>
                <c:pt idx="0">
                  <c:v>10</c:v>
                </c:pt>
                <c:pt idx="1">
                  <c:v>20</c:v>
                </c:pt>
                <c:pt idx="2">
                  <c:v>30</c:v>
                </c:pt>
                <c:pt idx="3">
                  <c:v>60</c:v>
                </c:pt>
              </c:numCache>
            </c:numRef>
          </c:xVal>
          <c:yVal>
            <c:numRef>
              <c:f>'Tab 4'!$D$55:$G$55</c:f>
              <c:numCache>
                <c:formatCode>0</c:formatCode>
                <c:ptCount val="4"/>
                <c:pt idx="0">
                  <c:v>709</c:v>
                </c:pt>
                <c:pt idx="1">
                  <c:v>354</c:v>
                </c:pt>
                <c:pt idx="2">
                  <c:v>245</c:v>
                </c:pt>
                <c:pt idx="3">
                  <c:v>165</c:v>
                </c:pt>
              </c:numCache>
            </c:numRef>
          </c:yVal>
          <c:smooth val="0"/>
          <c:extLst>
            <c:ext xmlns:c16="http://schemas.microsoft.com/office/drawing/2014/chart" uri="{C3380CC4-5D6E-409C-BE32-E72D297353CC}">
              <c16:uniqueId val="{00000003-4A3D-41F7-80E0-2E23C8B14CDA}"/>
            </c:ext>
          </c:extLst>
        </c:ser>
        <c:dLbls>
          <c:showLegendKey val="0"/>
          <c:showVal val="0"/>
          <c:showCatName val="0"/>
          <c:showSerName val="0"/>
          <c:showPercent val="0"/>
          <c:showBubbleSize val="0"/>
        </c:dLbls>
        <c:axId val="14719936"/>
        <c:axId val="16286816"/>
        <c:extLst>
          <c:ext xmlns:c15="http://schemas.microsoft.com/office/drawing/2012/chart" uri="{02D57815-91ED-43cb-92C2-25804820EDAC}">
            <c15:filteredScatterSeries>
              <c15:ser>
                <c:idx val="1"/>
                <c:order val="1"/>
                <c:tx>
                  <c:strRef>
                    <c:extLst>
                      <c:ext uri="{02D57815-91ED-43cb-92C2-25804820EDAC}">
                        <c15:formulaRef>
                          <c15:sqref>'Tab 4'!$C$26</c15:sqref>
                        </c15:formulaRef>
                      </c:ext>
                    </c:extLst>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extLst>
                      <c:ext uri="{02D57815-91ED-43cb-92C2-25804820EDAC}">
                        <c15:formulaRef>
                          <c15:sqref>'Tab 4'!$D$28:$G$28</c15:sqref>
                        </c15:formulaRef>
                      </c:ext>
                    </c:extLst>
                    <c:numCache>
                      <c:formatCode>General</c:formatCode>
                      <c:ptCount val="4"/>
                      <c:pt idx="0">
                        <c:v>10</c:v>
                      </c:pt>
                      <c:pt idx="1">
                        <c:v>20</c:v>
                      </c:pt>
                      <c:pt idx="2">
                        <c:v>30</c:v>
                      </c:pt>
                      <c:pt idx="3">
                        <c:v>60</c:v>
                      </c:pt>
                    </c:numCache>
                  </c:numRef>
                </c:xVal>
                <c:yVal>
                  <c:numRef>
                    <c:extLst>
                      <c:ext uri="{02D57815-91ED-43cb-92C2-25804820EDAC}">
                        <c15:formulaRef>
                          <c15:sqref>'Tab 4'!$D$33:$G$33</c15:sqref>
                        </c15:formulaRef>
                      </c:ext>
                    </c:extLst>
                    <c:numCache>
                      <c:formatCode>0</c:formatCode>
                      <c:ptCount val="4"/>
                      <c:pt idx="0">
                        <c:v>709</c:v>
                      </c:pt>
                      <c:pt idx="1">
                        <c:v>354</c:v>
                      </c:pt>
                      <c:pt idx="2">
                        <c:v>245</c:v>
                      </c:pt>
                      <c:pt idx="3">
                        <c:v>165</c:v>
                      </c:pt>
                    </c:numCache>
                  </c:numRef>
                </c:yVal>
                <c:smooth val="0"/>
                <c:extLst>
                  <c:ext xmlns:c16="http://schemas.microsoft.com/office/drawing/2014/chart" uri="{C3380CC4-5D6E-409C-BE32-E72D297353CC}">
                    <c16:uniqueId val="{00000005-4A3D-41F7-80E0-2E23C8B14CDA}"/>
                  </c:ext>
                </c:extLst>
              </c15:ser>
            </c15:filteredScatterSeries>
          </c:ext>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Heizölkessel</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5'!$C$4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8.0258911154460016E-2"/>
                  <c:y val="3.467966229277619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5'!$D$6:$H$6</c:f>
              <c:numCache>
                <c:formatCode>General</c:formatCode>
                <c:ptCount val="5"/>
                <c:pt idx="0">
                  <c:v>10</c:v>
                </c:pt>
                <c:pt idx="1">
                  <c:v>20</c:v>
                </c:pt>
                <c:pt idx="2">
                  <c:v>30</c:v>
                </c:pt>
                <c:pt idx="3">
                  <c:v>60</c:v>
                </c:pt>
                <c:pt idx="4">
                  <c:v>110</c:v>
                </c:pt>
              </c:numCache>
            </c:numRef>
          </c:xVal>
          <c:yVal>
            <c:numRef>
              <c:f>'Tab 5'!$D$10:$H$10</c:f>
              <c:numCache>
                <c:formatCode>0</c:formatCode>
                <c:ptCount val="5"/>
                <c:pt idx="0">
                  <c:v>779</c:v>
                </c:pt>
                <c:pt idx="1">
                  <c:v>390</c:v>
                </c:pt>
                <c:pt idx="2">
                  <c:v>270</c:v>
                </c:pt>
                <c:pt idx="3">
                  <c:v>181</c:v>
                </c:pt>
                <c:pt idx="4">
                  <c:v>178</c:v>
                </c:pt>
              </c:numCache>
            </c:numRef>
          </c:yVal>
          <c:smooth val="0"/>
          <c:extLst>
            <c:ext xmlns:c16="http://schemas.microsoft.com/office/drawing/2014/chart" uri="{C3380CC4-5D6E-409C-BE32-E72D297353CC}">
              <c16:uniqueId val="{00000001-96F9-415D-84F9-B9CC71C72C78}"/>
            </c:ext>
          </c:extLst>
        </c:ser>
        <c:ser>
          <c:idx val="1"/>
          <c:order val="1"/>
          <c:tx>
            <c:strRef>
              <c:f>'Tab 5'!$C$25</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6.8119503875322077E-2"/>
                  <c:y val="-0.118752716747889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5'!$D$27:$H$27</c:f>
              <c:numCache>
                <c:formatCode>General</c:formatCode>
                <c:ptCount val="5"/>
                <c:pt idx="0">
                  <c:v>10</c:v>
                </c:pt>
                <c:pt idx="1">
                  <c:v>20</c:v>
                </c:pt>
                <c:pt idx="2">
                  <c:v>30</c:v>
                </c:pt>
                <c:pt idx="3">
                  <c:v>60</c:v>
                </c:pt>
                <c:pt idx="4">
                  <c:v>110</c:v>
                </c:pt>
              </c:numCache>
            </c:numRef>
          </c:xVal>
          <c:yVal>
            <c:numRef>
              <c:f>'Tab 5'!$D$31:$H$31</c:f>
              <c:numCache>
                <c:formatCode>0</c:formatCode>
                <c:ptCount val="5"/>
                <c:pt idx="0">
                  <c:v>779</c:v>
                </c:pt>
                <c:pt idx="1">
                  <c:v>390</c:v>
                </c:pt>
                <c:pt idx="2">
                  <c:v>270</c:v>
                </c:pt>
                <c:pt idx="3">
                  <c:v>181</c:v>
                </c:pt>
                <c:pt idx="4">
                  <c:v>178</c:v>
                </c:pt>
              </c:numCache>
            </c:numRef>
          </c:yVal>
          <c:smooth val="0"/>
          <c:extLst>
            <c:ext xmlns:c16="http://schemas.microsoft.com/office/drawing/2014/chart" uri="{C3380CC4-5D6E-409C-BE32-E72D297353CC}">
              <c16:uniqueId val="{00000003-96F9-415D-84F9-B9CC71C72C78}"/>
            </c:ext>
          </c:extLst>
        </c:ser>
        <c:ser>
          <c:idx val="2"/>
          <c:order val="2"/>
          <c:tx>
            <c:strRef>
              <c:f>'Tab 5'!$C$47</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8.5558140262666518E-2"/>
                  <c:y val="-0.2354861167556640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5'!$D$49:$H$49</c:f>
              <c:numCache>
                <c:formatCode>General</c:formatCode>
                <c:ptCount val="5"/>
                <c:pt idx="0">
                  <c:v>10</c:v>
                </c:pt>
                <c:pt idx="1">
                  <c:v>20</c:v>
                </c:pt>
                <c:pt idx="2">
                  <c:v>30</c:v>
                </c:pt>
                <c:pt idx="3">
                  <c:v>60</c:v>
                </c:pt>
                <c:pt idx="4">
                  <c:v>110</c:v>
                </c:pt>
              </c:numCache>
            </c:numRef>
          </c:xVal>
          <c:yVal>
            <c:numRef>
              <c:f>'Tab 5'!$D$53:$H$53</c:f>
              <c:numCache>
                <c:formatCode>0</c:formatCode>
                <c:ptCount val="5"/>
                <c:pt idx="0">
                  <c:v>779</c:v>
                </c:pt>
                <c:pt idx="1">
                  <c:v>390</c:v>
                </c:pt>
                <c:pt idx="2">
                  <c:v>270</c:v>
                </c:pt>
                <c:pt idx="3">
                  <c:v>181</c:v>
                </c:pt>
                <c:pt idx="4">
                  <c:v>178</c:v>
                </c:pt>
              </c:numCache>
            </c:numRef>
          </c:yVal>
          <c:smooth val="0"/>
          <c:extLst>
            <c:ext xmlns:c16="http://schemas.microsoft.com/office/drawing/2014/chart" uri="{C3380CC4-5D6E-409C-BE32-E72D297353CC}">
              <c16:uniqueId val="{00000005-96F9-415D-84F9-B9CC71C72C78}"/>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Wasserstoff Kessel (bis 60kW)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6'!$D$6:$G$6</c:f>
              <c:numCache>
                <c:formatCode>General</c:formatCode>
                <c:ptCount val="4"/>
                <c:pt idx="0">
                  <c:v>10</c:v>
                </c:pt>
                <c:pt idx="1">
                  <c:v>20</c:v>
                </c:pt>
                <c:pt idx="2">
                  <c:v>30</c:v>
                </c:pt>
                <c:pt idx="3">
                  <c:v>60</c:v>
                </c:pt>
              </c:numCache>
            </c:numRef>
          </c:xVal>
          <c:yVal>
            <c:numRef>
              <c:f>'Tab 6'!$D$11:$G$11</c:f>
              <c:numCache>
                <c:formatCode>0</c:formatCode>
                <c:ptCount val="4"/>
                <c:pt idx="0">
                  <c:v>779</c:v>
                </c:pt>
                <c:pt idx="1">
                  <c:v>390</c:v>
                </c:pt>
                <c:pt idx="2">
                  <c:v>270</c:v>
                </c:pt>
                <c:pt idx="3">
                  <c:v>181</c:v>
                </c:pt>
              </c:numCache>
            </c:numRef>
          </c:yVal>
          <c:smooth val="0"/>
          <c:extLst>
            <c:ext xmlns:c16="http://schemas.microsoft.com/office/drawing/2014/chart" uri="{C3380CC4-5D6E-409C-BE32-E72D297353CC}">
              <c16:uniqueId val="{00000001-46D1-4856-854F-4E066816A683}"/>
            </c:ext>
          </c:extLst>
        </c:ser>
        <c:dLbls>
          <c:showLegendKey val="0"/>
          <c:showVal val="0"/>
          <c:showCatName val="0"/>
          <c:showSerName val="0"/>
          <c:showPercent val="0"/>
          <c:showBubbleSize val="0"/>
        </c:dLbls>
        <c:axId val="14719936"/>
        <c:axId val="16286816"/>
        <c:extLst>
          <c:ext xmlns:c15="http://schemas.microsoft.com/office/drawing/2012/chart" uri="{02D57815-91ED-43cb-92C2-25804820EDAC}">
            <c15:filteredScatterSeries>
              <c15:ser>
                <c:idx val="1"/>
                <c:order val="1"/>
                <c:tx>
                  <c:strRef>
                    <c:extLst>
                      <c:ext uri="{02D57815-91ED-43cb-92C2-25804820EDAC}">
                        <c15:formulaRef>
                          <c15:sqref>'Tab 6'!$C$26</c15:sqref>
                        </c15:formulaRef>
                      </c:ext>
                    </c:extLst>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extLst>
                      <c:ext uri="{02D57815-91ED-43cb-92C2-25804820EDAC}">
                        <c15:formulaRef>
                          <c15:sqref>'Tab 6'!$D$28:$G$28</c15:sqref>
                        </c15:formulaRef>
                      </c:ext>
                    </c:extLst>
                    <c:numCache>
                      <c:formatCode>General</c:formatCode>
                      <c:ptCount val="4"/>
                      <c:pt idx="0">
                        <c:v>10</c:v>
                      </c:pt>
                      <c:pt idx="1">
                        <c:v>20</c:v>
                      </c:pt>
                      <c:pt idx="2">
                        <c:v>30</c:v>
                      </c:pt>
                      <c:pt idx="3">
                        <c:v>60</c:v>
                      </c:pt>
                    </c:numCache>
                  </c:numRef>
                </c:xVal>
                <c:yVal>
                  <c:numRef>
                    <c:extLst>
                      <c:ext uri="{02D57815-91ED-43cb-92C2-25804820EDAC}">
                        <c15:formulaRef>
                          <c15:sqref>'Tab 6'!$D$33:$G$33</c15:sqref>
                        </c15:formulaRef>
                      </c:ext>
                    </c:extLst>
                    <c:numCache>
                      <c:formatCode>0</c:formatCode>
                      <c:ptCount val="4"/>
                      <c:pt idx="0">
                        <c:v>779</c:v>
                      </c:pt>
                      <c:pt idx="1">
                        <c:v>390</c:v>
                      </c:pt>
                      <c:pt idx="2">
                        <c:v>270</c:v>
                      </c:pt>
                      <c:pt idx="3">
                        <c:v>181</c:v>
                      </c:pt>
                    </c:numCache>
                  </c:numRef>
                </c:yVal>
                <c:smooth val="0"/>
                <c:extLst>
                  <c:ext xmlns:c16="http://schemas.microsoft.com/office/drawing/2014/chart" uri="{C3380CC4-5D6E-409C-BE32-E72D297353CC}">
                    <c16:uniqueId val="{00000003-46D1-4856-854F-4E066816A683}"/>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'Tab 6'!$C$48</c15:sqref>
                        </c15:formulaRef>
                      </c:ext>
                    </c:extLst>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extLst xmlns:c15="http://schemas.microsoft.com/office/drawing/2012/chart">
                      <c:ext xmlns:c15="http://schemas.microsoft.com/office/drawing/2012/chart" uri="{02D57815-91ED-43cb-92C2-25804820EDAC}">
                        <c15:formulaRef>
                          <c15:sqref>'Tab 6'!$D$50:$G$50</c15:sqref>
                        </c15:formulaRef>
                      </c:ext>
                    </c:extLst>
                    <c:numCache>
                      <c:formatCode>General</c:formatCode>
                      <c:ptCount val="4"/>
                      <c:pt idx="0">
                        <c:v>10</c:v>
                      </c:pt>
                      <c:pt idx="1">
                        <c:v>20</c:v>
                      </c:pt>
                      <c:pt idx="2">
                        <c:v>30</c:v>
                      </c:pt>
                      <c:pt idx="3">
                        <c:v>60</c:v>
                      </c:pt>
                    </c:numCache>
                  </c:numRef>
                </c:xVal>
                <c:yVal>
                  <c:numRef>
                    <c:extLst xmlns:c15="http://schemas.microsoft.com/office/drawing/2012/chart">
                      <c:ext xmlns:c15="http://schemas.microsoft.com/office/drawing/2012/chart" uri="{02D57815-91ED-43cb-92C2-25804820EDAC}">
                        <c15:formulaRef>
                          <c15:sqref>'Tab 6'!$D$55:$G$55</c15:sqref>
                        </c15:formulaRef>
                      </c:ext>
                    </c:extLst>
                    <c:numCache>
                      <c:formatCode>0</c:formatCode>
                      <c:ptCount val="4"/>
                      <c:pt idx="0">
                        <c:v>779</c:v>
                      </c:pt>
                      <c:pt idx="1">
                        <c:v>390</c:v>
                      </c:pt>
                      <c:pt idx="2">
                        <c:v>270</c:v>
                      </c:pt>
                      <c:pt idx="3">
                        <c:v>181</c:v>
                      </c:pt>
                    </c:numCache>
                  </c:numRef>
                </c:yVal>
                <c:smooth val="0"/>
                <c:extLst xmlns:c15="http://schemas.microsoft.com/office/drawing/2012/chart">
                  <c:ext xmlns:c16="http://schemas.microsoft.com/office/drawing/2014/chart" uri="{C3380CC4-5D6E-409C-BE32-E72D297353CC}">
                    <c16:uniqueId val="{00000005-46D1-4856-854F-4E066816A683}"/>
                  </c:ext>
                </c:extLst>
              </c15:ser>
            </c15:filteredScatterSeries>
          </c:ext>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Solarthermie Röhrenkollektor</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7'!$D$6:$G$6</c:f>
              <c:numCache>
                <c:formatCode>General</c:formatCode>
                <c:ptCount val="4"/>
                <c:pt idx="0">
                  <c:v>4.2</c:v>
                </c:pt>
                <c:pt idx="1">
                  <c:v>10</c:v>
                </c:pt>
                <c:pt idx="2">
                  <c:v>20</c:v>
                </c:pt>
                <c:pt idx="3">
                  <c:v>140</c:v>
                </c:pt>
              </c:numCache>
            </c:numRef>
          </c:xVal>
          <c:yVal>
            <c:numRef>
              <c:f>'Tab 7'!$D$11:$G$11</c:f>
              <c:numCache>
                <c:formatCode>_-* #,##0_-;\-* #,##0_-;_-* "-"??_-;_-@_-</c:formatCode>
                <c:ptCount val="4"/>
                <c:pt idx="0">
                  <c:v>1089</c:v>
                </c:pt>
                <c:pt idx="1">
                  <c:v>995</c:v>
                </c:pt>
                <c:pt idx="2">
                  <c:v>930</c:v>
                </c:pt>
                <c:pt idx="3">
                  <c:v>772</c:v>
                </c:pt>
              </c:numCache>
            </c:numRef>
          </c:yVal>
          <c:smooth val="0"/>
          <c:extLst>
            <c:ext xmlns:c16="http://schemas.microsoft.com/office/drawing/2014/chart" uri="{C3380CC4-5D6E-409C-BE32-E72D297353CC}">
              <c16:uniqueId val="{00000001-6884-4561-966D-429CCD920F06}"/>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Solarthermie Flachkollektor</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2023/2040/2050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8'!$D$6:$G$6</c:f>
              <c:numCache>
                <c:formatCode>General</c:formatCode>
                <c:ptCount val="4"/>
                <c:pt idx="0">
                  <c:v>4</c:v>
                </c:pt>
                <c:pt idx="1">
                  <c:v>10</c:v>
                </c:pt>
                <c:pt idx="2">
                  <c:v>20</c:v>
                </c:pt>
                <c:pt idx="3">
                  <c:v>140</c:v>
                </c:pt>
              </c:numCache>
            </c:numRef>
          </c:xVal>
          <c:yVal>
            <c:numRef>
              <c:f>'Tab 8'!$D$11:$G$11</c:f>
              <c:numCache>
                <c:formatCode>0</c:formatCode>
                <c:ptCount val="4"/>
                <c:pt idx="0">
                  <c:v>990</c:v>
                </c:pt>
                <c:pt idx="1">
                  <c:v>904</c:v>
                </c:pt>
                <c:pt idx="2">
                  <c:v>846</c:v>
                </c:pt>
                <c:pt idx="3">
                  <c:v>702</c:v>
                </c:pt>
              </c:numCache>
            </c:numRef>
          </c:yVal>
          <c:smooth val="0"/>
          <c:extLst>
            <c:ext xmlns:c16="http://schemas.microsoft.com/office/drawing/2014/chart" uri="{C3380CC4-5D6E-409C-BE32-E72D297353CC}">
              <c16:uniqueId val="{00000001-B864-4DAF-8CFA-BD81D2C8FFE2}"/>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[kW_th]</a:t>
                </a:r>
              </a:p>
            </c:rich>
          </c:tx>
          <c:layout>
            <c:manualLayout>
              <c:xMode val="edge"/>
              <c:yMode val="edge"/>
              <c:x val="0.31978323232112499"/>
              <c:y val="0.883563515373944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Stromdirektheizung</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9'!$D$6:$G$6</c:f>
              <c:numCache>
                <c:formatCode>General</c:formatCode>
                <c:ptCount val="4"/>
                <c:pt idx="0">
                  <c:v>2</c:v>
                </c:pt>
                <c:pt idx="1">
                  <c:v>5</c:v>
                </c:pt>
                <c:pt idx="2">
                  <c:v>10</c:v>
                </c:pt>
                <c:pt idx="3">
                  <c:v>20</c:v>
                </c:pt>
              </c:numCache>
            </c:numRef>
          </c:xVal>
          <c:yVal>
            <c:numRef>
              <c:f>'Tab 9'!$D$10:$G$10</c:f>
              <c:numCache>
                <c:formatCode>0</c:formatCode>
                <c:ptCount val="4"/>
                <c:pt idx="0">
                  <c:v>856</c:v>
                </c:pt>
                <c:pt idx="1">
                  <c:v>695</c:v>
                </c:pt>
                <c:pt idx="2">
                  <c:v>594</c:v>
                </c:pt>
                <c:pt idx="3">
                  <c:v>508</c:v>
                </c:pt>
              </c:numCache>
            </c:numRef>
          </c:yVal>
          <c:smooth val="0"/>
          <c:extLst>
            <c:ext xmlns:c16="http://schemas.microsoft.com/office/drawing/2014/chart" uri="{C3380CC4-5D6E-409C-BE32-E72D297353CC}">
              <c16:uniqueId val="{00000001-E3C9-4ADD-9833-12CF16650E9A}"/>
            </c:ext>
          </c:extLst>
        </c:ser>
        <c:dLbls>
          <c:showLegendKey val="0"/>
          <c:showVal val="0"/>
          <c:showCatName val="0"/>
          <c:showSerName val="0"/>
          <c:showPercent val="0"/>
          <c:showBubbleSize val="0"/>
        </c:dLbls>
        <c:axId val="14719936"/>
        <c:axId val="16286816"/>
        <c:extLst>
          <c:ext xmlns:c15="http://schemas.microsoft.com/office/drawing/2012/chart" uri="{02D57815-91ED-43cb-92C2-25804820EDAC}">
            <c15:filteredScatterSeries>
              <c15:ser>
                <c:idx val="1"/>
                <c:order val="1"/>
                <c:tx>
                  <c:strRef>
                    <c:extLst>
                      <c:ext uri="{02D57815-91ED-43cb-92C2-25804820EDAC}">
                        <c15:formulaRef>
                          <c15:sqref>'Tab 9'!$C$21</c15:sqref>
                        </c15:formulaRef>
                      </c:ext>
                    </c:extLst>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extLst>
                      <c:ext uri="{02D57815-91ED-43cb-92C2-25804820EDAC}">
                        <c15:formulaRef>
                          <c15:sqref>'Tab 9'!$D$23:$G$23</c15:sqref>
                        </c15:formulaRef>
                      </c:ext>
                    </c:extLst>
                    <c:numCache>
                      <c:formatCode>General</c:formatCode>
                      <c:ptCount val="4"/>
                      <c:pt idx="0">
                        <c:v>2</c:v>
                      </c:pt>
                      <c:pt idx="1">
                        <c:v>5</c:v>
                      </c:pt>
                      <c:pt idx="2">
                        <c:v>10</c:v>
                      </c:pt>
                      <c:pt idx="3">
                        <c:v>20</c:v>
                      </c:pt>
                    </c:numCache>
                  </c:numRef>
                </c:xVal>
                <c:yVal>
                  <c:numRef>
                    <c:extLst>
                      <c:ext uri="{02D57815-91ED-43cb-92C2-25804820EDAC}">
                        <c15:formulaRef>
                          <c15:sqref>'Tab 9'!$D$27:$G$27</c15:sqref>
                        </c15:formulaRef>
                      </c:ext>
                    </c:extLst>
                    <c:numCache>
                      <c:formatCode>0</c:formatCode>
                      <c:ptCount val="4"/>
                      <c:pt idx="0">
                        <c:v>856</c:v>
                      </c:pt>
                      <c:pt idx="1">
                        <c:v>695</c:v>
                      </c:pt>
                      <c:pt idx="2">
                        <c:v>594</c:v>
                      </c:pt>
                      <c:pt idx="3">
                        <c:v>508</c:v>
                      </c:pt>
                    </c:numCache>
                  </c:numRef>
                </c:yVal>
                <c:smooth val="0"/>
                <c:extLst>
                  <c:ext xmlns:c16="http://schemas.microsoft.com/office/drawing/2014/chart" uri="{C3380CC4-5D6E-409C-BE32-E72D297353CC}">
                    <c16:uniqueId val="{00000003-E3C9-4ADD-9833-12CF16650E9A}"/>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'Tab 9'!$C$38</c15:sqref>
                        </c15:formulaRef>
                      </c:ext>
                    </c:extLst>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extLst xmlns:c15="http://schemas.microsoft.com/office/drawing/2012/chart">
                      <c:ext xmlns:c15="http://schemas.microsoft.com/office/drawing/2012/chart" uri="{02D57815-91ED-43cb-92C2-25804820EDAC}">
                        <c15:formulaRef>
                          <c15:sqref>'Tab 9'!$D$40:$G$40</c15:sqref>
                        </c15:formulaRef>
                      </c:ext>
                    </c:extLst>
                    <c:numCache>
                      <c:formatCode>General</c:formatCode>
                      <c:ptCount val="4"/>
                      <c:pt idx="0">
                        <c:v>2</c:v>
                      </c:pt>
                      <c:pt idx="1">
                        <c:v>5</c:v>
                      </c:pt>
                      <c:pt idx="2">
                        <c:v>10</c:v>
                      </c:pt>
                      <c:pt idx="3">
                        <c:v>20</c:v>
                      </c:pt>
                    </c:numCache>
                  </c:numRef>
                </c:xVal>
                <c:yVal>
                  <c:numRef>
                    <c:extLst xmlns:c15="http://schemas.microsoft.com/office/drawing/2012/chart">
                      <c:ext xmlns:c15="http://schemas.microsoft.com/office/drawing/2012/chart" uri="{02D57815-91ED-43cb-92C2-25804820EDAC}">
                        <c15:formulaRef>
                          <c15:sqref>'Tab 9'!$D$44:$G$44</c15:sqref>
                        </c15:formulaRef>
                      </c:ext>
                    </c:extLst>
                    <c:numCache>
                      <c:formatCode>0</c:formatCode>
                      <c:ptCount val="4"/>
                      <c:pt idx="0">
                        <c:v>856</c:v>
                      </c:pt>
                      <c:pt idx="1">
                        <c:v>695</c:v>
                      </c:pt>
                      <c:pt idx="2">
                        <c:v>594</c:v>
                      </c:pt>
                      <c:pt idx="3">
                        <c:v>508</c:v>
                      </c:pt>
                    </c:numCache>
                  </c:numRef>
                </c:yVal>
                <c:smooth val="0"/>
                <c:extLst xmlns:c15="http://schemas.microsoft.com/office/drawing/2012/chart">
                  <c:ext xmlns:c16="http://schemas.microsoft.com/office/drawing/2014/chart" uri="{C3380CC4-5D6E-409C-BE32-E72D297353CC}">
                    <c16:uniqueId val="{00000005-E3C9-4ADD-9833-12CF16650E9A}"/>
                  </c:ext>
                </c:extLst>
              </c15:ser>
            </c15:filteredScatterSeries>
          </c:ext>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Luft-Wasser-Wärmepumpe (nur Anlage &amp; Installation)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10'!$C$4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400941261652642E-2"/>
                  <c:y val="-0.121646400757282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10'!$D$6:$H$6</c:f>
              <c:numCache>
                <c:formatCode>General</c:formatCode>
                <c:ptCount val="5"/>
                <c:pt idx="0">
                  <c:v>5</c:v>
                </c:pt>
                <c:pt idx="1">
                  <c:v>10</c:v>
                </c:pt>
                <c:pt idx="2">
                  <c:v>20</c:v>
                </c:pt>
                <c:pt idx="3">
                  <c:v>30</c:v>
                </c:pt>
                <c:pt idx="4">
                  <c:v>40</c:v>
                </c:pt>
              </c:numCache>
            </c:numRef>
          </c:xVal>
          <c:yVal>
            <c:numRef>
              <c:f>'Tab 10'!$D$12:$H$12</c:f>
              <c:numCache>
                <c:formatCode>_-* #,##0_-;\-* #,##0_-;_-* "-"??_-;_-@_-</c:formatCode>
                <c:ptCount val="5"/>
                <c:pt idx="0">
                  <c:v>2288</c:v>
                </c:pt>
                <c:pt idx="1">
                  <c:v>1982</c:v>
                </c:pt>
                <c:pt idx="2">
                  <c:v>1717</c:v>
                </c:pt>
                <c:pt idx="3">
                  <c:v>1381</c:v>
                </c:pt>
                <c:pt idx="4">
                  <c:v>1226</c:v>
                </c:pt>
              </c:numCache>
            </c:numRef>
          </c:yVal>
          <c:smooth val="0"/>
          <c:extLst>
            <c:ext xmlns:c16="http://schemas.microsoft.com/office/drawing/2014/chart" uri="{C3380CC4-5D6E-409C-BE32-E72D297353CC}">
              <c16:uniqueId val="{00000001-D84B-4FCC-B687-BE5B3AED0760}"/>
            </c:ext>
          </c:extLst>
        </c:ser>
        <c:ser>
          <c:idx val="1"/>
          <c:order val="1"/>
          <c:tx>
            <c:strRef>
              <c:f>'Tab 10'!$C$27</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5.6969085760831623E-2"/>
                  <c:y val="9.801127318101630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10'!$D$29:$H$29</c:f>
              <c:numCache>
                <c:formatCode>General</c:formatCode>
                <c:ptCount val="5"/>
                <c:pt idx="0">
                  <c:v>5</c:v>
                </c:pt>
                <c:pt idx="1">
                  <c:v>10</c:v>
                </c:pt>
                <c:pt idx="2">
                  <c:v>20</c:v>
                </c:pt>
                <c:pt idx="3">
                  <c:v>30</c:v>
                </c:pt>
                <c:pt idx="4">
                  <c:v>40</c:v>
                </c:pt>
              </c:numCache>
            </c:numRef>
          </c:xVal>
          <c:yVal>
            <c:numRef>
              <c:f>'Tab 10'!$D$35:$H$35</c:f>
              <c:numCache>
                <c:formatCode>_-* #,##0_-;\-* #,##0_-;_-* "-"??_-;_-@_-</c:formatCode>
                <c:ptCount val="5"/>
                <c:pt idx="0">
                  <c:v>2111</c:v>
                </c:pt>
                <c:pt idx="1">
                  <c:v>1829</c:v>
                </c:pt>
                <c:pt idx="2">
                  <c:v>1585</c:v>
                </c:pt>
                <c:pt idx="3">
                  <c:v>1274</c:v>
                </c:pt>
                <c:pt idx="4">
                  <c:v>1132</c:v>
                </c:pt>
              </c:numCache>
            </c:numRef>
          </c:yVal>
          <c:smooth val="0"/>
          <c:extLst>
            <c:ext xmlns:c16="http://schemas.microsoft.com/office/drawing/2014/chart" uri="{C3380CC4-5D6E-409C-BE32-E72D297353CC}">
              <c16:uniqueId val="{00000003-D84B-4FCC-B687-BE5B3AED0760}"/>
            </c:ext>
          </c:extLst>
        </c:ser>
        <c:ser>
          <c:idx val="2"/>
          <c:order val="2"/>
          <c:tx>
            <c:strRef>
              <c:f>'Tab 10'!$C$49</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915846726055795E-2"/>
                  <c:y val="0.1573395292801514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10'!$D$51:$H$51</c:f>
              <c:numCache>
                <c:formatCode>General</c:formatCode>
                <c:ptCount val="5"/>
                <c:pt idx="0">
                  <c:v>5</c:v>
                </c:pt>
                <c:pt idx="1">
                  <c:v>10</c:v>
                </c:pt>
                <c:pt idx="2">
                  <c:v>20</c:v>
                </c:pt>
                <c:pt idx="3">
                  <c:v>30</c:v>
                </c:pt>
                <c:pt idx="4">
                  <c:v>40</c:v>
                </c:pt>
              </c:numCache>
            </c:numRef>
          </c:xVal>
          <c:yVal>
            <c:numRef>
              <c:f>'Tab 10'!$D$57:$H$57</c:f>
              <c:numCache>
                <c:formatCode>_-* #,##0_-;\-* #,##0_-;_-* "-"??_-;_-@_-</c:formatCode>
                <c:ptCount val="5"/>
                <c:pt idx="0">
                  <c:v>1909</c:v>
                </c:pt>
                <c:pt idx="1">
                  <c:v>1654</c:v>
                </c:pt>
                <c:pt idx="2">
                  <c:v>1433</c:v>
                </c:pt>
                <c:pt idx="3">
                  <c:v>1152</c:v>
                </c:pt>
                <c:pt idx="4">
                  <c:v>1023</c:v>
                </c:pt>
              </c:numCache>
            </c:numRef>
          </c:yVal>
          <c:smooth val="0"/>
          <c:extLst>
            <c:ext xmlns:c16="http://schemas.microsoft.com/office/drawing/2014/chart" uri="{C3380CC4-5D6E-409C-BE32-E72D297353CC}">
              <c16:uniqueId val="{00000005-D84B-4FCC-B687-BE5B3AED0760}"/>
            </c:ext>
          </c:extLst>
        </c:ser>
        <c:ser>
          <c:idx val="3"/>
          <c:order val="3"/>
          <c:tx>
            <c:v>2022 - ab 50 kW</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9248283619719948E-2"/>
                  <c:y val="-4.694565638311604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10'!$I$6:$L$6</c:f>
              <c:numCache>
                <c:formatCode>General</c:formatCode>
                <c:ptCount val="4"/>
                <c:pt idx="0">
                  <c:v>50</c:v>
                </c:pt>
                <c:pt idx="1">
                  <c:v>60</c:v>
                </c:pt>
                <c:pt idx="2">
                  <c:v>80</c:v>
                </c:pt>
                <c:pt idx="3">
                  <c:v>110</c:v>
                </c:pt>
              </c:numCache>
            </c:numRef>
          </c:xVal>
          <c:yVal>
            <c:numRef>
              <c:f>'Tab 10'!$I$12:$L$12</c:f>
              <c:numCache>
                <c:formatCode>_-* #,##0_-;\-* #,##0_-;_-* "-"??_-;_-@_-</c:formatCode>
                <c:ptCount val="4"/>
                <c:pt idx="0">
                  <c:v>1420</c:v>
                </c:pt>
                <c:pt idx="1">
                  <c:v>1368</c:v>
                </c:pt>
                <c:pt idx="2">
                  <c:v>1289</c:v>
                </c:pt>
                <c:pt idx="3">
                  <c:v>1206</c:v>
                </c:pt>
              </c:numCache>
            </c:numRef>
          </c:yVal>
          <c:smooth val="0"/>
          <c:extLst>
            <c:ext xmlns:c16="http://schemas.microsoft.com/office/drawing/2014/chart" uri="{C3380CC4-5D6E-409C-BE32-E72D297353CC}">
              <c16:uniqueId val="{00000007-D84B-4FCC-B687-BE5B3AED0760}"/>
            </c:ext>
          </c:extLst>
        </c:ser>
        <c:ser>
          <c:idx val="4"/>
          <c:order val="4"/>
          <c:tx>
            <c:v>2030 - ab 50 kW</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5.9248283619719948E-2"/>
                  <c:y val="7.785826771653543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10'!$I$6:$L$6</c:f>
              <c:numCache>
                <c:formatCode>General</c:formatCode>
                <c:ptCount val="4"/>
                <c:pt idx="0">
                  <c:v>50</c:v>
                </c:pt>
                <c:pt idx="1">
                  <c:v>60</c:v>
                </c:pt>
                <c:pt idx="2">
                  <c:v>80</c:v>
                </c:pt>
                <c:pt idx="3">
                  <c:v>110</c:v>
                </c:pt>
              </c:numCache>
            </c:numRef>
          </c:xVal>
          <c:yVal>
            <c:numRef>
              <c:f>'Tab 10'!$I$35:$L$35</c:f>
              <c:numCache>
                <c:formatCode>_-* #,##0_-;\-* #,##0_-;_-* "-"??_-;_-@_-</c:formatCode>
                <c:ptCount val="4"/>
                <c:pt idx="0">
                  <c:v>1310</c:v>
                </c:pt>
                <c:pt idx="1">
                  <c:v>1262</c:v>
                </c:pt>
                <c:pt idx="2">
                  <c:v>1189</c:v>
                </c:pt>
                <c:pt idx="3">
                  <c:v>1113</c:v>
                </c:pt>
              </c:numCache>
            </c:numRef>
          </c:yVal>
          <c:smooth val="0"/>
          <c:extLst>
            <c:ext xmlns:c16="http://schemas.microsoft.com/office/drawing/2014/chart" uri="{C3380CC4-5D6E-409C-BE32-E72D297353CC}">
              <c16:uniqueId val="{00000009-D84B-4FCC-B687-BE5B3AED0760}"/>
            </c:ext>
          </c:extLst>
        </c:ser>
        <c:ser>
          <c:idx val="5"/>
          <c:order val="5"/>
          <c:tx>
            <c:v>2040 - ab 50 kW</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6.3627046619172609E-2"/>
                  <c:y val="0.151810335183511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10'!$I$51:$L$51</c:f>
              <c:numCache>
                <c:formatCode>General</c:formatCode>
                <c:ptCount val="4"/>
                <c:pt idx="0">
                  <c:v>50</c:v>
                </c:pt>
                <c:pt idx="1">
                  <c:v>60</c:v>
                </c:pt>
                <c:pt idx="2">
                  <c:v>80</c:v>
                </c:pt>
                <c:pt idx="3">
                  <c:v>110</c:v>
                </c:pt>
              </c:numCache>
            </c:numRef>
          </c:xVal>
          <c:yVal>
            <c:numRef>
              <c:f>'Tab 10'!$I$57:$L$57</c:f>
              <c:numCache>
                <c:formatCode>_-* #,##0_-;\-* #,##0_-;_-* "-"??_-;_-@_-</c:formatCode>
                <c:ptCount val="4"/>
                <c:pt idx="0">
                  <c:v>1185</c:v>
                </c:pt>
                <c:pt idx="1">
                  <c:v>1142</c:v>
                </c:pt>
                <c:pt idx="2">
                  <c:v>1076</c:v>
                </c:pt>
                <c:pt idx="3">
                  <c:v>1006</c:v>
                </c:pt>
              </c:numCache>
            </c:numRef>
          </c:yVal>
          <c:smooth val="0"/>
          <c:extLst>
            <c:ext xmlns:c16="http://schemas.microsoft.com/office/drawing/2014/chart" uri="{C3380CC4-5D6E-409C-BE32-E72D297353CC}">
              <c16:uniqueId val="{0000000B-D84B-4FCC-B687-BE5B3AED0760}"/>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Wasser-Wasser Wärmepumpe (inkl. Erschließungskosten)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11'!$C$4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6.0048893552306234E-2"/>
                  <c:y val="-0.1282236919594618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11'!$D$6:$K$6</c:f>
              <c:numCache>
                <c:formatCode>General</c:formatCode>
                <c:ptCount val="8"/>
                <c:pt idx="0">
                  <c:v>5</c:v>
                </c:pt>
                <c:pt idx="1">
                  <c:v>10</c:v>
                </c:pt>
                <c:pt idx="2">
                  <c:v>20</c:v>
                </c:pt>
                <c:pt idx="3">
                  <c:v>30</c:v>
                </c:pt>
                <c:pt idx="4">
                  <c:v>40</c:v>
                </c:pt>
                <c:pt idx="5">
                  <c:v>50</c:v>
                </c:pt>
                <c:pt idx="6">
                  <c:v>60</c:v>
                </c:pt>
                <c:pt idx="7">
                  <c:v>80</c:v>
                </c:pt>
              </c:numCache>
            </c:numRef>
          </c:xVal>
          <c:yVal>
            <c:numRef>
              <c:f>'Tab 11'!$D$16:$L$16</c:f>
              <c:numCache>
                <c:formatCode>_-* #,##0_-;\-* #,##0_-;_-* "-"??_-;_-@_-</c:formatCode>
                <c:ptCount val="9"/>
                <c:pt idx="0">
                  <c:v>4647</c:v>
                </c:pt>
                <c:pt idx="1">
                  <c:v>3573</c:v>
                </c:pt>
                <c:pt idx="2">
                  <c:v>2906</c:v>
                </c:pt>
                <c:pt idx="3">
                  <c:v>2635</c:v>
                </c:pt>
                <c:pt idx="4">
                  <c:v>2481</c:v>
                </c:pt>
                <c:pt idx="5">
                  <c:v>2379</c:v>
                </c:pt>
                <c:pt idx="6">
                  <c:v>2306</c:v>
                </c:pt>
                <c:pt idx="7">
                  <c:v>2205</c:v>
                </c:pt>
                <c:pt idx="8">
                  <c:v>2112</c:v>
                </c:pt>
              </c:numCache>
            </c:numRef>
          </c:yVal>
          <c:smooth val="0"/>
          <c:extLst>
            <c:ext xmlns:c16="http://schemas.microsoft.com/office/drawing/2014/chart" uri="{C3380CC4-5D6E-409C-BE32-E72D297353CC}">
              <c16:uniqueId val="{00000001-394D-4E99-A559-DAC9C58FD3B2}"/>
            </c:ext>
          </c:extLst>
        </c:ser>
        <c:ser>
          <c:idx val="1"/>
          <c:order val="1"/>
          <c:tx>
            <c:strRef>
              <c:f>'Tab 11'!$C$28</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11'!$D$30:$K$30</c:f>
              <c:numCache>
                <c:formatCode>General</c:formatCode>
                <c:ptCount val="8"/>
                <c:pt idx="0">
                  <c:v>5</c:v>
                </c:pt>
                <c:pt idx="1">
                  <c:v>10</c:v>
                </c:pt>
                <c:pt idx="2">
                  <c:v>20</c:v>
                </c:pt>
                <c:pt idx="3">
                  <c:v>30</c:v>
                </c:pt>
                <c:pt idx="4">
                  <c:v>40</c:v>
                </c:pt>
                <c:pt idx="5">
                  <c:v>50</c:v>
                </c:pt>
                <c:pt idx="6">
                  <c:v>60</c:v>
                </c:pt>
                <c:pt idx="7">
                  <c:v>80</c:v>
                </c:pt>
              </c:numCache>
            </c:numRef>
          </c:xVal>
          <c:yVal>
            <c:numRef>
              <c:f>'Tab 11'!$D$40:$L$40</c:f>
              <c:numCache>
                <c:formatCode>_-* #,##0_-;\-* #,##0_-;_-* "-"??_-;_-@_-</c:formatCode>
                <c:ptCount val="9"/>
                <c:pt idx="0">
                  <c:v>4586</c:v>
                </c:pt>
                <c:pt idx="1">
                  <c:v>3594</c:v>
                </c:pt>
                <c:pt idx="2">
                  <c:v>2978</c:v>
                </c:pt>
                <c:pt idx="3">
                  <c:v>2729</c:v>
                </c:pt>
                <c:pt idx="4">
                  <c:v>2587</c:v>
                </c:pt>
                <c:pt idx="5">
                  <c:v>2493</c:v>
                </c:pt>
                <c:pt idx="6">
                  <c:v>2425</c:v>
                </c:pt>
                <c:pt idx="7">
                  <c:v>2332</c:v>
                </c:pt>
                <c:pt idx="8">
                  <c:v>2246</c:v>
                </c:pt>
              </c:numCache>
            </c:numRef>
          </c:yVal>
          <c:smooth val="0"/>
          <c:extLst>
            <c:ext xmlns:c16="http://schemas.microsoft.com/office/drawing/2014/chart" uri="{C3380CC4-5D6E-409C-BE32-E72D297353CC}">
              <c16:uniqueId val="{00000003-394D-4E99-A559-DAC9C58FD3B2}"/>
            </c:ext>
          </c:extLst>
        </c:ser>
        <c:ser>
          <c:idx val="2"/>
          <c:order val="2"/>
          <c:tx>
            <c:strRef>
              <c:f>'Tab 11'!$C$52</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7399119231707325E-2"/>
                  <c:y val="-0.121974748173070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11'!$D$54:$K$54</c:f>
              <c:numCache>
                <c:formatCode>General</c:formatCode>
                <c:ptCount val="8"/>
                <c:pt idx="0">
                  <c:v>5</c:v>
                </c:pt>
                <c:pt idx="1">
                  <c:v>10</c:v>
                </c:pt>
                <c:pt idx="2">
                  <c:v>20</c:v>
                </c:pt>
                <c:pt idx="3">
                  <c:v>30</c:v>
                </c:pt>
                <c:pt idx="4">
                  <c:v>40</c:v>
                </c:pt>
                <c:pt idx="5">
                  <c:v>50</c:v>
                </c:pt>
                <c:pt idx="6">
                  <c:v>60</c:v>
                </c:pt>
                <c:pt idx="7">
                  <c:v>80</c:v>
                </c:pt>
              </c:numCache>
            </c:numRef>
          </c:xVal>
          <c:yVal>
            <c:numRef>
              <c:f>'Tab 11'!$D$64:$L$64</c:f>
              <c:numCache>
                <c:formatCode>_-* #,##0_-;\-* #,##0_-;_-* "-"??_-;_-@_-</c:formatCode>
                <c:ptCount val="9"/>
                <c:pt idx="0">
                  <c:v>4718</c:v>
                </c:pt>
                <c:pt idx="1">
                  <c:v>3821</c:v>
                </c:pt>
                <c:pt idx="2">
                  <c:v>3264</c:v>
                </c:pt>
                <c:pt idx="3">
                  <c:v>3038</c:v>
                </c:pt>
                <c:pt idx="4">
                  <c:v>2910</c:v>
                </c:pt>
                <c:pt idx="5">
                  <c:v>2825</c:v>
                </c:pt>
                <c:pt idx="6">
                  <c:v>2764</c:v>
                </c:pt>
                <c:pt idx="7">
                  <c:v>2680</c:v>
                </c:pt>
                <c:pt idx="8">
                  <c:v>2602</c:v>
                </c:pt>
              </c:numCache>
            </c:numRef>
          </c:yVal>
          <c:smooth val="0"/>
          <c:extLst>
            <c:ext xmlns:c16="http://schemas.microsoft.com/office/drawing/2014/chart" uri="{C3380CC4-5D6E-409C-BE32-E72D297353CC}">
              <c16:uniqueId val="{00000005-394D-4E99-A559-DAC9C58FD3B2}"/>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Sole-Wasser-Wärmepumpe (inkl. Erschließungskosten Sonden)</a:t>
            </a:r>
            <a:endParaRPr lang="de-DE"/>
          </a:p>
        </c:rich>
      </c:tx>
      <c:layout>
        <c:manualLayout>
          <c:xMode val="edge"/>
          <c:yMode val="edge"/>
          <c:x val="0.11155493738116004"/>
          <c:y val="2.08274454345528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12'!$C$4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12'!$D$6:$K$6</c:f>
              <c:numCache>
                <c:formatCode>General</c:formatCode>
                <c:ptCount val="8"/>
                <c:pt idx="0">
                  <c:v>5</c:v>
                </c:pt>
                <c:pt idx="1">
                  <c:v>10</c:v>
                </c:pt>
                <c:pt idx="2">
                  <c:v>20</c:v>
                </c:pt>
                <c:pt idx="3">
                  <c:v>30</c:v>
                </c:pt>
                <c:pt idx="4">
                  <c:v>40</c:v>
                </c:pt>
                <c:pt idx="5">
                  <c:v>50</c:v>
                </c:pt>
                <c:pt idx="6">
                  <c:v>60</c:v>
                </c:pt>
                <c:pt idx="7">
                  <c:v>80</c:v>
                </c:pt>
              </c:numCache>
            </c:numRef>
          </c:xVal>
          <c:yVal>
            <c:numRef>
              <c:f>'Tab 12'!$D$17:$L$17</c:f>
              <c:numCache>
                <c:formatCode>_-* #,##0_-;\-* #,##0_-;_-* "-"??_-;_-@_-</c:formatCode>
                <c:ptCount val="9"/>
                <c:pt idx="0">
                  <c:v>4865</c:v>
                </c:pt>
                <c:pt idx="1">
                  <c:v>3755</c:v>
                </c:pt>
                <c:pt idx="2">
                  <c:v>3099</c:v>
                </c:pt>
                <c:pt idx="3">
                  <c:v>2829</c:v>
                </c:pt>
                <c:pt idx="4">
                  <c:v>2671</c:v>
                </c:pt>
                <c:pt idx="5">
                  <c:v>2482</c:v>
                </c:pt>
                <c:pt idx="6">
                  <c:v>2330</c:v>
                </c:pt>
                <c:pt idx="7">
                  <c:v>2162</c:v>
                </c:pt>
                <c:pt idx="8">
                  <c:v>1985</c:v>
                </c:pt>
              </c:numCache>
            </c:numRef>
          </c:yVal>
          <c:smooth val="0"/>
          <c:extLst>
            <c:ext xmlns:c16="http://schemas.microsoft.com/office/drawing/2014/chart" uri="{C3380CC4-5D6E-409C-BE32-E72D297353CC}">
              <c16:uniqueId val="{00000001-F16E-4E7D-98BA-E7DB8A1EF764}"/>
            </c:ext>
          </c:extLst>
        </c:ser>
        <c:ser>
          <c:idx val="1"/>
          <c:order val="1"/>
          <c:tx>
            <c:strRef>
              <c:f>'Tab 12'!$C$30</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12'!$D$32:$K$32</c:f>
              <c:numCache>
                <c:formatCode>General</c:formatCode>
                <c:ptCount val="8"/>
                <c:pt idx="0">
                  <c:v>5</c:v>
                </c:pt>
                <c:pt idx="1">
                  <c:v>10</c:v>
                </c:pt>
                <c:pt idx="2">
                  <c:v>20</c:v>
                </c:pt>
                <c:pt idx="3">
                  <c:v>30</c:v>
                </c:pt>
                <c:pt idx="4">
                  <c:v>40</c:v>
                </c:pt>
                <c:pt idx="5">
                  <c:v>50</c:v>
                </c:pt>
                <c:pt idx="6">
                  <c:v>60</c:v>
                </c:pt>
                <c:pt idx="7">
                  <c:v>80</c:v>
                </c:pt>
              </c:numCache>
            </c:numRef>
          </c:xVal>
          <c:yVal>
            <c:numRef>
              <c:f>'Tab 12'!$D$43:$L$43</c:f>
              <c:numCache>
                <c:formatCode>_-* #,##0_-;\-* #,##0_-;_-* "-"??_-;_-@_-</c:formatCode>
                <c:ptCount val="9"/>
                <c:pt idx="0">
                  <c:v>4628</c:v>
                </c:pt>
                <c:pt idx="1">
                  <c:v>3591</c:v>
                </c:pt>
                <c:pt idx="2">
                  <c:v>2983</c:v>
                </c:pt>
                <c:pt idx="3">
                  <c:v>2733</c:v>
                </c:pt>
                <c:pt idx="4">
                  <c:v>2586</c:v>
                </c:pt>
                <c:pt idx="5">
                  <c:v>2405</c:v>
                </c:pt>
                <c:pt idx="6">
                  <c:v>2259</c:v>
                </c:pt>
                <c:pt idx="7">
                  <c:v>2099</c:v>
                </c:pt>
                <c:pt idx="8">
                  <c:v>1930</c:v>
                </c:pt>
              </c:numCache>
            </c:numRef>
          </c:yVal>
          <c:smooth val="0"/>
          <c:extLst>
            <c:ext xmlns:c16="http://schemas.microsoft.com/office/drawing/2014/chart" uri="{C3380CC4-5D6E-409C-BE32-E72D297353CC}">
              <c16:uniqueId val="{00000003-F16E-4E7D-98BA-E7DB8A1EF764}"/>
            </c:ext>
          </c:extLst>
        </c:ser>
        <c:ser>
          <c:idx val="2"/>
          <c:order val="2"/>
          <c:tx>
            <c:strRef>
              <c:f>'Tab 12'!$C$55</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12'!$D$57:$K$57</c:f>
              <c:numCache>
                <c:formatCode>General</c:formatCode>
                <c:ptCount val="8"/>
                <c:pt idx="0">
                  <c:v>5</c:v>
                </c:pt>
                <c:pt idx="1">
                  <c:v>10</c:v>
                </c:pt>
                <c:pt idx="2">
                  <c:v>20</c:v>
                </c:pt>
                <c:pt idx="3">
                  <c:v>30</c:v>
                </c:pt>
                <c:pt idx="4">
                  <c:v>40</c:v>
                </c:pt>
                <c:pt idx="5">
                  <c:v>50</c:v>
                </c:pt>
                <c:pt idx="6">
                  <c:v>60</c:v>
                </c:pt>
                <c:pt idx="7">
                  <c:v>80</c:v>
                </c:pt>
              </c:numCache>
            </c:numRef>
          </c:xVal>
          <c:yVal>
            <c:numRef>
              <c:f>'Tab 12'!$D$68:$L$68</c:f>
              <c:numCache>
                <c:formatCode>_-* #,##0_-;\-* #,##0_-;_-* "-"??_-;_-@_-</c:formatCode>
                <c:ptCount val="9"/>
                <c:pt idx="0">
                  <c:v>4358</c:v>
                </c:pt>
                <c:pt idx="1">
                  <c:v>3404</c:v>
                </c:pt>
                <c:pt idx="2">
                  <c:v>2850</c:v>
                </c:pt>
                <c:pt idx="3">
                  <c:v>2622</c:v>
                </c:pt>
                <c:pt idx="4">
                  <c:v>2489</c:v>
                </c:pt>
                <c:pt idx="5">
                  <c:v>2318</c:v>
                </c:pt>
                <c:pt idx="6">
                  <c:v>2178</c:v>
                </c:pt>
                <c:pt idx="7">
                  <c:v>2027</c:v>
                </c:pt>
                <c:pt idx="8">
                  <c:v>1867</c:v>
                </c:pt>
              </c:numCache>
            </c:numRef>
          </c:yVal>
          <c:smooth val="0"/>
          <c:extLst>
            <c:ext xmlns:c16="http://schemas.microsoft.com/office/drawing/2014/chart" uri="{C3380CC4-5D6E-409C-BE32-E72D297353CC}">
              <c16:uniqueId val="{00000005-F16E-4E7D-98BA-E7DB8A1EF764}"/>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Sole-Wasser-Wärmepumpe (inkl. Erschließungskosten Kollektoren)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13'!$C$4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13'!$D$6:$K$6</c:f>
              <c:numCache>
                <c:formatCode>General</c:formatCode>
                <c:ptCount val="8"/>
                <c:pt idx="0">
                  <c:v>5</c:v>
                </c:pt>
                <c:pt idx="1">
                  <c:v>10</c:v>
                </c:pt>
                <c:pt idx="2">
                  <c:v>20</c:v>
                </c:pt>
                <c:pt idx="3">
                  <c:v>30</c:v>
                </c:pt>
                <c:pt idx="4">
                  <c:v>40</c:v>
                </c:pt>
                <c:pt idx="5">
                  <c:v>50</c:v>
                </c:pt>
                <c:pt idx="6">
                  <c:v>60</c:v>
                </c:pt>
                <c:pt idx="7">
                  <c:v>80</c:v>
                </c:pt>
              </c:numCache>
            </c:numRef>
          </c:xVal>
          <c:yVal>
            <c:numRef>
              <c:f>'Tab 13'!$D$17:$L$17</c:f>
              <c:numCache>
                <c:formatCode>_-* #,##0_-;\-* #,##0_-;_-* "-"??_-;_-@_-</c:formatCode>
                <c:ptCount val="9"/>
                <c:pt idx="0">
                  <c:v>4458</c:v>
                </c:pt>
                <c:pt idx="1">
                  <c:v>3172</c:v>
                </c:pt>
                <c:pt idx="2">
                  <c:v>2515</c:v>
                </c:pt>
                <c:pt idx="3">
                  <c:v>2257</c:v>
                </c:pt>
                <c:pt idx="4">
                  <c:v>2105</c:v>
                </c:pt>
                <c:pt idx="5">
                  <c:v>2003</c:v>
                </c:pt>
                <c:pt idx="6">
                  <c:v>1927</c:v>
                </c:pt>
                <c:pt idx="7">
                  <c:v>1821</c:v>
                </c:pt>
                <c:pt idx="8">
                  <c:v>1719</c:v>
                </c:pt>
              </c:numCache>
            </c:numRef>
          </c:yVal>
          <c:smooth val="0"/>
          <c:extLst>
            <c:ext xmlns:c16="http://schemas.microsoft.com/office/drawing/2014/chart" uri="{C3380CC4-5D6E-409C-BE32-E72D297353CC}">
              <c16:uniqueId val="{00000001-294E-4CB3-A2AD-B1EEA2378380}"/>
            </c:ext>
          </c:extLst>
        </c:ser>
        <c:ser>
          <c:idx val="1"/>
          <c:order val="1"/>
          <c:tx>
            <c:strRef>
              <c:f>'Tab 13'!$C$29</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13'!$D$31:$K$31</c:f>
              <c:numCache>
                <c:formatCode>General</c:formatCode>
                <c:ptCount val="8"/>
                <c:pt idx="0">
                  <c:v>5</c:v>
                </c:pt>
                <c:pt idx="1">
                  <c:v>10</c:v>
                </c:pt>
                <c:pt idx="2">
                  <c:v>20</c:v>
                </c:pt>
                <c:pt idx="3">
                  <c:v>30</c:v>
                </c:pt>
                <c:pt idx="4">
                  <c:v>40</c:v>
                </c:pt>
                <c:pt idx="5">
                  <c:v>50</c:v>
                </c:pt>
                <c:pt idx="6">
                  <c:v>60</c:v>
                </c:pt>
                <c:pt idx="7">
                  <c:v>80</c:v>
                </c:pt>
              </c:numCache>
            </c:numRef>
          </c:xVal>
          <c:yVal>
            <c:numRef>
              <c:f>'Tab 13'!$D$42:$L$42</c:f>
              <c:numCache>
                <c:formatCode>0</c:formatCode>
                <c:ptCount val="9"/>
                <c:pt idx="0">
                  <c:v>4221</c:v>
                </c:pt>
                <c:pt idx="1">
                  <c:v>3008</c:v>
                </c:pt>
                <c:pt idx="2">
                  <c:v>2398</c:v>
                </c:pt>
                <c:pt idx="3">
                  <c:v>2160</c:v>
                </c:pt>
                <c:pt idx="4">
                  <c:v>2021</c:v>
                </c:pt>
                <c:pt idx="5">
                  <c:v>1926</c:v>
                </c:pt>
                <c:pt idx="6">
                  <c:v>1856</c:v>
                </c:pt>
                <c:pt idx="7">
                  <c:v>1758</c:v>
                </c:pt>
                <c:pt idx="8">
                  <c:v>1664</c:v>
                </c:pt>
              </c:numCache>
            </c:numRef>
          </c:yVal>
          <c:smooth val="0"/>
          <c:extLst>
            <c:ext xmlns:c16="http://schemas.microsoft.com/office/drawing/2014/chart" uri="{C3380CC4-5D6E-409C-BE32-E72D297353CC}">
              <c16:uniqueId val="{00000003-294E-4CB3-A2AD-B1EEA2378380}"/>
            </c:ext>
          </c:extLst>
        </c:ser>
        <c:ser>
          <c:idx val="2"/>
          <c:order val="2"/>
          <c:tx>
            <c:strRef>
              <c:f>'Tab 13'!$C$54</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13'!$D$56:$K$56</c:f>
              <c:numCache>
                <c:formatCode>General</c:formatCode>
                <c:ptCount val="8"/>
                <c:pt idx="0">
                  <c:v>5</c:v>
                </c:pt>
                <c:pt idx="1">
                  <c:v>10</c:v>
                </c:pt>
                <c:pt idx="2">
                  <c:v>20</c:v>
                </c:pt>
                <c:pt idx="3">
                  <c:v>30</c:v>
                </c:pt>
                <c:pt idx="4">
                  <c:v>40</c:v>
                </c:pt>
                <c:pt idx="5">
                  <c:v>50</c:v>
                </c:pt>
                <c:pt idx="6">
                  <c:v>60</c:v>
                </c:pt>
                <c:pt idx="7">
                  <c:v>80</c:v>
                </c:pt>
              </c:numCache>
            </c:numRef>
          </c:xVal>
          <c:yVal>
            <c:numRef>
              <c:f>'Tab 13'!$D$67:$L$67</c:f>
              <c:numCache>
                <c:formatCode>0</c:formatCode>
                <c:ptCount val="9"/>
                <c:pt idx="0">
                  <c:v>3951</c:v>
                </c:pt>
                <c:pt idx="1">
                  <c:v>2821</c:v>
                </c:pt>
                <c:pt idx="2">
                  <c:v>2265</c:v>
                </c:pt>
                <c:pt idx="3">
                  <c:v>2050</c:v>
                </c:pt>
                <c:pt idx="4">
                  <c:v>1924</c:v>
                </c:pt>
                <c:pt idx="5">
                  <c:v>1838</c:v>
                </c:pt>
                <c:pt idx="6">
                  <c:v>1775</c:v>
                </c:pt>
                <c:pt idx="7">
                  <c:v>1686</c:v>
                </c:pt>
                <c:pt idx="8">
                  <c:v>1601</c:v>
                </c:pt>
              </c:numCache>
            </c:numRef>
          </c:yVal>
          <c:smooth val="0"/>
          <c:extLst>
            <c:ext xmlns:c16="http://schemas.microsoft.com/office/drawing/2014/chart" uri="{C3380CC4-5D6E-409C-BE32-E72D297353CC}">
              <c16:uniqueId val="{00000005-294E-4CB3-A2AD-B1EEA2378380}"/>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Hybridwärmepumpe (nur Anlage &amp; Installation)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14'!$C$4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14'!$D$6:$K$6</c:f>
              <c:numCache>
                <c:formatCode>General</c:formatCode>
                <c:ptCount val="8"/>
                <c:pt idx="0">
                  <c:v>5</c:v>
                </c:pt>
                <c:pt idx="1">
                  <c:v>10</c:v>
                </c:pt>
                <c:pt idx="2">
                  <c:v>20</c:v>
                </c:pt>
                <c:pt idx="3">
                  <c:v>30</c:v>
                </c:pt>
                <c:pt idx="4">
                  <c:v>40</c:v>
                </c:pt>
                <c:pt idx="5">
                  <c:v>50</c:v>
                </c:pt>
                <c:pt idx="6">
                  <c:v>60</c:v>
                </c:pt>
                <c:pt idx="7">
                  <c:v>80</c:v>
                </c:pt>
              </c:numCache>
            </c:numRef>
          </c:xVal>
          <c:yVal>
            <c:numRef>
              <c:f>'Tab 14'!$D$16:$K$16</c:f>
              <c:numCache>
                <c:formatCode>#,##0</c:formatCode>
                <c:ptCount val="8"/>
                <c:pt idx="0">
                  <c:v>2390</c:v>
                </c:pt>
                <c:pt idx="1">
                  <c:v>2162</c:v>
                </c:pt>
                <c:pt idx="2">
                  <c:v>1955</c:v>
                </c:pt>
                <c:pt idx="3">
                  <c:v>1843</c:v>
                </c:pt>
                <c:pt idx="4">
                  <c:v>1768</c:v>
                </c:pt>
                <c:pt idx="5">
                  <c:v>1712</c:v>
                </c:pt>
                <c:pt idx="6">
                  <c:v>1667</c:v>
                </c:pt>
                <c:pt idx="7">
                  <c:v>1599</c:v>
                </c:pt>
              </c:numCache>
            </c:numRef>
          </c:yVal>
          <c:smooth val="0"/>
          <c:extLst>
            <c:ext xmlns:c16="http://schemas.microsoft.com/office/drawing/2014/chart" uri="{C3380CC4-5D6E-409C-BE32-E72D297353CC}">
              <c16:uniqueId val="{00000001-2065-4523-A0B9-6725C5727FDC}"/>
            </c:ext>
          </c:extLst>
        </c:ser>
        <c:ser>
          <c:idx val="1"/>
          <c:order val="1"/>
          <c:tx>
            <c:strRef>
              <c:f>'Tab 14'!$C$32</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14'!$D$34:$K$34</c:f>
              <c:numCache>
                <c:formatCode>General</c:formatCode>
                <c:ptCount val="8"/>
                <c:pt idx="0">
                  <c:v>5</c:v>
                </c:pt>
                <c:pt idx="1">
                  <c:v>10</c:v>
                </c:pt>
                <c:pt idx="2">
                  <c:v>20</c:v>
                </c:pt>
                <c:pt idx="3">
                  <c:v>30</c:v>
                </c:pt>
                <c:pt idx="4">
                  <c:v>40</c:v>
                </c:pt>
                <c:pt idx="5">
                  <c:v>50</c:v>
                </c:pt>
                <c:pt idx="6">
                  <c:v>60</c:v>
                </c:pt>
                <c:pt idx="7">
                  <c:v>80</c:v>
                </c:pt>
              </c:numCache>
            </c:numRef>
          </c:xVal>
          <c:yVal>
            <c:numRef>
              <c:f>'Tab 14'!$D$44:$K$44</c:f>
              <c:numCache>
                <c:formatCode>#,##0</c:formatCode>
                <c:ptCount val="8"/>
                <c:pt idx="0">
                  <c:v>2151</c:v>
                </c:pt>
                <c:pt idx="1">
                  <c:v>1945</c:v>
                </c:pt>
                <c:pt idx="2">
                  <c:v>1759</c:v>
                </c:pt>
                <c:pt idx="3">
                  <c:v>1659</c:v>
                </c:pt>
                <c:pt idx="4">
                  <c:v>1591</c:v>
                </c:pt>
                <c:pt idx="5">
                  <c:v>1541</c:v>
                </c:pt>
                <c:pt idx="6">
                  <c:v>1500</c:v>
                </c:pt>
                <c:pt idx="7">
                  <c:v>1439</c:v>
                </c:pt>
              </c:numCache>
            </c:numRef>
          </c:yVal>
          <c:smooth val="0"/>
          <c:extLst>
            <c:ext xmlns:c16="http://schemas.microsoft.com/office/drawing/2014/chart" uri="{C3380CC4-5D6E-409C-BE32-E72D297353CC}">
              <c16:uniqueId val="{00000003-2065-4523-A0B9-6725C5727FDC}"/>
            </c:ext>
          </c:extLst>
        </c:ser>
        <c:ser>
          <c:idx val="2"/>
          <c:order val="2"/>
          <c:tx>
            <c:strRef>
              <c:f>'Tab 14'!$C$59</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14'!$D$61:$K$61</c:f>
              <c:numCache>
                <c:formatCode>General</c:formatCode>
                <c:ptCount val="8"/>
                <c:pt idx="0">
                  <c:v>5</c:v>
                </c:pt>
                <c:pt idx="1">
                  <c:v>10</c:v>
                </c:pt>
                <c:pt idx="2">
                  <c:v>20</c:v>
                </c:pt>
                <c:pt idx="3">
                  <c:v>30</c:v>
                </c:pt>
                <c:pt idx="4">
                  <c:v>40</c:v>
                </c:pt>
                <c:pt idx="5">
                  <c:v>50</c:v>
                </c:pt>
                <c:pt idx="6">
                  <c:v>60</c:v>
                </c:pt>
                <c:pt idx="7">
                  <c:v>80</c:v>
                </c:pt>
              </c:numCache>
            </c:numRef>
          </c:xVal>
          <c:yVal>
            <c:numRef>
              <c:f>'Tab 14'!$D$71:$K$71</c:f>
              <c:numCache>
                <c:formatCode>#,##0</c:formatCode>
                <c:ptCount val="8"/>
                <c:pt idx="0">
                  <c:v>1912</c:v>
                </c:pt>
                <c:pt idx="1">
                  <c:v>1729</c:v>
                </c:pt>
                <c:pt idx="2">
                  <c:v>1564</c:v>
                </c:pt>
                <c:pt idx="3">
                  <c:v>1475</c:v>
                </c:pt>
                <c:pt idx="4">
                  <c:v>1414</c:v>
                </c:pt>
                <c:pt idx="5">
                  <c:v>1369</c:v>
                </c:pt>
                <c:pt idx="6">
                  <c:v>1334</c:v>
                </c:pt>
                <c:pt idx="7">
                  <c:v>1279</c:v>
                </c:pt>
              </c:numCache>
            </c:numRef>
          </c:yVal>
          <c:smooth val="0"/>
          <c:extLst>
            <c:ext xmlns:c16="http://schemas.microsoft.com/office/drawing/2014/chart" uri="{C3380CC4-5D6E-409C-BE32-E72D297353CC}">
              <c16:uniqueId val="{00000005-2065-4523-A0B9-6725C5727FDC}"/>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BHKW Erdgas - bis 100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15'!$D$7:$J$7</c:f>
              <c:numCache>
                <c:formatCode>_-* #,##0.0_-;\-* #,##0.0_-;_-* "-"??_-;_-@_-</c:formatCode>
                <c:ptCount val="7"/>
                <c:pt idx="0">
                  <c:v>4.8</c:v>
                </c:pt>
                <c:pt idx="1">
                  <c:v>10.8</c:v>
                </c:pt>
                <c:pt idx="2">
                  <c:v>21.3</c:v>
                </c:pt>
                <c:pt idx="3">
                  <c:v>40.6</c:v>
                </c:pt>
                <c:pt idx="4">
                  <c:v>58.2</c:v>
                </c:pt>
                <c:pt idx="5">
                  <c:v>88.2</c:v>
                </c:pt>
                <c:pt idx="6">
                  <c:v>155.6</c:v>
                </c:pt>
              </c:numCache>
            </c:numRef>
          </c:xVal>
          <c:yVal>
            <c:numRef>
              <c:f>'Tab 15'!$D$13:$J$13</c:f>
              <c:numCache>
                <c:formatCode>_-* #,##0_-;\-* #,##0_-;_-* "-"??_-;_-@_-</c:formatCode>
                <c:ptCount val="7"/>
                <c:pt idx="0">
                  <c:v>7799</c:v>
                </c:pt>
                <c:pt idx="1">
                  <c:v>4930</c:v>
                </c:pt>
                <c:pt idx="2">
                  <c:v>3200</c:v>
                </c:pt>
                <c:pt idx="3">
                  <c:v>2307</c:v>
                </c:pt>
                <c:pt idx="4">
                  <c:v>1911</c:v>
                </c:pt>
                <c:pt idx="5">
                  <c:v>1977</c:v>
                </c:pt>
                <c:pt idx="6">
                  <c:v>1857</c:v>
                </c:pt>
              </c:numCache>
            </c:numRef>
          </c:yVal>
          <c:smooth val="0"/>
          <c:extLst>
            <c:ext xmlns:c16="http://schemas.microsoft.com/office/drawing/2014/chart" uri="{C3380CC4-5D6E-409C-BE32-E72D297353CC}">
              <c16:uniqueId val="{00000001-8F56-4D74-9C5B-28719D415FFC}"/>
            </c:ext>
          </c:extLst>
        </c:ser>
        <c:ser>
          <c:idx val="2"/>
          <c:order val="1"/>
          <c:tx>
            <c:strRef>
              <c:f>'Tab 15'!$C$55</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15'!$D$7:$J$7</c:f>
              <c:numCache>
                <c:formatCode>_-* #,##0.0_-;\-* #,##0.0_-;_-* "-"??_-;_-@_-</c:formatCode>
                <c:ptCount val="7"/>
                <c:pt idx="0">
                  <c:v>4.8</c:v>
                </c:pt>
                <c:pt idx="1">
                  <c:v>10.8</c:v>
                </c:pt>
                <c:pt idx="2">
                  <c:v>21.3</c:v>
                </c:pt>
                <c:pt idx="3">
                  <c:v>40.6</c:v>
                </c:pt>
                <c:pt idx="4">
                  <c:v>58.2</c:v>
                </c:pt>
                <c:pt idx="5">
                  <c:v>88.2</c:v>
                </c:pt>
                <c:pt idx="6">
                  <c:v>155.6</c:v>
                </c:pt>
              </c:numCache>
            </c:numRef>
          </c:xVal>
          <c:yVal>
            <c:numRef>
              <c:f>'Tab 15'!$D$64:$J$64</c:f>
              <c:numCache>
                <c:formatCode>_-* #,##0_-;\-* #,##0_-;_-* "-"??_-;_-@_-</c:formatCode>
                <c:ptCount val="7"/>
                <c:pt idx="0">
                  <c:v>8579</c:v>
                </c:pt>
                <c:pt idx="1">
                  <c:v>5423</c:v>
                </c:pt>
                <c:pt idx="2">
                  <c:v>3520</c:v>
                </c:pt>
                <c:pt idx="3">
                  <c:v>2538</c:v>
                </c:pt>
                <c:pt idx="4">
                  <c:v>2102</c:v>
                </c:pt>
                <c:pt idx="5">
                  <c:v>2174</c:v>
                </c:pt>
                <c:pt idx="6">
                  <c:v>2043</c:v>
                </c:pt>
              </c:numCache>
            </c:numRef>
          </c:yVal>
          <c:smooth val="0"/>
          <c:extLst xmlns:c15="http://schemas.microsoft.com/office/drawing/2012/chart">
            <c:ext xmlns:c16="http://schemas.microsoft.com/office/drawing/2014/chart" uri="{C3380CC4-5D6E-409C-BE32-E72D297353CC}">
              <c16:uniqueId val="{00000003-8F56-4D74-9C5B-28719D415FFC}"/>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0_-;\-* #,##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BHKW Erdgas - ab 100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15'!$J$7:$N$7</c:f>
              <c:numCache>
                <c:formatCode>_-* #,##0.0_-;\-* #,##0.0_-;_-* "-"??_-;_-@_-</c:formatCode>
                <c:ptCount val="5"/>
                <c:pt idx="0">
                  <c:v>155.6</c:v>
                </c:pt>
                <c:pt idx="1">
                  <c:v>392.3</c:v>
                </c:pt>
                <c:pt idx="2">
                  <c:v>585.4</c:v>
                </c:pt>
                <c:pt idx="3">
                  <c:v>2000</c:v>
                </c:pt>
                <c:pt idx="4">
                  <c:v>9148.9</c:v>
                </c:pt>
              </c:numCache>
            </c:numRef>
          </c:xVal>
          <c:yVal>
            <c:numRef>
              <c:f>'Tab 15'!$J$13:$N$13</c:f>
              <c:numCache>
                <c:formatCode>_-* #,##0_-;\-* #,##0_-;_-* "-"??_-;_-@_-</c:formatCode>
                <c:ptCount val="5"/>
                <c:pt idx="0">
                  <c:v>1857</c:v>
                </c:pt>
                <c:pt idx="1">
                  <c:v>1648</c:v>
                </c:pt>
                <c:pt idx="2">
                  <c:v>1573</c:v>
                </c:pt>
                <c:pt idx="3">
                  <c:v>1161</c:v>
                </c:pt>
                <c:pt idx="4">
                  <c:v>1142</c:v>
                </c:pt>
              </c:numCache>
            </c:numRef>
          </c:yVal>
          <c:smooth val="0"/>
          <c:extLst>
            <c:ext xmlns:c16="http://schemas.microsoft.com/office/drawing/2014/chart" uri="{C3380CC4-5D6E-409C-BE32-E72D297353CC}">
              <c16:uniqueId val="{00000001-9755-423F-A648-F8A00C3AB1A4}"/>
            </c:ext>
          </c:extLst>
        </c:ser>
        <c:ser>
          <c:idx val="2"/>
          <c:order val="1"/>
          <c:tx>
            <c:strRef>
              <c:f>'Tab 15'!$C$55</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15'!$J$58:$N$58</c:f>
              <c:numCache>
                <c:formatCode>_-* #,##0.0_-;\-* #,##0.0_-;_-* "-"??_-;_-@_-</c:formatCode>
                <c:ptCount val="5"/>
                <c:pt idx="0">
                  <c:v>155.6</c:v>
                </c:pt>
                <c:pt idx="1">
                  <c:v>392.3</c:v>
                </c:pt>
                <c:pt idx="2">
                  <c:v>585.4</c:v>
                </c:pt>
                <c:pt idx="3">
                  <c:v>2000</c:v>
                </c:pt>
                <c:pt idx="4">
                  <c:v>9148.9</c:v>
                </c:pt>
              </c:numCache>
            </c:numRef>
          </c:xVal>
          <c:yVal>
            <c:numRef>
              <c:f>'Tab 15'!$J$64:$N$64</c:f>
              <c:numCache>
                <c:formatCode>_-* #,##0_-;\-* #,##0_-;_-* "-"??_-;_-@_-</c:formatCode>
                <c:ptCount val="5"/>
                <c:pt idx="0">
                  <c:v>2043</c:v>
                </c:pt>
                <c:pt idx="1">
                  <c:v>1812</c:v>
                </c:pt>
                <c:pt idx="2">
                  <c:v>1731</c:v>
                </c:pt>
                <c:pt idx="3">
                  <c:v>1277</c:v>
                </c:pt>
                <c:pt idx="4">
                  <c:v>1256</c:v>
                </c:pt>
              </c:numCache>
            </c:numRef>
          </c:yVal>
          <c:smooth val="0"/>
          <c:extLst xmlns:c15="http://schemas.microsoft.com/office/drawing/2012/chart">
            <c:ext xmlns:c16="http://schemas.microsoft.com/office/drawing/2014/chart" uri="{C3380CC4-5D6E-409C-BE32-E72D297353CC}">
              <c16:uniqueId val="{00000003-9755-423F-A648-F8A00C3AB1A4}"/>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BHKW Biogas - bis 100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16'!$D$7:$J$7</c:f>
              <c:numCache>
                <c:formatCode>_-* #,##0.0_-;\-* #,##0.0_-;_-* "-"??_-;_-@_-</c:formatCode>
                <c:ptCount val="7"/>
                <c:pt idx="0">
                  <c:v>4.8</c:v>
                </c:pt>
                <c:pt idx="1">
                  <c:v>10.8</c:v>
                </c:pt>
                <c:pt idx="2">
                  <c:v>21.3</c:v>
                </c:pt>
                <c:pt idx="3">
                  <c:v>40.6</c:v>
                </c:pt>
                <c:pt idx="4">
                  <c:v>58.2</c:v>
                </c:pt>
                <c:pt idx="5">
                  <c:v>88.2</c:v>
                </c:pt>
                <c:pt idx="6">
                  <c:v>155.6</c:v>
                </c:pt>
              </c:numCache>
            </c:numRef>
          </c:xVal>
          <c:yVal>
            <c:numRef>
              <c:f>'Tab 16'!$D$13:$J$13</c:f>
              <c:numCache>
                <c:formatCode>_-* #,##0_-;\-* #,##0_-;_-* "-"??_-;_-@_-</c:formatCode>
                <c:ptCount val="7"/>
                <c:pt idx="0">
                  <c:v>8579</c:v>
                </c:pt>
                <c:pt idx="1">
                  <c:v>5423</c:v>
                </c:pt>
                <c:pt idx="2">
                  <c:v>3520</c:v>
                </c:pt>
                <c:pt idx="3">
                  <c:v>2538</c:v>
                </c:pt>
                <c:pt idx="4">
                  <c:v>2102</c:v>
                </c:pt>
                <c:pt idx="5">
                  <c:v>2174</c:v>
                </c:pt>
                <c:pt idx="6">
                  <c:v>2043</c:v>
                </c:pt>
              </c:numCache>
            </c:numRef>
          </c:yVal>
          <c:smooth val="0"/>
          <c:extLst>
            <c:ext xmlns:c16="http://schemas.microsoft.com/office/drawing/2014/chart" uri="{C3380CC4-5D6E-409C-BE32-E72D297353CC}">
              <c16:uniqueId val="{00000001-79E7-44F5-9506-DE5340D068C2}"/>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r>
                  <a:rPr lang="de-DE" baseline="-25000"/>
                  <a:t>el</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BHKW Biogas - ab 100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16'!$J$7:$N$7</c:f>
              <c:numCache>
                <c:formatCode>_-* #,##0.0_-;\-* #,##0.0_-;_-* "-"??_-;_-@_-</c:formatCode>
                <c:ptCount val="5"/>
                <c:pt idx="0">
                  <c:v>155.6</c:v>
                </c:pt>
                <c:pt idx="1">
                  <c:v>392.3</c:v>
                </c:pt>
                <c:pt idx="2">
                  <c:v>585.4</c:v>
                </c:pt>
                <c:pt idx="3">
                  <c:v>2000</c:v>
                </c:pt>
                <c:pt idx="4">
                  <c:v>9148.9</c:v>
                </c:pt>
              </c:numCache>
            </c:numRef>
          </c:xVal>
          <c:yVal>
            <c:numRef>
              <c:f>'Tab 16'!$J$13:$N$13</c:f>
              <c:numCache>
                <c:formatCode>_-* #,##0_-;\-* #,##0_-;_-* "-"??_-;_-@_-</c:formatCode>
                <c:ptCount val="5"/>
                <c:pt idx="0">
                  <c:v>2043</c:v>
                </c:pt>
                <c:pt idx="1">
                  <c:v>1812</c:v>
                </c:pt>
                <c:pt idx="2">
                  <c:v>1731</c:v>
                </c:pt>
                <c:pt idx="3">
                  <c:v>1277</c:v>
                </c:pt>
                <c:pt idx="4">
                  <c:v>1256</c:v>
                </c:pt>
              </c:numCache>
            </c:numRef>
          </c:yVal>
          <c:smooth val="0"/>
          <c:extLst>
            <c:ext xmlns:c16="http://schemas.microsoft.com/office/drawing/2014/chart" uri="{C3380CC4-5D6E-409C-BE32-E72D297353CC}">
              <c16:uniqueId val="{00000001-A015-4BEC-B8A2-42918F18F9A0}"/>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BHKW Wasserstoff - bis 100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17'!$D$7:$G$7</c:f>
              <c:numCache>
                <c:formatCode>_-* #,##0.0_-;\-* #,##0.0_-;_-* "-"??_-;_-@_-</c:formatCode>
                <c:ptCount val="4"/>
                <c:pt idx="0">
                  <c:v>40.6</c:v>
                </c:pt>
                <c:pt idx="1">
                  <c:v>58.2</c:v>
                </c:pt>
                <c:pt idx="2">
                  <c:v>88.2</c:v>
                </c:pt>
                <c:pt idx="3">
                  <c:v>155.6</c:v>
                </c:pt>
              </c:numCache>
            </c:numRef>
          </c:xVal>
          <c:yVal>
            <c:numRef>
              <c:f>'Tab 17'!$D$13:$G$13</c:f>
              <c:numCache>
                <c:formatCode>_-* #,##0_-;\-* #,##0_-;_-* "-"??_-;_-@_-</c:formatCode>
                <c:ptCount val="4"/>
                <c:pt idx="0">
                  <c:v>2538</c:v>
                </c:pt>
                <c:pt idx="1">
                  <c:v>2102</c:v>
                </c:pt>
                <c:pt idx="2">
                  <c:v>2174</c:v>
                </c:pt>
                <c:pt idx="3">
                  <c:v>2043</c:v>
                </c:pt>
              </c:numCache>
            </c:numRef>
          </c:yVal>
          <c:smooth val="0"/>
          <c:extLst>
            <c:ext xmlns:c16="http://schemas.microsoft.com/office/drawing/2014/chart" uri="{C3380CC4-5D6E-409C-BE32-E72D297353CC}">
              <c16:uniqueId val="{00000001-AEA0-4857-A588-A452F1B92282}"/>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BHKW Wasserstoff - ab 100 kW</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17'!$G$7:$K$7</c:f>
              <c:numCache>
                <c:formatCode>_-* #,##0.0_-;\-* #,##0.0_-;_-* "-"??_-;_-@_-</c:formatCode>
                <c:ptCount val="5"/>
                <c:pt idx="0">
                  <c:v>155.6</c:v>
                </c:pt>
                <c:pt idx="1">
                  <c:v>392.3</c:v>
                </c:pt>
                <c:pt idx="2">
                  <c:v>585.4</c:v>
                </c:pt>
                <c:pt idx="3">
                  <c:v>2000</c:v>
                </c:pt>
                <c:pt idx="4">
                  <c:v>9148.9</c:v>
                </c:pt>
              </c:numCache>
            </c:numRef>
          </c:xVal>
          <c:yVal>
            <c:numRef>
              <c:f>'Tab 17'!$G$13:$K$13</c:f>
              <c:numCache>
                <c:formatCode>_-* #,##0_-;\-* #,##0_-;_-* "-"??_-;_-@_-</c:formatCode>
                <c:ptCount val="5"/>
                <c:pt idx="0">
                  <c:v>2043</c:v>
                </c:pt>
                <c:pt idx="1">
                  <c:v>1812</c:v>
                </c:pt>
                <c:pt idx="2">
                  <c:v>1731</c:v>
                </c:pt>
                <c:pt idx="3">
                  <c:v>1277</c:v>
                </c:pt>
                <c:pt idx="4">
                  <c:v>1256</c:v>
                </c:pt>
              </c:numCache>
            </c:numRef>
          </c:yVal>
          <c:smooth val="0"/>
          <c:extLst>
            <c:ext xmlns:c16="http://schemas.microsoft.com/office/drawing/2014/chart" uri="{C3380CC4-5D6E-409C-BE32-E72D297353CC}">
              <c16:uniqueId val="{00000001-775B-4C26-924F-299788ECAD20}"/>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Großwärmepumpen Luft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26'!$D$6:$G$6</c:f>
              <c:numCache>
                <c:formatCode>General</c:formatCode>
                <c:ptCount val="4"/>
                <c:pt idx="0">
                  <c:v>0.3</c:v>
                </c:pt>
                <c:pt idx="1">
                  <c:v>1.5</c:v>
                </c:pt>
                <c:pt idx="2">
                  <c:v>5</c:v>
                </c:pt>
                <c:pt idx="3">
                  <c:v>20</c:v>
                </c:pt>
              </c:numCache>
            </c:numRef>
          </c:xVal>
          <c:yVal>
            <c:numRef>
              <c:f>'Tab 26'!$D$10:$G$10</c:f>
              <c:numCache>
                <c:formatCode>_-* #,##0_-;\-* #,##0_-;_-* "-"??_-;_-@_-</c:formatCode>
                <c:ptCount val="4"/>
                <c:pt idx="0">
                  <c:v>1861</c:v>
                </c:pt>
                <c:pt idx="1">
                  <c:v>1163</c:v>
                </c:pt>
                <c:pt idx="2">
                  <c:v>931</c:v>
                </c:pt>
                <c:pt idx="3">
                  <c:v>651</c:v>
                </c:pt>
              </c:numCache>
            </c:numRef>
          </c:yVal>
          <c:smooth val="0"/>
          <c:extLst>
            <c:ext xmlns:c16="http://schemas.microsoft.com/office/drawing/2014/chart" uri="{C3380CC4-5D6E-409C-BE32-E72D297353CC}">
              <c16:uniqueId val="{00000001-6E31-4F54-BBF7-118FD27264A1}"/>
            </c:ext>
          </c:extLst>
        </c:ser>
        <c:ser>
          <c:idx val="1"/>
          <c:order val="1"/>
          <c:tx>
            <c:strRef>
              <c:f>'Tab 26'!$C$16</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26'!$D$18:$G$18</c:f>
              <c:numCache>
                <c:formatCode>General</c:formatCode>
                <c:ptCount val="4"/>
                <c:pt idx="0">
                  <c:v>0.3</c:v>
                </c:pt>
                <c:pt idx="1">
                  <c:v>1.5</c:v>
                </c:pt>
                <c:pt idx="2">
                  <c:v>5</c:v>
                </c:pt>
                <c:pt idx="3">
                  <c:v>20</c:v>
                </c:pt>
              </c:numCache>
            </c:numRef>
          </c:xVal>
          <c:yVal>
            <c:numRef>
              <c:f>'Tab 26'!$D$22:$G$22</c:f>
              <c:numCache>
                <c:formatCode>_-* #,##0_-;\-* #,##0_-;_-* "-"??_-;_-@_-</c:formatCode>
                <c:ptCount val="4"/>
                <c:pt idx="0">
                  <c:v>1768</c:v>
                </c:pt>
                <c:pt idx="1">
                  <c:v>1105</c:v>
                </c:pt>
                <c:pt idx="2">
                  <c:v>884</c:v>
                </c:pt>
                <c:pt idx="3">
                  <c:v>619</c:v>
                </c:pt>
              </c:numCache>
            </c:numRef>
          </c:yVal>
          <c:smooth val="0"/>
          <c:extLst xmlns:c15="http://schemas.microsoft.com/office/drawing/2012/chart">
            <c:ext xmlns:c16="http://schemas.microsoft.com/office/drawing/2014/chart" uri="{C3380CC4-5D6E-409C-BE32-E72D297353CC}">
              <c16:uniqueId val="{00000003-6E31-4F54-BBF7-118FD27264A1}"/>
            </c:ext>
          </c:extLst>
        </c:ser>
        <c:ser>
          <c:idx val="2"/>
          <c:order val="2"/>
          <c:tx>
            <c:strRef>
              <c:f>'Tab 26'!$C$29</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26'!$D$31:$G$31</c:f>
              <c:numCache>
                <c:formatCode>General</c:formatCode>
                <c:ptCount val="4"/>
                <c:pt idx="0">
                  <c:v>0.3</c:v>
                </c:pt>
                <c:pt idx="1">
                  <c:v>1.5</c:v>
                </c:pt>
                <c:pt idx="2">
                  <c:v>5</c:v>
                </c:pt>
                <c:pt idx="3">
                  <c:v>20</c:v>
                </c:pt>
              </c:numCache>
            </c:numRef>
          </c:xVal>
          <c:yVal>
            <c:numRef>
              <c:f>'Tab 26'!$D$35:$G$35</c:f>
              <c:numCache>
                <c:formatCode>_-* #,##0_-;\-* #,##0_-;_-* "-"??_-;_-@_-</c:formatCode>
                <c:ptCount val="4"/>
                <c:pt idx="0">
                  <c:v>1675</c:v>
                </c:pt>
                <c:pt idx="1">
                  <c:v>1047</c:v>
                </c:pt>
                <c:pt idx="2">
                  <c:v>838</c:v>
                </c:pt>
                <c:pt idx="3">
                  <c:v>586</c:v>
                </c:pt>
              </c:numCache>
            </c:numRef>
          </c:yVal>
          <c:smooth val="0"/>
          <c:extLst>
            <c:ext xmlns:c16="http://schemas.microsoft.com/office/drawing/2014/chart" uri="{C3380CC4-5D6E-409C-BE32-E72D297353CC}">
              <c16:uniqueId val="{00000005-6E31-4F54-BBF7-118FD27264A1}"/>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Großwärmepumpen Abwärme</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27'!$D$6:$G$6</c:f>
              <c:numCache>
                <c:formatCode>General</c:formatCode>
                <c:ptCount val="4"/>
                <c:pt idx="0">
                  <c:v>0.3</c:v>
                </c:pt>
                <c:pt idx="1">
                  <c:v>1.5</c:v>
                </c:pt>
                <c:pt idx="2">
                  <c:v>5</c:v>
                </c:pt>
                <c:pt idx="3">
                  <c:v>20</c:v>
                </c:pt>
              </c:numCache>
            </c:numRef>
          </c:xVal>
          <c:yVal>
            <c:numRef>
              <c:f>'Tab 27'!$D$10:$G$10</c:f>
              <c:numCache>
                <c:formatCode>_-* #,##0_-;\-* #,##0_-;_-* "-"??_-;_-@_-</c:formatCode>
                <c:ptCount val="4"/>
                <c:pt idx="0">
                  <c:v>1861</c:v>
                </c:pt>
                <c:pt idx="1">
                  <c:v>1024</c:v>
                </c:pt>
                <c:pt idx="2">
                  <c:v>872</c:v>
                </c:pt>
                <c:pt idx="3">
                  <c:v>546</c:v>
                </c:pt>
              </c:numCache>
            </c:numRef>
          </c:yVal>
          <c:smooth val="0"/>
          <c:extLst>
            <c:ext xmlns:c16="http://schemas.microsoft.com/office/drawing/2014/chart" uri="{C3380CC4-5D6E-409C-BE32-E72D297353CC}">
              <c16:uniqueId val="{00000001-C9EF-43AA-AEC5-EA40F945C60D}"/>
            </c:ext>
          </c:extLst>
        </c:ser>
        <c:ser>
          <c:idx val="1"/>
          <c:order val="1"/>
          <c:tx>
            <c:strRef>
              <c:f>'Tab 27'!$C$16</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27'!$D$18:$G$18</c:f>
              <c:numCache>
                <c:formatCode>General</c:formatCode>
                <c:ptCount val="4"/>
                <c:pt idx="0">
                  <c:v>0.3</c:v>
                </c:pt>
                <c:pt idx="1">
                  <c:v>1.5</c:v>
                </c:pt>
                <c:pt idx="2">
                  <c:v>5</c:v>
                </c:pt>
                <c:pt idx="3">
                  <c:v>20</c:v>
                </c:pt>
              </c:numCache>
            </c:numRef>
          </c:xVal>
          <c:yVal>
            <c:numRef>
              <c:f>'Tab 27'!$D$22:$G$22</c:f>
              <c:numCache>
                <c:formatCode>_-* #,##0_-;\-* #,##0_-;_-* "-"??_-;_-@_-</c:formatCode>
                <c:ptCount val="4"/>
                <c:pt idx="0">
                  <c:v>1768</c:v>
                </c:pt>
                <c:pt idx="1">
                  <c:v>973</c:v>
                </c:pt>
                <c:pt idx="2">
                  <c:v>828</c:v>
                </c:pt>
                <c:pt idx="3">
                  <c:v>519</c:v>
                </c:pt>
              </c:numCache>
            </c:numRef>
          </c:yVal>
          <c:smooth val="0"/>
          <c:extLst xmlns:c15="http://schemas.microsoft.com/office/drawing/2012/chart">
            <c:ext xmlns:c16="http://schemas.microsoft.com/office/drawing/2014/chart" uri="{C3380CC4-5D6E-409C-BE32-E72D297353CC}">
              <c16:uniqueId val="{00000003-C9EF-43AA-AEC5-EA40F945C60D}"/>
            </c:ext>
          </c:extLst>
        </c:ser>
        <c:ser>
          <c:idx val="2"/>
          <c:order val="2"/>
          <c:tx>
            <c:strRef>
              <c:f>'Tab 27'!$C$29</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27'!$D$31:$G$31</c:f>
              <c:numCache>
                <c:formatCode>General</c:formatCode>
                <c:ptCount val="4"/>
                <c:pt idx="0">
                  <c:v>0.3</c:v>
                </c:pt>
                <c:pt idx="1">
                  <c:v>1.5</c:v>
                </c:pt>
                <c:pt idx="2">
                  <c:v>5</c:v>
                </c:pt>
                <c:pt idx="3">
                  <c:v>20</c:v>
                </c:pt>
              </c:numCache>
            </c:numRef>
          </c:xVal>
          <c:yVal>
            <c:numRef>
              <c:f>'Tab 27'!$D$35:$G$35</c:f>
              <c:numCache>
                <c:formatCode>_-* #,##0_-;\-* #,##0_-;_-* "-"??_-;_-@_-</c:formatCode>
                <c:ptCount val="4"/>
                <c:pt idx="0">
                  <c:v>1675</c:v>
                </c:pt>
                <c:pt idx="1">
                  <c:v>921</c:v>
                </c:pt>
                <c:pt idx="2">
                  <c:v>785</c:v>
                </c:pt>
                <c:pt idx="3">
                  <c:v>492</c:v>
                </c:pt>
              </c:numCache>
            </c:numRef>
          </c:yVal>
          <c:smooth val="0"/>
          <c:extLst>
            <c:ext xmlns:c16="http://schemas.microsoft.com/office/drawing/2014/chart" uri="{C3380CC4-5D6E-409C-BE32-E72D297353CC}">
              <c16:uniqueId val="{00000005-C9EF-43AA-AEC5-EA40F945C60D}"/>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Großwärmepumpen Gewässer</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28'!$D$6:$E$6</c:f>
              <c:numCache>
                <c:formatCode>General</c:formatCode>
                <c:ptCount val="2"/>
                <c:pt idx="0">
                  <c:v>10</c:v>
                </c:pt>
                <c:pt idx="1">
                  <c:v>50</c:v>
                </c:pt>
              </c:numCache>
            </c:numRef>
          </c:xVal>
          <c:yVal>
            <c:numRef>
              <c:f>'Tab 28'!$D$10:$E$10</c:f>
              <c:numCache>
                <c:formatCode>_-* #,##0_-;\-* #,##0_-;_-* "-"??_-;_-@_-</c:formatCode>
                <c:ptCount val="2"/>
                <c:pt idx="0">
                  <c:v>978</c:v>
                </c:pt>
                <c:pt idx="1">
                  <c:v>279</c:v>
                </c:pt>
              </c:numCache>
            </c:numRef>
          </c:yVal>
          <c:smooth val="0"/>
          <c:extLst>
            <c:ext xmlns:c16="http://schemas.microsoft.com/office/drawing/2014/chart" uri="{C3380CC4-5D6E-409C-BE32-E72D297353CC}">
              <c16:uniqueId val="{00000001-120C-4801-AE66-083EF3660D88}"/>
            </c:ext>
          </c:extLst>
        </c:ser>
        <c:ser>
          <c:idx val="1"/>
          <c:order val="1"/>
          <c:tx>
            <c:strRef>
              <c:f>'Tab 28'!$C$16</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28'!$D$18:$E$18</c:f>
              <c:numCache>
                <c:formatCode>General</c:formatCode>
                <c:ptCount val="2"/>
                <c:pt idx="0">
                  <c:v>10</c:v>
                </c:pt>
                <c:pt idx="1">
                  <c:v>50</c:v>
                </c:pt>
              </c:numCache>
            </c:numRef>
          </c:xVal>
          <c:yVal>
            <c:numRef>
              <c:f>'Tab 28'!$D$22:$E$22</c:f>
              <c:numCache>
                <c:formatCode>_-* #,##0_-;\-* #,##0_-;_-* "-"??_-;_-@_-</c:formatCode>
                <c:ptCount val="2"/>
                <c:pt idx="0">
                  <c:v>929</c:v>
                </c:pt>
                <c:pt idx="1">
                  <c:v>265</c:v>
                </c:pt>
              </c:numCache>
            </c:numRef>
          </c:yVal>
          <c:smooth val="0"/>
          <c:extLst xmlns:c15="http://schemas.microsoft.com/office/drawing/2012/chart">
            <c:ext xmlns:c16="http://schemas.microsoft.com/office/drawing/2014/chart" uri="{C3380CC4-5D6E-409C-BE32-E72D297353CC}">
              <c16:uniqueId val="{00000003-120C-4801-AE66-083EF3660D88}"/>
            </c:ext>
          </c:extLst>
        </c:ser>
        <c:ser>
          <c:idx val="2"/>
          <c:order val="2"/>
          <c:tx>
            <c:strRef>
              <c:f>'Tab 28'!$C$29</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28'!$D$31:$E$31</c:f>
              <c:numCache>
                <c:formatCode>General</c:formatCode>
                <c:ptCount val="2"/>
                <c:pt idx="0">
                  <c:v>10</c:v>
                </c:pt>
                <c:pt idx="1">
                  <c:v>50</c:v>
                </c:pt>
              </c:numCache>
            </c:numRef>
          </c:xVal>
          <c:yVal>
            <c:numRef>
              <c:f>'Tab 28'!$D$35:$E$35</c:f>
              <c:numCache>
                <c:formatCode>_-* #,##0_-;\-* #,##0_-;_-* "-"??_-;_-@_-</c:formatCode>
                <c:ptCount val="2"/>
                <c:pt idx="0">
                  <c:v>880</c:v>
                </c:pt>
                <c:pt idx="1">
                  <c:v>251</c:v>
                </c:pt>
              </c:numCache>
            </c:numRef>
          </c:yVal>
          <c:smooth val="0"/>
          <c:extLst>
            <c:ext xmlns:c16="http://schemas.microsoft.com/office/drawing/2014/chart" uri="{C3380CC4-5D6E-409C-BE32-E72D297353CC}">
              <c16:uniqueId val="{00000005-120C-4801-AE66-083EF3660D88}"/>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Großwärmepumpen Absorption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29'!$D$6:$E$6</c:f>
              <c:numCache>
                <c:formatCode>General</c:formatCode>
                <c:ptCount val="2"/>
                <c:pt idx="0">
                  <c:v>12</c:v>
                </c:pt>
                <c:pt idx="1">
                  <c:v>20</c:v>
                </c:pt>
              </c:numCache>
            </c:numRef>
          </c:xVal>
          <c:yVal>
            <c:numRef>
              <c:f>'Tab 29'!$D$10:$E$10</c:f>
              <c:numCache>
                <c:formatCode>_-* #,##0_-;\-* #,##0_-;_-* "-"??_-;_-@_-</c:formatCode>
                <c:ptCount val="2"/>
                <c:pt idx="0">
                  <c:v>783</c:v>
                </c:pt>
                <c:pt idx="1">
                  <c:v>391</c:v>
                </c:pt>
              </c:numCache>
            </c:numRef>
          </c:yVal>
          <c:smooth val="0"/>
          <c:extLst>
            <c:ext xmlns:c16="http://schemas.microsoft.com/office/drawing/2014/chart" uri="{C3380CC4-5D6E-409C-BE32-E72D297353CC}">
              <c16:uniqueId val="{00000001-3460-4B95-BD33-F09EA71920C0}"/>
            </c:ext>
          </c:extLst>
        </c:ser>
        <c:ser>
          <c:idx val="1"/>
          <c:order val="1"/>
          <c:tx>
            <c:strRef>
              <c:f>'Tab 29'!$C$16</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29'!$D$18:$E$18</c:f>
              <c:numCache>
                <c:formatCode>General</c:formatCode>
                <c:ptCount val="2"/>
                <c:pt idx="0">
                  <c:v>12</c:v>
                </c:pt>
                <c:pt idx="1">
                  <c:v>20</c:v>
                </c:pt>
              </c:numCache>
            </c:numRef>
          </c:xVal>
          <c:yVal>
            <c:numRef>
              <c:f>'Tab 29'!$D$22:$E$22</c:f>
              <c:numCache>
                <c:formatCode>_-* #,##0_-;\-* #,##0_-;_-* "-"??_-;_-@_-</c:formatCode>
                <c:ptCount val="2"/>
                <c:pt idx="0">
                  <c:v>743</c:v>
                </c:pt>
                <c:pt idx="1">
                  <c:v>372</c:v>
                </c:pt>
              </c:numCache>
            </c:numRef>
          </c:yVal>
          <c:smooth val="0"/>
          <c:extLst xmlns:c15="http://schemas.microsoft.com/office/drawing/2012/chart">
            <c:ext xmlns:c16="http://schemas.microsoft.com/office/drawing/2014/chart" uri="{C3380CC4-5D6E-409C-BE32-E72D297353CC}">
              <c16:uniqueId val="{00000003-3460-4B95-BD33-F09EA71920C0}"/>
            </c:ext>
          </c:extLst>
        </c:ser>
        <c:ser>
          <c:idx val="2"/>
          <c:order val="2"/>
          <c:tx>
            <c:strRef>
              <c:f>'Tab 29'!$C$29</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29'!$D$31:$E$31</c:f>
              <c:numCache>
                <c:formatCode>General</c:formatCode>
                <c:ptCount val="2"/>
                <c:pt idx="0">
                  <c:v>12</c:v>
                </c:pt>
                <c:pt idx="1">
                  <c:v>20</c:v>
                </c:pt>
              </c:numCache>
            </c:numRef>
          </c:xVal>
          <c:yVal>
            <c:numRef>
              <c:f>'Tab 29'!$D$35:$E$35</c:f>
              <c:numCache>
                <c:formatCode>_-* #,##0_-;\-* #,##0_-;_-* "-"??_-;_-@_-</c:formatCode>
                <c:ptCount val="2"/>
                <c:pt idx="0">
                  <c:v>704</c:v>
                </c:pt>
                <c:pt idx="1">
                  <c:v>352</c:v>
                </c:pt>
              </c:numCache>
            </c:numRef>
          </c:yVal>
          <c:smooth val="0"/>
          <c:extLst>
            <c:ext xmlns:c16="http://schemas.microsoft.com/office/drawing/2014/chart" uri="{C3380CC4-5D6E-409C-BE32-E72D297353CC}">
              <c16:uniqueId val="{00000005-3460-4B95-BD33-F09EA71920C0}"/>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Großwärmepumpen Klärwasser/Abwasser</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30'!$D$6:$E$6</c:f>
              <c:numCache>
                <c:formatCode>General</c:formatCode>
                <c:ptCount val="2"/>
                <c:pt idx="0">
                  <c:v>1</c:v>
                </c:pt>
                <c:pt idx="1">
                  <c:v>10</c:v>
                </c:pt>
              </c:numCache>
            </c:numRef>
          </c:xVal>
          <c:yVal>
            <c:numRef>
              <c:f>'Tab 30'!$D$10:$E$10</c:f>
              <c:numCache>
                <c:formatCode>_-* #,##0_-;\-* #,##0_-;_-* "-"??_-;_-@_-</c:formatCode>
                <c:ptCount val="2"/>
                <c:pt idx="0">
                  <c:v>1243</c:v>
                </c:pt>
                <c:pt idx="1">
                  <c:v>719</c:v>
                </c:pt>
              </c:numCache>
            </c:numRef>
          </c:yVal>
          <c:smooth val="0"/>
          <c:extLst>
            <c:ext xmlns:c16="http://schemas.microsoft.com/office/drawing/2014/chart" uri="{C3380CC4-5D6E-409C-BE32-E72D297353CC}">
              <c16:uniqueId val="{00000001-F46E-4265-AECE-D42C5F722577}"/>
            </c:ext>
          </c:extLst>
        </c:ser>
        <c:ser>
          <c:idx val="1"/>
          <c:order val="1"/>
          <c:tx>
            <c:strRef>
              <c:f>'Tab 30'!$C$16</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30'!$D$18:$E$18</c:f>
              <c:numCache>
                <c:formatCode>General</c:formatCode>
                <c:ptCount val="2"/>
                <c:pt idx="0">
                  <c:v>1</c:v>
                </c:pt>
                <c:pt idx="1">
                  <c:v>10</c:v>
                </c:pt>
              </c:numCache>
            </c:numRef>
          </c:xVal>
          <c:yVal>
            <c:numRef>
              <c:f>'Tab 30'!$D$22:$E$22</c:f>
              <c:numCache>
                <c:formatCode>_-* #,##0_-;\-* #,##0_-;_-* "-"??_-;_-@_-</c:formatCode>
                <c:ptCount val="2"/>
                <c:pt idx="0">
                  <c:v>1180</c:v>
                </c:pt>
                <c:pt idx="1">
                  <c:v>683</c:v>
                </c:pt>
              </c:numCache>
            </c:numRef>
          </c:yVal>
          <c:smooth val="0"/>
          <c:extLst xmlns:c15="http://schemas.microsoft.com/office/drawing/2012/chart">
            <c:ext xmlns:c16="http://schemas.microsoft.com/office/drawing/2014/chart" uri="{C3380CC4-5D6E-409C-BE32-E72D297353CC}">
              <c16:uniqueId val="{00000003-F46E-4265-AECE-D42C5F722577}"/>
            </c:ext>
          </c:extLst>
        </c:ser>
        <c:ser>
          <c:idx val="2"/>
          <c:order val="2"/>
          <c:tx>
            <c:strRef>
              <c:f>'Tab 30'!$C$29</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30'!$D$31:$E$31</c:f>
              <c:numCache>
                <c:formatCode>General</c:formatCode>
                <c:ptCount val="2"/>
                <c:pt idx="0">
                  <c:v>1</c:v>
                </c:pt>
                <c:pt idx="1">
                  <c:v>10</c:v>
                </c:pt>
              </c:numCache>
            </c:numRef>
          </c:xVal>
          <c:yVal>
            <c:numRef>
              <c:f>'Tab 30'!$D$35:$E$35</c:f>
              <c:numCache>
                <c:formatCode>_-* #,##0_-;\-* #,##0_-;_-* "-"??_-;_-@_-</c:formatCode>
                <c:ptCount val="2"/>
                <c:pt idx="0">
                  <c:v>1118</c:v>
                </c:pt>
                <c:pt idx="1">
                  <c:v>647</c:v>
                </c:pt>
              </c:numCache>
            </c:numRef>
          </c:yVal>
          <c:smooth val="0"/>
          <c:extLst>
            <c:ext xmlns:c16="http://schemas.microsoft.com/office/drawing/2014/chart" uri="{C3380CC4-5D6E-409C-BE32-E72D297353CC}">
              <c16:uniqueId val="{00000005-F46E-4265-AECE-D42C5F722577}"/>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Spitzenlastkessel Erdgas</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33'!$D$6:$E$6</c:f>
              <c:numCache>
                <c:formatCode>General</c:formatCode>
                <c:ptCount val="2"/>
                <c:pt idx="0">
                  <c:v>0.5</c:v>
                </c:pt>
                <c:pt idx="1">
                  <c:v>10</c:v>
                </c:pt>
              </c:numCache>
            </c:numRef>
          </c:xVal>
          <c:yVal>
            <c:numRef>
              <c:f>'Tab 33'!$D$10:$E$10</c:f>
              <c:numCache>
                <c:formatCode>0</c:formatCode>
                <c:ptCount val="2"/>
                <c:pt idx="0">
                  <c:v>131</c:v>
                </c:pt>
                <c:pt idx="1">
                  <c:v>107</c:v>
                </c:pt>
              </c:numCache>
            </c:numRef>
          </c:yVal>
          <c:smooth val="0"/>
          <c:extLst>
            <c:ext xmlns:c16="http://schemas.microsoft.com/office/drawing/2014/chart" uri="{C3380CC4-5D6E-409C-BE32-E72D297353CC}">
              <c16:uniqueId val="{00000001-87FE-4A35-B022-95D36314F413}"/>
            </c:ext>
          </c:extLst>
        </c:ser>
        <c:dLbls>
          <c:showLegendKey val="0"/>
          <c:showVal val="0"/>
          <c:showCatName val="0"/>
          <c:showSerName val="0"/>
          <c:showPercent val="0"/>
          <c:showBubbleSize val="0"/>
        </c:dLbls>
        <c:axId val="14719936"/>
        <c:axId val="16286816"/>
        <c:extLst>
          <c:ext xmlns:c15="http://schemas.microsoft.com/office/drawing/2012/chart" uri="{02D57815-91ED-43cb-92C2-25804820EDAC}">
            <c15:filteredScatterSeries>
              <c15:ser>
                <c:idx val="1"/>
                <c:order val="1"/>
                <c:tx>
                  <c:strRef>
                    <c:extLst>
                      <c:ext uri="{02D57815-91ED-43cb-92C2-25804820EDAC}">
                        <c15:formulaRef>
                          <c15:sqref>'Tab 33'!$C$18</c15:sqref>
                        </c15:formulaRef>
                      </c:ext>
                    </c:extLst>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extLst>
                      <c:ext uri="{02D57815-91ED-43cb-92C2-25804820EDAC}">
                        <c15:formulaRef>
                          <c15:sqref>'Tab 33'!$D$20:$E$20</c15:sqref>
                        </c15:formulaRef>
                      </c:ext>
                    </c:extLst>
                    <c:numCache>
                      <c:formatCode>General</c:formatCode>
                      <c:ptCount val="2"/>
                      <c:pt idx="0">
                        <c:v>0.5</c:v>
                      </c:pt>
                      <c:pt idx="1">
                        <c:v>10</c:v>
                      </c:pt>
                    </c:numCache>
                  </c:numRef>
                </c:xVal>
                <c:yVal>
                  <c:numRef>
                    <c:extLst>
                      <c:ext uri="{02D57815-91ED-43cb-92C2-25804820EDAC}">
                        <c15:formulaRef>
                          <c15:sqref>'Tab 33'!$D$24:$E$24</c15:sqref>
                        </c15:formulaRef>
                      </c:ext>
                    </c:extLst>
                    <c:numCache>
                      <c:formatCode>0</c:formatCode>
                      <c:ptCount val="2"/>
                      <c:pt idx="0">
                        <c:v>131</c:v>
                      </c:pt>
                      <c:pt idx="1">
                        <c:v>107</c:v>
                      </c:pt>
                    </c:numCache>
                  </c:numRef>
                </c:yVal>
                <c:smooth val="0"/>
                <c:extLst>
                  <c:ext xmlns:c16="http://schemas.microsoft.com/office/drawing/2014/chart" uri="{C3380CC4-5D6E-409C-BE32-E72D297353CC}">
                    <c16:uniqueId val="{00000003-87FE-4A35-B022-95D36314F413}"/>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'Tab 33'!$C$32</c15:sqref>
                        </c15:formulaRef>
                      </c:ext>
                    </c:extLst>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extLst xmlns:c15="http://schemas.microsoft.com/office/drawing/2012/chart">
                      <c:ext xmlns:c15="http://schemas.microsoft.com/office/drawing/2012/chart" uri="{02D57815-91ED-43cb-92C2-25804820EDAC}">
                        <c15:formulaRef>
                          <c15:sqref>'Tab 33'!$D$34:$E$34</c15:sqref>
                        </c15:formulaRef>
                      </c:ext>
                    </c:extLst>
                    <c:numCache>
                      <c:formatCode>General</c:formatCode>
                      <c:ptCount val="2"/>
                      <c:pt idx="0">
                        <c:v>0.5</c:v>
                      </c:pt>
                      <c:pt idx="1">
                        <c:v>10</c:v>
                      </c:pt>
                    </c:numCache>
                  </c:numRef>
                </c:xVal>
                <c:yVal>
                  <c:numRef>
                    <c:extLst xmlns:c15="http://schemas.microsoft.com/office/drawing/2012/chart">
                      <c:ext xmlns:c15="http://schemas.microsoft.com/office/drawing/2012/chart" uri="{02D57815-91ED-43cb-92C2-25804820EDAC}">
                        <c15:formulaRef>
                          <c15:sqref>'Tab 33'!$D$38:$E$38</c15:sqref>
                        </c15:formulaRef>
                      </c:ext>
                    </c:extLst>
                    <c:numCache>
                      <c:formatCode>0</c:formatCode>
                      <c:ptCount val="2"/>
                      <c:pt idx="0">
                        <c:v>131</c:v>
                      </c:pt>
                      <c:pt idx="1">
                        <c:v>107</c:v>
                      </c:pt>
                    </c:numCache>
                  </c:numRef>
                </c:yVal>
                <c:smooth val="0"/>
                <c:extLst xmlns:c15="http://schemas.microsoft.com/office/drawing/2012/chart">
                  <c:ext xmlns:c16="http://schemas.microsoft.com/office/drawing/2014/chart" uri="{C3380CC4-5D6E-409C-BE32-E72D297353CC}">
                    <c16:uniqueId val="{00000005-87FE-4A35-B022-95D36314F413}"/>
                  </c:ext>
                </c:extLst>
              </c15:ser>
            </c15:filteredScatterSeries>
          </c:ext>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Spitzenlastkessel Heizöl</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34'!$D$6:$E$6</c:f>
              <c:numCache>
                <c:formatCode>General</c:formatCode>
                <c:ptCount val="2"/>
                <c:pt idx="0">
                  <c:v>0.1</c:v>
                </c:pt>
                <c:pt idx="1">
                  <c:v>1</c:v>
                </c:pt>
              </c:numCache>
            </c:numRef>
          </c:xVal>
          <c:yVal>
            <c:numRef>
              <c:f>'Tab 34'!$D$10:$E$10</c:f>
              <c:numCache>
                <c:formatCode>0</c:formatCode>
                <c:ptCount val="2"/>
                <c:pt idx="0">
                  <c:v>183</c:v>
                </c:pt>
                <c:pt idx="1">
                  <c:v>149</c:v>
                </c:pt>
              </c:numCache>
            </c:numRef>
          </c:yVal>
          <c:smooth val="0"/>
          <c:extLst>
            <c:ext xmlns:c16="http://schemas.microsoft.com/office/drawing/2014/chart" uri="{C3380CC4-5D6E-409C-BE32-E72D297353CC}">
              <c16:uniqueId val="{00000001-5ACF-4FFF-93B2-2E8D3B377C58}"/>
            </c:ext>
          </c:extLst>
        </c:ser>
        <c:dLbls>
          <c:showLegendKey val="0"/>
          <c:showVal val="0"/>
          <c:showCatName val="0"/>
          <c:showSerName val="0"/>
          <c:showPercent val="0"/>
          <c:showBubbleSize val="0"/>
        </c:dLbls>
        <c:axId val="14719936"/>
        <c:axId val="16286816"/>
        <c:extLst>
          <c:ext xmlns:c15="http://schemas.microsoft.com/office/drawing/2012/chart" uri="{02D57815-91ED-43cb-92C2-25804820EDAC}">
            <c15:filteredScatterSeries>
              <c15:ser>
                <c:idx val="1"/>
                <c:order val="1"/>
                <c:tx>
                  <c:strRef>
                    <c:extLst>
                      <c:ext uri="{02D57815-91ED-43cb-92C2-25804820EDAC}">
                        <c15:formulaRef>
                          <c15:sqref>'Tab 34'!$C$18</c15:sqref>
                        </c15:formulaRef>
                      </c:ext>
                    </c:extLst>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extLst>
                      <c:ext uri="{02D57815-91ED-43cb-92C2-25804820EDAC}">
                        <c15:formulaRef>
                          <c15:sqref>'Tab 34'!$D$20:$E$20</c15:sqref>
                        </c15:formulaRef>
                      </c:ext>
                    </c:extLst>
                    <c:numCache>
                      <c:formatCode>General</c:formatCode>
                      <c:ptCount val="2"/>
                      <c:pt idx="0">
                        <c:v>0.1</c:v>
                      </c:pt>
                      <c:pt idx="1">
                        <c:v>1</c:v>
                      </c:pt>
                    </c:numCache>
                  </c:numRef>
                </c:xVal>
                <c:yVal>
                  <c:numRef>
                    <c:extLst>
                      <c:ext uri="{02D57815-91ED-43cb-92C2-25804820EDAC}">
                        <c15:formulaRef>
                          <c15:sqref>'Tab 34'!$D$24:$E$24</c15:sqref>
                        </c15:formulaRef>
                      </c:ext>
                    </c:extLst>
                    <c:numCache>
                      <c:formatCode>0</c:formatCode>
                      <c:ptCount val="2"/>
                      <c:pt idx="0">
                        <c:v>183</c:v>
                      </c:pt>
                      <c:pt idx="1">
                        <c:v>149</c:v>
                      </c:pt>
                    </c:numCache>
                  </c:numRef>
                </c:yVal>
                <c:smooth val="0"/>
                <c:extLst>
                  <c:ext xmlns:c16="http://schemas.microsoft.com/office/drawing/2014/chart" uri="{C3380CC4-5D6E-409C-BE32-E72D297353CC}">
                    <c16:uniqueId val="{00000003-5ACF-4FFF-93B2-2E8D3B377C58}"/>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'Tab 34'!$C$32</c15:sqref>
                        </c15:formulaRef>
                      </c:ext>
                    </c:extLst>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extLst xmlns:c15="http://schemas.microsoft.com/office/drawing/2012/chart">
                      <c:ext xmlns:c15="http://schemas.microsoft.com/office/drawing/2012/chart" uri="{02D57815-91ED-43cb-92C2-25804820EDAC}">
                        <c15:formulaRef>
                          <c15:sqref>'Tab 34'!$D$34:$E$34</c15:sqref>
                        </c15:formulaRef>
                      </c:ext>
                    </c:extLst>
                    <c:numCache>
                      <c:formatCode>General</c:formatCode>
                      <c:ptCount val="2"/>
                      <c:pt idx="0">
                        <c:v>0.1</c:v>
                      </c:pt>
                      <c:pt idx="1">
                        <c:v>1</c:v>
                      </c:pt>
                    </c:numCache>
                  </c:numRef>
                </c:xVal>
                <c:yVal>
                  <c:numRef>
                    <c:extLst xmlns:c15="http://schemas.microsoft.com/office/drawing/2012/chart">
                      <c:ext xmlns:c15="http://schemas.microsoft.com/office/drawing/2012/chart" uri="{02D57815-91ED-43cb-92C2-25804820EDAC}">
                        <c15:formulaRef>
                          <c15:sqref>'Tab 34'!$D$38:$E$38</c15:sqref>
                        </c15:formulaRef>
                      </c:ext>
                    </c:extLst>
                    <c:numCache>
                      <c:formatCode>0</c:formatCode>
                      <c:ptCount val="2"/>
                      <c:pt idx="0">
                        <c:v>183</c:v>
                      </c:pt>
                      <c:pt idx="1">
                        <c:v>149</c:v>
                      </c:pt>
                    </c:numCache>
                  </c:numRef>
                </c:yVal>
                <c:smooth val="0"/>
                <c:extLst xmlns:c15="http://schemas.microsoft.com/office/drawing/2012/chart">
                  <c:ext xmlns:c16="http://schemas.microsoft.com/office/drawing/2014/chart" uri="{C3380CC4-5D6E-409C-BE32-E72D297353CC}">
                    <c16:uniqueId val="{00000005-5ACF-4FFF-93B2-2E8D3B377C58}"/>
                  </c:ext>
                </c:extLst>
              </c15:ser>
            </c15:filteredScatterSeries>
          </c:ext>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a:t>
                </a:r>
                <a:r>
                  <a:rPr lang="de-DE" baseline="-25000"/>
                  <a:t>th</a:t>
                </a:r>
                <a:r>
                  <a:rPr lang="de-DE"/>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a:t>
                </a:r>
                <a:r>
                  <a:rPr lang="de-DE" baseline="-25000"/>
                  <a:t>th</a:t>
                </a:r>
                <a:r>
                  <a:rPr lang="de-DE" baseline="0"/>
                  <a: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 Investitionskosten Solarthermie FFA Flachkollektoren</a:t>
            </a:r>
          </a:p>
        </c:rich>
      </c:tx>
      <c:layout>
        <c:manualLayout>
          <c:xMode val="edge"/>
          <c:yMode val="edge"/>
          <c:x val="0.17427609427609428"/>
          <c:y val="2.7681660899653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1"/>
          <c:order val="0"/>
          <c:tx>
            <c:strRef>
              <c:f>'Tab 36'!$C$4</c:f>
              <c:strCache>
                <c:ptCount val="1"/>
                <c:pt idx="0">
                  <c:v>2023</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5.7975450038442164E-2"/>
                  <c:y val="-5.1916192136882547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chemeClr val="accent2"/>
                        </a:solidFill>
                      </a:rPr>
                      <a:t>y = 504,25x</a:t>
                    </a:r>
                    <a:r>
                      <a:rPr lang="en-US" baseline="30000">
                        <a:solidFill>
                          <a:schemeClr val="accent2"/>
                        </a:solidFill>
                      </a:rPr>
                      <a:t>-0,077</a:t>
                    </a:r>
                    <a:endParaRPr lang="en-US">
                      <a:solidFill>
                        <a:schemeClr val="accent2"/>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 36'!$D$6:$I$6</c:f>
              <c:numCache>
                <c:formatCode>_-* #,##0_-;\-* #,##0_-;_-* "-"??_-;_-@_-</c:formatCode>
                <c:ptCount val="6"/>
                <c:pt idx="0">
                  <c:v>500</c:v>
                </c:pt>
                <c:pt idx="1">
                  <c:v>1000</c:v>
                </c:pt>
                <c:pt idx="2">
                  <c:v>2000</c:v>
                </c:pt>
                <c:pt idx="3">
                  <c:v>5000</c:v>
                </c:pt>
                <c:pt idx="4">
                  <c:v>10000</c:v>
                </c:pt>
                <c:pt idx="5">
                  <c:v>15000</c:v>
                </c:pt>
              </c:numCache>
            </c:numRef>
          </c:xVal>
          <c:yVal>
            <c:numRef>
              <c:f>'Tab 36'!$D$14:$I$14</c:f>
              <c:numCache>
                <c:formatCode>0</c:formatCode>
                <c:ptCount val="6"/>
                <c:pt idx="0">
                  <c:v>341</c:v>
                </c:pt>
                <c:pt idx="1">
                  <c:v>323</c:v>
                </c:pt>
                <c:pt idx="2">
                  <c:v>307</c:v>
                </c:pt>
                <c:pt idx="3">
                  <c:v>286</c:v>
                </c:pt>
                <c:pt idx="4">
                  <c:v>270</c:v>
                </c:pt>
                <c:pt idx="5">
                  <c:v>263</c:v>
                </c:pt>
              </c:numCache>
            </c:numRef>
          </c:yVal>
          <c:smooth val="0"/>
          <c:extLst>
            <c:ext xmlns:c16="http://schemas.microsoft.com/office/drawing/2014/chart" uri="{C3380CC4-5D6E-409C-BE32-E72D297353CC}">
              <c16:uniqueId val="{00000001-BD36-4477-9B4F-728AA396CD88}"/>
            </c:ext>
          </c:extLst>
        </c:ser>
        <c:ser>
          <c:idx val="0"/>
          <c:order val="1"/>
          <c:tx>
            <c:strRef>
              <c:f>'Tab 36'!$C$22</c:f>
              <c:strCache>
                <c:ptCount val="1"/>
                <c:pt idx="0">
                  <c:v>2030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5281847344839471E-2"/>
                  <c:y val="0.10906756032658547"/>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chemeClr val="accent5"/>
                        </a:solidFill>
                      </a:rPr>
                      <a:t>y = 482,01x</a:t>
                    </a:r>
                    <a:r>
                      <a:rPr lang="en-US" baseline="30000">
                        <a:solidFill>
                          <a:schemeClr val="accent5"/>
                        </a:solidFill>
                      </a:rPr>
                      <a:t>-0,077</a:t>
                    </a:r>
                    <a:endParaRPr lang="en-US">
                      <a:solidFill>
                        <a:schemeClr val="accent5"/>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 36'!$D$24:$I$24</c:f>
              <c:numCache>
                <c:formatCode>_-* #,##0_-;\-* #,##0_-;_-* "-"??_-;_-@_-</c:formatCode>
                <c:ptCount val="6"/>
                <c:pt idx="0">
                  <c:v>500</c:v>
                </c:pt>
                <c:pt idx="1">
                  <c:v>1000</c:v>
                </c:pt>
                <c:pt idx="2">
                  <c:v>2000</c:v>
                </c:pt>
                <c:pt idx="3">
                  <c:v>5000</c:v>
                </c:pt>
                <c:pt idx="4">
                  <c:v>10000</c:v>
                </c:pt>
                <c:pt idx="5">
                  <c:v>15000</c:v>
                </c:pt>
              </c:numCache>
            </c:numRef>
          </c:xVal>
          <c:yVal>
            <c:numRef>
              <c:f>'Tab 36'!$D$32:$I$32</c:f>
              <c:numCache>
                <c:formatCode>0</c:formatCode>
                <c:ptCount val="6"/>
                <c:pt idx="0">
                  <c:v>326</c:v>
                </c:pt>
                <c:pt idx="1">
                  <c:v>309</c:v>
                </c:pt>
                <c:pt idx="2">
                  <c:v>293</c:v>
                </c:pt>
                <c:pt idx="3">
                  <c:v>274</c:v>
                </c:pt>
                <c:pt idx="4">
                  <c:v>258</c:v>
                </c:pt>
                <c:pt idx="5">
                  <c:v>251</c:v>
                </c:pt>
              </c:numCache>
            </c:numRef>
          </c:yVal>
          <c:smooth val="0"/>
          <c:extLst>
            <c:ext xmlns:c16="http://schemas.microsoft.com/office/drawing/2014/chart" uri="{C3380CC4-5D6E-409C-BE32-E72D297353CC}">
              <c16:uniqueId val="{00000003-BD36-4477-9B4F-728AA396CD88}"/>
            </c:ext>
          </c:extLst>
        </c:ser>
        <c:ser>
          <c:idx val="2"/>
          <c:order val="2"/>
          <c:tx>
            <c:strRef>
              <c:f>'Tab 36'!$C$40</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0.12518953312654099"/>
                  <c:y val="6.9902006193862443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solidFill>
                          <a:schemeClr val="accent3"/>
                        </a:solidFill>
                      </a:rPr>
                      <a:t>y = 436,03x</a:t>
                    </a:r>
                    <a:r>
                      <a:rPr lang="en-US" baseline="30000">
                        <a:solidFill>
                          <a:schemeClr val="accent3"/>
                        </a:solidFill>
                      </a:rPr>
                      <a:t>-0,077</a:t>
                    </a:r>
                    <a:endParaRPr lang="en-US">
                      <a:solidFill>
                        <a:schemeClr val="accent3"/>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 36'!$D$42:$I$42</c:f>
              <c:numCache>
                <c:formatCode>_-* #,##0_-;\-* #,##0_-;_-* "-"??_-;_-@_-</c:formatCode>
                <c:ptCount val="6"/>
                <c:pt idx="0">
                  <c:v>500</c:v>
                </c:pt>
                <c:pt idx="1">
                  <c:v>1000</c:v>
                </c:pt>
                <c:pt idx="2">
                  <c:v>2000</c:v>
                </c:pt>
                <c:pt idx="3">
                  <c:v>5000</c:v>
                </c:pt>
                <c:pt idx="4">
                  <c:v>10000</c:v>
                </c:pt>
                <c:pt idx="5">
                  <c:v>15000</c:v>
                </c:pt>
              </c:numCache>
            </c:numRef>
          </c:xVal>
          <c:yVal>
            <c:numRef>
              <c:f>'Tab 36'!$D$50:$I$50</c:f>
              <c:numCache>
                <c:formatCode>0</c:formatCode>
                <c:ptCount val="6"/>
                <c:pt idx="0">
                  <c:v>295</c:v>
                </c:pt>
                <c:pt idx="1">
                  <c:v>279</c:v>
                </c:pt>
                <c:pt idx="2">
                  <c:v>265</c:v>
                </c:pt>
                <c:pt idx="3">
                  <c:v>247</c:v>
                </c:pt>
                <c:pt idx="4">
                  <c:v>234</c:v>
                </c:pt>
                <c:pt idx="5">
                  <c:v>227</c:v>
                </c:pt>
              </c:numCache>
            </c:numRef>
          </c:yVal>
          <c:smooth val="0"/>
          <c:extLst>
            <c:ext xmlns:c16="http://schemas.microsoft.com/office/drawing/2014/chart" uri="{C3380CC4-5D6E-409C-BE32-E72D297353CC}">
              <c16:uniqueId val="{00000005-BD36-4477-9B4F-728AA396CD88}"/>
            </c:ext>
          </c:extLst>
        </c:ser>
        <c:dLbls>
          <c:showLegendKey val="0"/>
          <c:showVal val="0"/>
          <c:showCatName val="0"/>
          <c:showSerName val="0"/>
          <c:showPercent val="0"/>
          <c:showBubbleSize val="0"/>
        </c:dLbls>
        <c:axId val="726966432"/>
        <c:axId val="726969312"/>
      </c:scatterChart>
      <c:valAx>
        <c:axId val="726966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Kollektor-Apperturfläche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26969312"/>
        <c:crosses val="autoZero"/>
        <c:crossBetween val="midCat"/>
      </c:valAx>
      <c:valAx>
        <c:axId val="726969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[€/m2]</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26966432"/>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 Investitionskosten Solarthermie FFA Vakuum-Röhren-Kollektoren</a:t>
            </a:r>
          </a:p>
        </c:rich>
      </c:tx>
      <c:layout>
        <c:manualLayout>
          <c:xMode val="edge"/>
          <c:yMode val="edge"/>
          <c:x val="0.17427609427609428"/>
          <c:y val="2.7681660899653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1"/>
          <c:order val="0"/>
          <c:tx>
            <c:strRef>
              <c:f>'Tab 37'!$C$4</c:f>
              <c:strCache>
                <c:ptCount val="1"/>
                <c:pt idx="0">
                  <c:v>2023</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5.7975450038442164E-2"/>
                  <c:y val="-5.19161921368825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37'!$D$6:$I$6</c:f>
              <c:numCache>
                <c:formatCode>_-* #,##0_-;\-* #,##0_-;_-* "-"??_-;_-@_-</c:formatCode>
                <c:ptCount val="6"/>
                <c:pt idx="0">
                  <c:v>500</c:v>
                </c:pt>
                <c:pt idx="1">
                  <c:v>1000</c:v>
                </c:pt>
                <c:pt idx="2">
                  <c:v>2000</c:v>
                </c:pt>
                <c:pt idx="3">
                  <c:v>5000</c:v>
                </c:pt>
                <c:pt idx="4">
                  <c:v>10000</c:v>
                </c:pt>
                <c:pt idx="5">
                  <c:v>15000</c:v>
                </c:pt>
              </c:numCache>
            </c:numRef>
          </c:xVal>
          <c:yVal>
            <c:numRef>
              <c:f>'Tab 37'!$D$14:$I$14</c:f>
              <c:numCache>
                <c:formatCode>0</c:formatCode>
                <c:ptCount val="6"/>
                <c:pt idx="0">
                  <c:v>495</c:v>
                </c:pt>
                <c:pt idx="1">
                  <c:v>458</c:v>
                </c:pt>
                <c:pt idx="2">
                  <c:v>425</c:v>
                </c:pt>
                <c:pt idx="3">
                  <c:v>384</c:v>
                </c:pt>
                <c:pt idx="4">
                  <c:v>356</c:v>
                </c:pt>
                <c:pt idx="5">
                  <c:v>342</c:v>
                </c:pt>
              </c:numCache>
            </c:numRef>
          </c:yVal>
          <c:smooth val="0"/>
          <c:extLst>
            <c:ext xmlns:c16="http://schemas.microsoft.com/office/drawing/2014/chart" uri="{C3380CC4-5D6E-409C-BE32-E72D297353CC}">
              <c16:uniqueId val="{00000001-AA5F-4A19-A54B-D21F0081EAFB}"/>
            </c:ext>
          </c:extLst>
        </c:ser>
        <c:ser>
          <c:idx val="0"/>
          <c:order val="1"/>
          <c:tx>
            <c:strRef>
              <c:f>'Tab 37'!$C$22</c:f>
              <c:strCache>
                <c:ptCount val="1"/>
                <c:pt idx="0">
                  <c:v>2030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5281847344839471E-2"/>
                  <c:y val="0.109067560326585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37'!$D$24:$I$24</c:f>
              <c:numCache>
                <c:formatCode>_-* #,##0_-;\-* #,##0_-;_-* "-"??_-;_-@_-</c:formatCode>
                <c:ptCount val="6"/>
                <c:pt idx="0">
                  <c:v>500</c:v>
                </c:pt>
                <c:pt idx="1">
                  <c:v>1000</c:v>
                </c:pt>
                <c:pt idx="2">
                  <c:v>2000</c:v>
                </c:pt>
                <c:pt idx="3">
                  <c:v>5000</c:v>
                </c:pt>
                <c:pt idx="4">
                  <c:v>10000</c:v>
                </c:pt>
                <c:pt idx="5">
                  <c:v>15000</c:v>
                </c:pt>
              </c:numCache>
            </c:numRef>
          </c:xVal>
          <c:yVal>
            <c:numRef>
              <c:f>'Tab 37'!$D$32:$I$32</c:f>
              <c:numCache>
                <c:formatCode>0</c:formatCode>
                <c:ptCount val="6"/>
                <c:pt idx="0">
                  <c:v>473</c:v>
                </c:pt>
                <c:pt idx="1">
                  <c:v>438</c:v>
                </c:pt>
                <c:pt idx="2">
                  <c:v>406</c:v>
                </c:pt>
                <c:pt idx="3">
                  <c:v>367</c:v>
                </c:pt>
                <c:pt idx="4">
                  <c:v>341</c:v>
                </c:pt>
                <c:pt idx="5">
                  <c:v>327</c:v>
                </c:pt>
              </c:numCache>
            </c:numRef>
          </c:yVal>
          <c:smooth val="0"/>
          <c:extLst>
            <c:ext xmlns:c16="http://schemas.microsoft.com/office/drawing/2014/chart" uri="{C3380CC4-5D6E-409C-BE32-E72D297353CC}">
              <c16:uniqueId val="{00000003-AA5F-4A19-A54B-D21F0081EAFB}"/>
            </c:ext>
          </c:extLst>
        </c:ser>
        <c:ser>
          <c:idx val="2"/>
          <c:order val="2"/>
          <c:tx>
            <c:strRef>
              <c:f>'Tab 37'!$C$40</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0.12518953312654099"/>
                  <c:y val="6.990200619386244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37'!$D$42:$I$42</c:f>
              <c:numCache>
                <c:formatCode>_-* #,##0_-;\-* #,##0_-;_-* "-"??_-;_-@_-</c:formatCode>
                <c:ptCount val="6"/>
                <c:pt idx="0">
                  <c:v>500</c:v>
                </c:pt>
                <c:pt idx="1">
                  <c:v>1000</c:v>
                </c:pt>
                <c:pt idx="2">
                  <c:v>2000</c:v>
                </c:pt>
                <c:pt idx="3">
                  <c:v>5000</c:v>
                </c:pt>
                <c:pt idx="4">
                  <c:v>10000</c:v>
                </c:pt>
                <c:pt idx="5">
                  <c:v>15000</c:v>
                </c:pt>
              </c:numCache>
            </c:numRef>
          </c:xVal>
          <c:yVal>
            <c:numRef>
              <c:f>'Tab 37'!$D$50:$I$50</c:f>
              <c:numCache>
                <c:formatCode>0</c:formatCode>
                <c:ptCount val="6"/>
                <c:pt idx="0">
                  <c:v>428</c:v>
                </c:pt>
                <c:pt idx="1">
                  <c:v>396</c:v>
                </c:pt>
                <c:pt idx="2">
                  <c:v>367</c:v>
                </c:pt>
                <c:pt idx="3">
                  <c:v>332</c:v>
                </c:pt>
                <c:pt idx="4">
                  <c:v>308</c:v>
                </c:pt>
                <c:pt idx="5">
                  <c:v>296</c:v>
                </c:pt>
              </c:numCache>
            </c:numRef>
          </c:yVal>
          <c:smooth val="0"/>
          <c:extLst>
            <c:ext xmlns:c16="http://schemas.microsoft.com/office/drawing/2014/chart" uri="{C3380CC4-5D6E-409C-BE32-E72D297353CC}">
              <c16:uniqueId val="{00000005-AA5F-4A19-A54B-D21F0081EAFB}"/>
            </c:ext>
          </c:extLst>
        </c:ser>
        <c:dLbls>
          <c:showLegendKey val="0"/>
          <c:showVal val="0"/>
          <c:showCatName val="0"/>
          <c:showSerName val="0"/>
          <c:showPercent val="0"/>
          <c:showBubbleSize val="0"/>
        </c:dLbls>
        <c:axId val="726966432"/>
        <c:axId val="726969312"/>
      </c:scatterChart>
      <c:valAx>
        <c:axId val="726966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Kollektor-Apperturfläche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26969312"/>
        <c:crosses val="autoZero"/>
        <c:crossBetween val="midCat"/>
      </c:valAx>
      <c:valAx>
        <c:axId val="726969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[€/m2]</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26966432"/>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Tiefengeothermie (ohne Erschließungskosten)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38'!$D$6:$H$6</c:f>
              <c:numCache>
                <c:formatCode>General</c:formatCode>
                <c:ptCount val="5"/>
                <c:pt idx="0">
                  <c:v>0.5</c:v>
                </c:pt>
                <c:pt idx="1">
                  <c:v>5</c:v>
                </c:pt>
                <c:pt idx="2">
                  <c:v>10</c:v>
                </c:pt>
                <c:pt idx="3">
                  <c:v>20</c:v>
                </c:pt>
                <c:pt idx="4">
                  <c:v>50</c:v>
                </c:pt>
              </c:numCache>
            </c:numRef>
          </c:xVal>
          <c:yVal>
            <c:numRef>
              <c:f>'Tab 38'!$D$10:$H$10</c:f>
              <c:numCache>
                <c:formatCode>_-* #,##0_-;\-* #,##0_-;_-* "-"??_-;_-@_-</c:formatCode>
                <c:ptCount val="5"/>
                <c:pt idx="0">
                  <c:v>4733</c:v>
                </c:pt>
                <c:pt idx="1">
                  <c:v>3873</c:v>
                </c:pt>
                <c:pt idx="2">
                  <c:v>3647</c:v>
                </c:pt>
                <c:pt idx="3">
                  <c:v>3433</c:v>
                </c:pt>
                <c:pt idx="4">
                  <c:v>3170</c:v>
                </c:pt>
              </c:numCache>
            </c:numRef>
          </c:yVal>
          <c:smooth val="0"/>
          <c:extLst>
            <c:ext xmlns:c16="http://schemas.microsoft.com/office/drawing/2014/chart" uri="{C3380CC4-5D6E-409C-BE32-E72D297353CC}">
              <c16:uniqueId val="{00000001-EA0D-468B-9CB0-2AB3236A5891}"/>
            </c:ext>
          </c:extLst>
        </c:ser>
        <c:ser>
          <c:idx val="1"/>
          <c:order val="1"/>
          <c:tx>
            <c:strRef>
              <c:f>'Tab 38'!$C$17</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38'!$D$19:$H$19</c:f>
              <c:numCache>
                <c:formatCode>General</c:formatCode>
                <c:ptCount val="5"/>
                <c:pt idx="0">
                  <c:v>0.5</c:v>
                </c:pt>
                <c:pt idx="1">
                  <c:v>5</c:v>
                </c:pt>
                <c:pt idx="2">
                  <c:v>10</c:v>
                </c:pt>
                <c:pt idx="3">
                  <c:v>20</c:v>
                </c:pt>
                <c:pt idx="4">
                  <c:v>50</c:v>
                </c:pt>
              </c:numCache>
            </c:numRef>
          </c:xVal>
          <c:yVal>
            <c:numRef>
              <c:f>'Tab 38'!$D$23:$H$23</c:f>
              <c:numCache>
                <c:formatCode>_-* #,##0_-;\-* #,##0_-;_-* "-"??_-;_-@_-</c:formatCode>
                <c:ptCount val="5"/>
                <c:pt idx="0">
                  <c:v>4260</c:v>
                </c:pt>
                <c:pt idx="1">
                  <c:v>3486</c:v>
                </c:pt>
                <c:pt idx="2">
                  <c:v>3282</c:v>
                </c:pt>
                <c:pt idx="3">
                  <c:v>3090</c:v>
                </c:pt>
                <c:pt idx="4">
                  <c:v>2853</c:v>
                </c:pt>
              </c:numCache>
            </c:numRef>
          </c:yVal>
          <c:smooth val="0"/>
          <c:extLst xmlns:c15="http://schemas.microsoft.com/office/drawing/2012/chart">
            <c:ext xmlns:c16="http://schemas.microsoft.com/office/drawing/2014/chart" uri="{C3380CC4-5D6E-409C-BE32-E72D297353CC}">
              <c16:uniqueId val="{00000003-EA0D-468B-9CB0-2AB3236A5891}"/>
            </c:ext>
          </c:extLst>
        </c:ser>
        <c:ser>
          <c:idx val="2"/>
          <c:order val="2"/>
          <c:tx>
            <c:strRef>
              <c:f>'Tab 38'!$C$30</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38'!$D$32:$H$32</c:f>
              <c:numCache>
                <c:formatCode>General</c:formatCode>
                <c:ptCount val="5"/>
                <c:pt idx="0">
                  <c:v>0.5</c:v>
                </c:pt>
                <c:pt idx="1">
                  <c:v>5</c:v>
                </c:pt>
                <c:pt idx="2">
                  <c:v>10</c:v>
                </c:pt>
                <c:pt idx="3">
                  <c:v>20</c:v>
                </c:pt>
                <c:pt idx="4">
                  <c:v>50</c:v>
                </c:pt>
              </c:numCache>
            </c:numRef>
          </c:xVal>
          <c:yVal>
            <c:numRef>
              <c:f>'Tab 38'!$D$36:$H$36</c:f>
              <c:numCache>
                <c:formatCode>_-* #,##0_-;\-* #,##0_-;_-* "-"??_-;_-@_-</c:formatCode>
                <c:ptCount val="5"/>
                <c:pt idx="0">
                  <c:v>3786</c:v>
                </c:pt>
                <c:pt idx="1">
                  <c:v>3099</c:v>
                </c:pt>
                <c:pt idx="2">
                  <c:v>2917</c:v>
                </c:pt>
                <c:pt idx="3">
                  <c:v>2747</c:v>
                </c:pt>
                <c:pt idx="4">
                  <c:v>2536</c:v>
                </c:pt>
              </c:numCache>
            </c:numRef>
          </c:yVal>
          <c:smooth val="0"/>
          <c:extLst>
            <c:ext xmlns:c16="http://schemas.microsoft.com/office/drawing/2014/chart" uri="{C3380CC4-5D6E-409C-BE32-E72D297353CC}">
              <c16:uniqueId val="{00000005-EA0D-468B-9CB0-2AB3236A5891}"/>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[M€/MW]</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Tiefengeothermie (ohne Erschließungskosten)</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2022</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39'!$D$6:$E$6</c:f>
              <c:numCache>
                <c:formatCode>General</c:formatCode>
                <c:ptCount val="2"/>
                <c:pt idx="0">
                  <c:v>10</c:v>
                </c:pt>
                <c:pt idx="1">
                  <c:v>50</c:v>
                </c:pt>
              </c:numCache>
            </c:numRef>
          </c:xVal>
          <c:yVal>
            <c:numRef>
              <c:f>'Tab 39'!$D$10:$E$10</c:f>
              <c:numCache>
                <c:formatCode>_-* #,##0_-;\-* #,##0_-;_-* "-"??_-;_-@_-</c:formatCode>
                <c:ptCount val="2"/>
                <c:pt idx="0">
                  <c:v>18105</c:v>
                </c:pt>
                <c:pt idx="1">
                  <c:v>9832</c:v>
                </c:pt>
              </c:numCache>
            </c:numRef>
          </c:yVal>
          <c:smooth val="0"/>
          <c:extLst>
            <c:ext xmlns:c16="http://schemas.microsoft.com/office/drawing/2014/chart" uri="{C3380CC4-5D6E-409C-BE32-E72D297353CC}">
              <c16:uniqueId val="{00000001-E400-41B8-AA54-974FDCA84F03}"/>
            </c:ext>
          </c:extLst>
        </c:ser>
        <c:ser>
          <c:idx val="1"/>
          <c:order val="1"/>
          <c:tx>
            <c:strRef>
              <c:f>'Tab 39'!$C$17</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39'!$D$19:$E$19</c:f>
              <c:numCache>
                <c:formatCode>General</c:formatCode>
                <c:ptCount val="2"/>
                <c:pt idx="0">
                  <c:v>10</c:v>
                </c:pt>
                <c:pt idx="1">
                  <c:v>50</c:v>
                </c:pt>
              </c:numCache>
            </c:numRef>
          </c:xVal>
          <c:yVal>
            <c:numRef>
              <c:f>'Tab 39'!$D$23:$E$23</c:f>
              <c:numCache>
                <c:formatCode>_-* #,##0_-;\-* #,##0_-;_-* "-"??_-;_-@_-</c:formatCode>
                <c:ptCount val="2"/>
                <c:pt idx="0">
                  <c:v>16294</c:v>
                </c:pt>
                <c:pt idx="1">
                  <c:v>8849</c:v>
                </c:pt>
              </c:numCache>
            </c:numRef>
          </c:yVal>
          <c:smooth val="0"/>
          <c:extLst xmlns:c15="http://schemas.microsoft.com/office/drawing/2012/chart">
            <c:ext xmlns:c16="http://schemas.microsoft.com/office/drawing/2014/chart" uri="{C3380CC4-5D6E-409C-BE32-E72D297353CC}">
              <c16:uniqueId val="{00000003-E400-41B8-AA54-974FDCA84F03}"/>
            </c:ext>
          </c:extLst>
        </c:ser>
        <c:ser>
          <c:idx val="2"/>
          <c:order val="2"/>
          <c:tx>
            <c:strRef>
              <c:f>'Tab 39'!$C$30</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39'!$D$32:$E$32</c:f>
              <c:numCache>
                <c:formatCode>General</c:formatCode>
                <c:ptCount val="2"/>
                <c:pt idx="0">
                  <c:v>10</c:v>
                </c:pt>
                <c:pt idx="1">
                  <c:v>50</c:v>
                </c:pt>
              </c:numCache>
            </c:numRef>
          </c:xVal>
          <c:yVal>
            <c:numRef>
              <c:f>'Tab 39'!$D$36:$E$36</c:f>
              <c:numCache>
                <c:formatCode>_-* #,##0_-;\-* #,##0_-;_-* "-"??_-;_-@_-</c:formatCode>
                <c:ptCount val="2"/>
                <c:pt idx="0">
                  <c:v>13036</c:v>
                </c:pt>
                <c:pt idx="1">
                  <c:v>7079</c:v>
                </c:pt>
              </c:numCache>
            </c:numRef>
          </c:yVal>
          <c:smooth val="0"/>
          <c:extLst>
            <c:ext xmlns:c16="http://schemas.microsoft.com/office/drawing/2014/chart" uri="{C3380CC4-5D6E-409C-BE32-E72D297353CC}">
              <c16:uniqueId val="{00000005-E400-41B8-AA54-974FDCA84F03}"/>
            </c:ext>
          </c:extLst>
        </c:ser>
        <c:dLbls>
          <c:showLegendKey val="0"/>
          <c:showVal val="0"/>
          <c:showCatName val="0"/>
          <c:showSerName val="0"/>
          <c:showPercent val="0"/>
          <c:showBubbleSize val="0"/>
        </c:dLbls>
        <c:axId val="14719936"/>
        <c:axId val="16286816"/>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[MW]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[M€/MW]</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K</a:t>
            </a:r>
            <a:r>
              <a:rPr lang="de-DE"/>
              <a:t>osten Wasserstoffnetz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1.4002807158307316E-2"/>
                  <c:y val="-0.171953921627466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de-DE"/>
                </a:p>
              </c:txPr>
            </c:trendlineLbl>
          </c:trendline>
          <c:xVal>
            <c:numRef>
              <c:f>'Tab 41'!$D$6:$L$6</c:f>
              <c:numCache>
                <c:formatCode>#,##0</c:formatCode>
                <c:ptCount val="9"/>
                <c:pt idx="0">
                  <c:v>50</c:v>
                </c:pt>
                <c:pt idx="1">
                  <c:v>200</c:v>
                </c:pt>
                <c:pt idx="2">
                  <c:v>400</c:v>
                </c:pt>
                <c:pt idx="3">
                  <c:v>750</c:v>
                </c:pt>
                <c:pt idx="4">
                  <c:v>1200</c:v>
                </c:pt>
                <c:pt idx="5">
                  <c:v>2500</c:v>
                </c:pt>
                <c:pt idx="6">
                  <c:v>4700</c:v>
                </c:pt>
                <c:pt idx="7">
                  <c:v>6000</c:v>
                </c:pt>
                <c:pt idx="8">
                  <c:v>13000</c:v>
                </c:pt>
              </c:numCache>
            </c:numRef>
          </c:xVal>
          <c:yVal>
            <c:numRef>
              <c:f>'Tab 41'!$D$13:$L$13</c:f>
              <c:numCache>
                <c:formatCode>#,##0</c:formatCode>
                <c:ptCount val="9"/>
                <c:pt idx="0">
                  <c:v>452</c:v>
                </c:pt>
                <c:pt idx="1">
                  <c:v>801</c:v>
                </c:pt>
                <c:pt idx="2">
                  <c:v>1007</c:v>
                </c:pt>
                <c:pt idx="3">
                  <c:v>1280</c:v>
                </c:pt>
                <c:pt idx="4">
                  <c:v>1612</c:v>
                </c:pt>
                <c:pt idx="5">
                  <c:v>2420</c:v>
                </c:pt>
                <c:pt idx="6">
                  <c:v>2747</c:v>
                </c:pt>
                <c:pt idx="7">
                  <c:v>3227</c:v>
                </c:pt>
                <c:pt idx="8">
                  <c:v>3728</c:v>
                </c:pt>
              </c:numCache>
            </c:numRef>
          </c:yVal>
          <c:smooth val="0"/>
          <c:extLst>
            <c:ext xmlns:c16="http://schemas.microsoft.com/office/drawing/2014/chart" uri="{C3380CC4-5D6E-409C-BE32-E72D297353CC}">
              <c16:uniqueId val="{00000001-C6AC-4EF1-834B-82E9AC997289}"/>
            </c:ext>
          </c:extLst>
        </c:ser>
        <c:ser>
          <c:idx val="1"/>
          <c:order val="1"/>
          <c:tx>
            <c:strRef>
              <c:f>'Tab 41'!$C$21</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1.7408511256790625E-2"/>
                  <c:y val="-0.138645062367748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41'!$D$23:$L$23</c:f>
              <c:numCache>
                <c:formatCode>#,##0</c:formatCode>
                <c:ptCount val="9"/>
                <c:pt idx="0">
                  <c:v>50</c:v>
                </c:pt>
                <c:pt idx="1">
                  <c:v>200</c:v>
                </c:pt>
                <c:pt idx="2">
                  <c:v>400</c:v>
                </c:pt>
                <c:pt idx="3">
                  <c:v>750</c:v>
                </c:pt>
                <c:pt idx="4">
                  <c:v>1200</c:v>
                </c:pt>
                <c:pt idx="5">
                  <c:v>2500</c:v>
                </c:pt>
                <c:pt idx="6">
                  <c:v>4700</c:v>
                </c:pt>
                <c:pt idx="7">
                  <c:v>6000</c:v>
                </c:pt>
                <c:pt idx="8">
                  <c:v>13000</c:v>
                </c:pt>
              </c:numCache>
            </c:numRef>
          </c:xVal>
          <c:yVal>
            <c:numRef>
              <c:f>'Tab 41'!$D$30:$L$30</c:f>
              <c:numCache>
                <c:formatCode>#,##0</c:formatCode>
                <c:ptCount val="9"/>
                <c:pt idx="0">
                  <c:v>430</c:v>
                </c:pt>
                <c:pt idx="1">
                  <c:v>761</c:v>
                </c:pt>
                <c:pt idx="2">
                  <c:v>957</c:v>
                </c:pt>
                <c:pt idx="3">
                  <c:v>1216</c:v>
                </c:pt>
                <c:pt idx="4">
                  <c:v>1531</c:v>
                </c:pt>
                <c:pt idx="5">
                  <c:v>2299</c:v>
                </c:pt>
                <c:pt idx="6">
                  <c:v>2609</c:v>
                </c:pt>
                <c:pt idx="7">
                  <c:v>3065</c:v>
                </c:pt>
                <c:pt idx="8">
                  <c:v>3541</c:v>
                </c:pt>
              </c:numCache>
            </c:numRef>
          </c:yVal>
          <c:smooth val="0"/>
          <c:extLst>
            <c:ext xmlns:c16="http://schemas.microsoft.com/office/drawing/2014/chart" uri="{C3380CC4-5D6E-409C-BE32-E72D297353CC}">
              <c16:uniqueId val="{00000003-C6AC-4EF1-834B-82E9AC997289}"/>
            </c:ext>
          </c:extLst>
        </c:ser>
        <c:ser>
          <c:idx val="2"/>
          <c:order val="2"/>
          <c:tx>
            <c:strRef>
              <c:f>'Tab 41'!$C$38</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2.0814215355273932E-2"/>
                  <c:y val="-9.254442600956763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41'!$D$40:$L$40</c:f>
              <c:numCache>
                <c:formatCode>#,##0</c:formatCode>
                <c:ptCount val="9"/>
                <c:pt idx="0">
                  <c:v>50</c:v>
                </c:pt>
                <c:pt idx="1">
                  <c:v>200</c:v>
                </c:pt>
                <c:pt idx="2">
                  <c:v>400</c:v>
                </c:pt>
                <c:pt idx="3">
                  <c:v>750</c:v>
                </c:pt>
                <c:pt idx="4">
                  <c:v>1200</c:v>
                </c:pt>
                <c:pt idx="5">
                  <c:v>2500</c:v>
                </c:pt>
                <c:pt idx="6">
                  <c:v>4700</c:v>
                </c:pt>
                <c:pt idx="7">
                  <c:v>6000</c:v>
                </c:pt>
                <c:pt idx="8">
                  <c:v>13000</c:v>
                </c:pt>
              </c:numCache>
            </c:numRef>
          </c:xVal>
          <c:yVal>
            <c:numRef>
              <c:f>'Tab 41'!$D$47:$L$47</c:f>
              <c:numCache>
                <c:formatCode>#,##0</c:formatCode>
                <c:ptCount val="9"/>
                <c:pt idx="0">
                  <c:v>407</c:v>
                </c:pt>
                <c:pt idx="1">
                  <c:v>721</c:v>
                </c:pt>
                <c:pt idx="2">
                  <c:v>906</c:v>
                </c:pt>
                <c:pt idx="3">
                  <c:v>1152</c:v>
                </c:pt>
                <c:pt idx="4">
                  <c:v>1450</c:v>
                </c:pt>
                <c:pt idx="5">
                  <c:v>2178</c:v>
                </c:pt>
                <c:pt idx="6">
                  <c:v>2472</c:v>
                </c:pt>
                <c:pt idx="7">
                  <c:v>2904</c:v>
                </c:pt>
                <c:pt idx="8">
                  <c:v>3355</c:v>
                </c:pt>
              </c:numCache>
            </c:numRef>
          </c:yVal>
          <c:smooth val="0"/>
          <c:extLst>
            <c:ext xmlns:c16="http://schemas.microsoft.com/office/drawing/2014/chart" uri="{C3380CC4-5D6E-409C-BE32-E72D297353CC}">
              <c16:uniqueId val="{00000005-C6AC-4EF1-834B-82E9AC997289}"/>
            </c:ext>
          </c:extLst>
        </c:ser>
        <c:dLbls>
          <c:showLegendKey val="0"/>
          <c:showVal val="0"/>
          <c:showCatName val="0"/>
          <c:showSerName val="0"/>
          <c:showPercent val="0"/>
          <c:showBubbleSize val="0"/>
        </c:dLbls>
        <c:axId val="32433103"/>
        <c:axId val="456219471"/>
      </c:scatterChart>
      <c:valAx>
        <c:axId val="32433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MW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56219471"/>
        <c:crosses val="autoZero"/>
        <c:crossBetween val="midCat"/>
      </c:valAx>
      <c:valAx>
        <c:axId val="45621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24331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a:t>
            </a:r>
            <a:r>
              <a:rPr lang="de-DE"/>
              <a:t>osten Gasnetz</a:t>
            </a:r>
            <a:r>
              <a:rPr lang="de-DE" baseline="0"/>
              <a:t> Hauptleitungsstrang (2023/2030/2040)</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strRef>
              <c:f>'Tab 40'!$B$17</c:f>
              <c:strCache>
                <c:ptCount val="1"/>
                <c:pt idx="0">
                  <c:v>unbefestigtes Terrain/ländlich</c:v>
                </c:pt>
              </c:strCache>
            </c:strRef>
          </c:tx>
          <c:spPr>
            <a:ln w="19050" cap="rnd">
              <a:solidFill>
                <a:schemeClr val="accent1"/>
              </a:solidFill>
              <a:prstDash val="sysDash"/>
              <a:round/>
            </a:ln>
            <a:effectLst/>
          </c:spPr>
          <c:marker>
            <c:symbol val="circle"/>
            <c:size val="5"/>
            <c:spPr>
              <a:solidFill>
                <a:schemeClr val="accent1"/>
              </a:solidFill>
              <a:ln w="9525">
                <a:solidFill>
                  <a:schemeClr val="accent1"/>
                </a:solidFill>
                <a:prstDash val="sysDash"/>
              </a:ln>
              <a:effectLst/>
            </c:spPr>
          </c:marker>
          <c:xVal>
            <c:numRef>
              <c:f>'Tab 40'!$E$6:$J$6</c:f>
              <c:numCache>
                <c:formatCode>#,##0</c:formatCode>
                <c:ptCount val="6"/>
                <c:pt idx="0">
                  <c:v>50</c:v>
                </c:pt>
                <c:pt idx="1">
                  <c:v>100</c:v>
                </c:pt>
                <c:pt idx="2">
                  <c:v>250</c:v>
                </c:pt>
                <c:pt idx="3">
                  <c:v>1000</c:v>
                </c:pt>
                <c:pt idx="4">
                  <c:v>5000</c:v>
                </c:pt>
                <c:pt idx="5">
                  <c:v>25000</c:v>
                </c:pt>
              </c:numCache>
            </c:numRef>
          </c:xVal>
          <c:yVal>
            <c:numRef>
              <c:f>'Tab 40'!$E$17:$J$17</c:f>
              <c:numCache>
                <c:formatCode>0</c:formatCode>
                <c:ptCount val="6"/>
                <c:pt idx="0">
                  <c:v>49</c:v>
                </c:pt>
                <c:pt idx="1">
                  <c:v>49</c:v>
                </c:pt>
                <c:pt idx="2">
                  <c:v>49</c:v>
                </c:pt>
                <c:pt idx="3">
                  <c:v>49</c:v>
                </c:pt>
                <c:pt idx="4">
                  <c:v>52</c:v>
                </c:pt>
                <c:pt idx="5">
                  <c:v>67</c:v>
                </c:pt>
              </c:numCache>
            </c:numRef>
          </c:yVal>
          <c:smooth val="1"/>
          <c:extLst>
            <c:ext xmlns:c16="http://schemas.microsoft.com/office/drawing/2014/chart" uri="{C3380CC4-5D6E-409C-BE32-E72D297353CC}">
              <c16:uniqueId val="{00000000-ED25-4D0A-A256-9AA4DD4CF2AD}"/>
            </c:ext>
          </c:extLst>
        </c:ser>
        <c:ser>
          <c:idx val="1"/>
          <c:order val="1"/>
          <c:tx>
            <c:strRef>
              <c:f>'Tab 40'!$B$18</c:f>
              <c:strCache>
                <c:ptCount val="1"/>
                <c:pt idx="0">
                  <c:v>teilbefestigtes Terrain</c:v>
                </c:pt>
              </c:strCache>
            </c:strRef>
          </c:tx>
          <c:spPr>
            <a:ln w="19050" cap="rnd">
              <a:solidFill>
                <a:schemeClr val="accent2"/>
              </a:solidFill>
              <a:prstDash val="sysDash"/>
              <a:round/>
            </a:ln>
            <a:effectLst/>
          </c:spPr>
          <c:marker>
            <c:symbol val="circle"/>
            <c:size val="5"/>
            <c:spPr>
              <a:solidFill>
                <a:schemeClr val="accent2"/>
              </a:solidFill>
              <a:ln w="9525">
                <a:solidFill>
                  <a:schemeClr val="accent2"/>
                </a:solidFill>
                <a:prstDash val="sysDash"/>
              </a:ln>
              <a:effectLst/>
            </c:spPr>
          </c:marker>
          <c:xVal>
            <c:numRef>
              <c:f>'Tab 40'!$E$6:$J$6</c:f>
              <c:numCache>
                <c:formatCode>#,##0</c:formatCode>
                <c:ptCount val="6"/>
                <c:pt idx="0">
                  <c:v>50</c:v>
                </c:pt>
                <c:pt idx="1">
                  <c:v>100</c:v>
                </c:pt>
                <c:pt idx="2">
                  <c:v>250</c:v>
                </c:pt>
                <c:pt idx="3">
                  <c:v>1000</c:v>
                </c:pt>
                <c:pt idx="4">
                  <c:v>5000</c:v>
                </c:pt>
                <c:pt idx="5">
                  <c:v>25000</c:v>
                </c:pt>
              </c:numCache>
            </c:numRef>
          </c:xVal>
          <c:yVal>
            <c:numRef>
              <c:f>'Tab 40'!$E$18:$J$18</c:f>
              <c:numCache>
                <c:formatCode>0</c:formatCode>
                <c:ptCount val="6"/>
                <c:pt idx="0">
                  <c:v>52</c:v>
                </c:pt>
                <c:pt idx="1">
                  <c:v>52</c:v>
                </c:pt>
                <c:pt idx="2">
                  <c:v>52</c:v>
                </c:pt>
                <c:pt idx="3">
                  <c:v>52</c:v>
                </c:pt>
                <c:pt idx="4">
                  <c:v>59</c:v>
                </c:pt>
                <c:pt idx="5">
                  <c:v>85</c:v>
                </c:pt>
              </c:numCache>
            </c:numRef>
          </c:yVal>
          <c:smooth val="1"/>
          <c:extLst>
            <c:ext xmlns:c16="http://schemas.microsoft.com/office/drawing/2014/chart" uri="{C3380CC4-5D6E-409C-BE32-E72D297353CC}">
              <c16:uniqueId val="{00000001-ED25-4D0A-A256-9AA4DD4CF2AD}"/>
            </c:ext>
          </c:extLst>
        </c:ser>
        <c:ser>
          <c:idx val="2"/>
          <c:order val="2"/>
          <c:tx>
            <c:strRef>
              <c:f>'Tab 40'!$B$19</c:f>
              <c:strCache>
                <c:ptCount val="1"/>
                <c:pt idx="0">
                  <c:v>neues Baugebiet/komplett unbefestigt</c:v>
                </c:pt>
              </c:strCache>
            </c:strRef>
          </c:tx>
          <c:spPr>
            <a:ln w="19050" cap="rnd">
              <a:solidFill>
                <a:schemeClr val="accent3"/>
              </a:solidFill>
              <a:prstDash val="sysDash"/>
              <a:round/>
            </a:ln>
            <a:effectLst/>
          </c:spPr>
          <c:marker>
            <c:symbol val="circle"/>
            <c:size val="5"/>
            <c:spPr>
              <a:solidFill>
                <a:schemeClr val="accent3"/>
              </a:solidFill>
              <a:ln w="9525">
                <a:solidFill>
                  <a:schemeClr val="accent3"/>
                </a:solidFill>
                <a:prstDash val="sysDash"/>
              </a:ln>
              <a:effectLst/>
            </c:spPr>
          </c:marker>
          <c:xVal>
            <c:numRef>
              <c:f>'Tab 40'!$E$6:$J$6</c:f>
              <c:numCache>
                <c:formatCode>#,##0</c:formatCode>
                <c:ptCount val="6"/>
                <c:pt idx="0">
                  <c:v>50</c:v>
                </c:pt>
                <c:pt idx="1">
                  <c:v>100</c:v>
                </c:pt>
                <c:pt idx="2">
                  <c:v>250</c:v>
                </c:pt>
                <c:pt idx="3">
                  <c:v>1000</c:v>
                </c:pt>
                <c:pt idx="4">
                  <c:v>5000</c:v>
                </c:pt>
                <c:pt idx="5">
                  <c:v>25000</c:v>
                </c:pt>
              </c:numCache>
            </c:numRef>
          </c:xVal>
          <c:yVal>
            <c:numRef>
              <c:f>'Tab 40'!$E$19:$J$19</c:f>
              <c:numCache>
                <c:formatCode>0</c:formatCode>
                <c:ptCount val="6"/>
                <c:pt idx="0">
                  <c:v>46</c:v>
                </c:pt>
                <c:pt idx="1">
                  <c:v>46</c:v>
                </c:pt>
                <c:pt idx="2">
                  <c:v>46</c:v>
                </c:pt>
                <c:pt idx="3">
                  <c:v>46</c:v>
                </c:pt>
                <c:pt idx="4">
                  <c:v>49</c:v>
                </c:pt>
                <c:pt idx="5">
                  <c:v>62</c:v>
                </c:pt>
              </c:numCache>
            </c:numRef>
          </c:yVal>
          <c:smooth val="1"/>
          <c:extLst>
            <c:ext xmlns:c16="http://schemas.microsoft.com/office/drawing/2014/chart" uri="{C3380CC4-5D6E-409C-BE32-E72D297353CC}">
              <c16:uniqueId val="{00000002-ED25-4D0A-A256-9AA4DD4CF2AD}"/>
            </c:ext>
          </c:extLst>
        </c:ser>
        <c:dLbls>
          <c:showLegendKey val="0"/>
          <c:showVal val="0"/>
          <c:showCatName val="0"/>
          <c:showSerName val="0"/>
          <c:showPercent val="0"/>
          <c:showBubbleSize val="0"/>
        </c:dLbls>
        <c:axId val="32433103"/>
        <c:axId val="456219471"/>
      </c:scatterChart>
      <c:valAx>
        <c:axId val="32433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MW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56219471"/>
        <c:crosses val="autoZero"/>
        <c:crossBetween val="midCat"/>
      </c:valAx>
      <c:valAx>
        <c:axId val="45621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243310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Hausanschlussleitung 2023/2030/2040</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42'!$B$21</c:f>
              <c:strCache>
                <c:ptCount val="1"/>
                <c:pt idx="0">
                  <c:v>unbefestigtes Terrain/ländlich</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2432458442694663"/>
                  <c:y val="-5.855965800098653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42'!$D$6:$G$6</c:f>
              <c:numCache>
                <c:formatCode>#,##0</c:formatCode>
                <c:ptCount val="4"/>
                <c:pt idx="0">
                  <c:v>10</c:v>
                </c:pt>
                <c:pt idx="1">
                  <c:v>50</c:v>
                </c:pt>
                <c:pt idx="2">
                  <c:v>100</c:v>
                </c:pt>
                <c:pt idx="3">
                  <c:v>250</c:v>
                </c:pt>
              </c:numCache>
            </c:numRef>
          </c:xVal>
          <c:yVal>
            <c:numRef>
              <c:f>'Tab 42'!$D$21:$G$21</c:f>
              <c:numCache>
                <c:formatCode>#,##0</c:formatCode>
                <c:ptCount val="4"/>
                <c:pt idx="0">
                  <c:v>4815</c:v>
                </c:pt>
                <c:pt idx="1">
                  <c:v>5150</c:v>
                </c:pt>
                <c:pt idx="2">
                  <c:v>5510</c:v>
                </c:pt>
              </c:numCache>
            </c:numRef>
          </c:yVal>
          <c:smooth val="0"/>
          <c:extLst>
            <c:ext xmlns:c16="http://schemas.microsoft.com/office/drawing/2014/chart" uri="{C3380CC4-5D6E-409C-BE32-E72D297353CC}">
              <c16:uniqueId val="{00000001-9D6D-431D-AF2E-7A787687DA99}"/>
            </c:ext>
          </c:extLst>
        </c:ser>
        <c:ser>
          <c:idx val="1"/>
          <c:order val="1"/>
          <c:tx>
            <c:strRef>
              <c:f>'Tab 42'!$B$22</c:f>
              <c:strCache>
                <c:ptCount val="1"/>
                <c:pt idx="0">
                  <c:v>teilbefestigtes Terrain</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9.9324584426946638E-2"/>
                  <c:y val="-3.69961817417834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42'!$D$6:$G$6</c:f>
              <c:numCache>
                <c:formatCode>#,##0</c:formatCode>
                <c:ptCount val="4"/>
                <c:pt idx="0">
                  <c:v>10</c:v>
                </c:pt>
                <c:pt idx="1">
                  <c:v>50</c:v>
                </c:pt>
                <c:pt idx="2">
                  <c:v>100</c:v>
                </c:pt>
                <c:pt idx="3">
                  <c:v>250</c:v>
                </c:pt>
              </c:numCache>
            </c:numRef>
          </c:xVal>
          <c:yVal>
            <c:numRef>
              <c:f>'Tab 42'!$D$22:$G$22</c:f>
              <c:numCache>
                <c:formatCode>#,##0</c:formatCode>
                <c:ptCount val="4"/>
                <c:pt idx="0">
                  <c:v>9356</c:v>
                </c:pt>
                <c:pt idx="1">
                  <c:v>9929</c:v>
                </c:pt>
                <c:pt idx="2">
                  <c:v>10544</c:v>
                </c:pt>
              </c:numCache>
            </c:numRef>
          </c:yVal>
          <c:smooth val="0"/>
          <c:extLst>
            <c:ext xmlns:c16="http://schemas.microsoft.com/office/drawing/2014/chart" uri="{C3380CC4-5D6E-409C-BE32-E72D297353CC}">
              <c16:uniqueId val="{00000003-9D6D-431D-AF2E-7A787687DA99}"/>
            </c:ext>
          </c:extLst>
        </c:ser>
        <c:ser>
          <c:idx val="2"/>
          <c:order val="2"/>
          <c:tx>
            <c:strRef>
              <c:f>'Tab 42'!$B$23</c:f>
              <c:strCache>
                <c:ptCount val="1"/>
                <c:pt idx="0">
                  <c:v>befestigtes Terrain/innerstädtisch</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3.3199475065616796E-2"/>
                  <c:y val="-3.049527741746900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42'!$D$6:$G$6</c:f>
              <c:numCache>
                <c:formatCode>#,##0</c:formatCode>
                <c:ptCount val="4"/>
                <c:pt idx="0">
                  <c:v>10</c:v>
                </c:pt>
                <c:pt idx="1">
                  <c:v>50</c:v>
                </c:pt>
                <c:pt idx="2">
                  <c:v>100</c:v>
                </c:pt>
                <c:pt idx="3">
                  <c:v>250</c:v>
                </c:pt>
              </c:numCache>
            </c:numRef>
          </c:xVal>
          <c:yVal>
            <c:numRef>
              <c:f>'Tab 42'!$D$23:$G$23</c:f>
              <c:numCache>
                <c:formatCode>#,##0</c:formatCode>
                <c:ptCount val="4"/>
                <c:pt idx="0">
                  <c:v>13897</c:v>
                </c:pt>
                <c:pt idx="1">
                  <c:v>14707</c:v>
                </c:pt>
                <c:pt idx="2">
                  <c:v>15577</c:v>
                </c:pt>
                <c:pt idx="3">
                  <c:v>17221</c:v>
                </c:pt>
              </c:numCache>
            </c:numRef>
          </c:yVal>
          <c:smooth val="0"/>
          <c:extLst>
            <c:ext xmlns:c16="http://schemas.microsoft.com/office/drawing/2014/chart" uri="{C3380CC4-5D6E-409C-BE32-E72D297353CC}">
              <c16:uniqueId val="{00000005-9D6D-431D-AF2E-7A787687DA99}"/>
            </c:ext>
          </c:extLst>
        </c:ser>
        <c:dLbls>
          <c:showLegendKey val="0"/>
          <c:showVal val="0"/>
          <c:showCatName val="0"/>
          <c:showSerName val="0"/>
          <c:showPercent val="0"/>
          <c:showBubbleSize val="0"/>
        </c:dLbls>
        <c:axId val="951804799"/>
        <c:axId val="1260106559"/>
      </c:scatterChart>
      <c:valAx>
        <c:axId val="951804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60106559"/>
        <c:crosses val="autoZero"/>
        <c:crossBetween val="midCat"/>
      </c:valAx>
      <c:valAx>
        <c:axId val="126010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€/Anschluss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04799"/>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Hauptleitungsstrang 2023/2030/2040</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42'!$B$25</c:f>
              <c:strCache>
                <c:ptCount val="1"/>
                <c:pt idx="0">
                  <c:v>unbefestigtes Terrain/ländlich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9.8419493796978903E-3"/>
                  <c:y val="-4.610655187191771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42'!$E$6:$J$6</c:f>
              <c:numCache>
                <c:formatCode>#,##0</c:formatCode>
                <c:ptCount val="6"/>
                <c:pt idx="0">
                  <c:v>50</c:v>
                </c:pt>
                <c:pt idx="1">
                  <c:v>100</c:v>
                </c:pt>
                <c:pt idx="2">
                  <c:v>250</c:v>
                </c:pt>
                <c:pt idx="3">
                  <c:v>1000</c:v>
                </c:pt>
                <c:pt idx="4">
                  <c:v>5000</c:v>
                </c:pt>
                <c:pt idx="5">
                  <c:v>25000</c:v>
                </c:pt>
              </c:numCache>
            </c:numRef>
          </c:xVal>
          <c:yVal>
            <c:numRef>
              <c:f>'Tab 42'!$E$25:$J$25</c:f>
              <c:numCache>
                <c:formatCode>#,##0</c:formatCode>
                <c:ptCount val="6"/>
                <c:pt idx="0">
                  <c:v>692</c:v>
                </c:pt>
                <c:pt idx="1">
                  <c:v>733</c:v>
                </c:pt>
                <c:pt idx="2">
                  <c:v>811</c:v>
                </c:pt>
                <c:pt idx="3">
                  <c:v>1006</c:v>
                </c:pt>
                <c:pt idx="4">
                  <c:v>1448</c:v>
                </c:pt>
                <c:pt idx="5">
                  <c:v>2459</c:v>
                </c:pt>
              </c:numCache>
            </c:numRef>
          </c:yVal>
          <c:smooth val="0"/>
          <c:extLst>
            <c:ext xmlns:c16="http://schemas.microsoft.com/office/drawing/2014/chart" uri="{C3380CC4-5D6E-409C-BE32-E72D297353CC}">
              <c16:uniqueId val="{00000001-E221-451D-BBBA-91DB569C5EBC}"/>
            </c:ext>
          </c:extLst>
        </c:ser>
        <c:ser>
          <c:idx val="1"/>
          <c:order val="1"/>
          <c:tx>
            <c:strRef>
              <c:f>'Tab 42'!$B$26</c:f>
              <c:strCache>
                <c:ptCount val="1"/>
                <c:pt idx="0">
                  <c:v>teilbefestigtes Terrain</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1.0923552469992433E-2"/>
                  <c:y val="-3.721371140548942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42'!$E$6:$J$6</c:f>
              <c:numCache>
                <c:formatCode>#,##0</c:formatCode>
                <c:ptCount val="6"/>
                <c:pt idx="0">
                  <c:v>50</c:v>
                </c:pt>
                <c:pt idx="1">
                  <c:v>100</c:v>
                </c:pt>
                <c:pt idx="2">
                  <c:v>250</c:v>
                </c:pt>
                <c:pt idx="3">
                  <c:v>1000</c:v>
                </c:pt>
                <c:pt idx="4">
                  <c:v>5000</c:v>
                </c:pt>
                <c:pt idx="5">
                  <c:v>25000</c:v>
                </c:pt>
              </c:numCache>
            </c:numRef>
          </c:xVal>
          <c:yVal>
            <c:numRef>
              <c:f>'Tab 42'!$E$26:$J$26</c:f>
              <c:numCache>
                <c:formatCode>#,##0</c:formatCode>
                <c:ptCount val="6"/>
                <c:pt idx="0">
                  <c:v>878</c:v>
                </c:pt>
                <c:pt idx="1">
                  <c:v>931</c:v>
                </c:pt>
                <c:pt idx="2">
                  <c:v>1030</c:v>
                </c:pt>
                <c:pt idx="3">
                  <c:v>1282</c:v>
                </c:pt>
                <c:pt idx="4">
                  <c:v>1850</c:v>
                </c:pt>
                <c:pt idx="5">
                  <c:v>3151</c:v>
                </c:pt>
              </c:numCache>
            </c:numRef>
          </c:yVal>
          <c:smooth val="0"/>
          <c:extLst>
            <c:ext xmlns:c16="http://schemas.microsoft.com/office/drawing/2014/chart" uri="{C3380CC4-5D6E-409C-BE32-E72D297353CC}">
              <c16:uniqueId val="{00000003-E221-451D-BBBA-91DB569C5EBC}"/>
            </c:ext>
          </c:extLst>
        </c:ser>
        <c:ser>
          <c:idx val="2"/>
          <c:order val="2"/>
          <c:tx>
            <c:strRef>
              <c:f>'Tab 42'!$B$27</c:f>
              <c:strCache>
                <c:ptCount val="1"/>
                <c:pt idx="0">
                  <c:v>befestigtes Terrain/innerstädtisch</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3.6780892489839058E-3"/>
                  <c:y val="-5.778235478485579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42'!$E$6:$J$6</c:f>
              <c:numCache>
                <c:formatCode>#,##0</c:formatCode>
                <c:ptCount val="6"/>
                <c:pt idx="0">
                  <c:v>50</c:v>
                </c:pt>
                <c:pt idx="1">
                  <c:v>100</c:v>
                </c:pt>
                <c:pt idx="2">
                  <c:v>250</c:v>
                </c:pt>
                <c:pt idx="3">
                  <c:v>1000</c:v>
                </c:pt>
                <c:pt idx="4">
                  <c:v>5000</c:v>
                </c:pt>
                <c:pt idx="5">
                  <c:v>25000</c:v>
                </c:pt>
              </c:numCache>
            </c:numRef>
          </c:xVal>
          <c:yVal>
            <c:numRef>
              <c:f>'Tab 42'!$E$27:$J$27</c:f>
              <c:numCache>
                <c:formatCode>#,##0</c:formatCode>
                <c:ptCount val="6"/>
                <c:pt idx="0">
                  <c:v>1063</c:v>
                </c:pt>
                <c:pt idx="1">
                  <c:v>1129</c:v>
                </c:pt>
                <c:pt idx="2">
                  <c:v>1250</c:v>
                </c:pt>
                <c:pt idx="3">
                  <c:v>1557</c:v>
                </c:pt>
                <c:pt idx="4">
                  <c:v>2251</c:v>
                </c:pt>
                <c:pt idx="5">
                  <c:v>3843</c:v>
                </c:pt>
              </c:numCache>
            </c:numRef>
          </c:yVal>
          <c:smooth val="0"/>
          <c:extLst>
            <c:ext xmlns:c16="http://schemas.microsoft.com/office/drawing/2014/chart" uri="{C3380CC4-5D6E-409C-BE32-E72D297353CC}">
              <c16:uniqueId val="{00000005-E221-451D-BBBA-91DB569C5EBC}"/>
            </c:ext>
          </c:extLst>
        </c:ser>
        <c:dLbls>
          <c:showLegendKey val="0"/>
          <c:showVal val="0"/>
          <c:showCatName val="0"/>
          <c:showSerName val="0"/>
          <c:showPercent val="0"/>
          <c:showBubbleSize val="0"/>
        </c:dLbls>
        <c:axId val="951804799"/>
        <c:axId val="1260106559"/>
      </c:scatterChart>
      <c:valAx>
        <c:axId val="951804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60106559"/>
        <c:crosses val="autoZero"/>
        <c:crossBetween val="midCat"/>
      </c:valAx>
      <c:valAx>
        <c:axId val="126010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04799"/>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Hausanschlussleitung 2023/2030/2040</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44'!$B$21</c:f>
              <c:strCache>
                <c:ptCount val="1"/>
                <c:pt idx="0">
                  <c:v>unbefestigtes Terrain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2432458442694663"/>
                  <c:y val="-5.855965800098653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44'!$D$6:$F$6</c:f>
              <c:numCache>
                <c:formatCode>#,##0</c:formatCode>
                <c:ptCount val="3"/>
                <c:pt idx="0">
                  <c:v>10</c:v>
                </c:pt>
                <c:pt idx="1">
                  <c:v>50</c:v>
                </c:pt>
                <c:pt idx="2">
                  <c:v>100</c:v>
                </c:pt>
              </c:numCache>
            </c:numRef>
          </c:xVal>
          <c:yVal>
            <c:numRef>
              <c:f>'Tab 44'!$D$21:$F$21</c:f>
              <c:numCache>
                <c:formatCode>_-* #,##0_-;\-* #,##0_-;_-* "-"??_-;_-@_-</c:formatCode>
                <c:ptCount val="3"/>
                <c:pt idx="0">
                  <c:v>3820</c:v>
                </c:pt>
                <c:pt idx="1">
                  <c:v>4086</c:v>
                </c:pt>
                <c:pt idx="2">
                  <c:v>4371</c:v>
                </c:pt>
              </c:numCache>
            </c:numRef>
          </c:yVal>
          <c:smooth val="0"/>
          <c:extLst>
            <c:ext xmlns:c16="http://schemas.microsoft.com/office/drawing/2014/chart" uri="{C3380CC4-5D6E-409C-BE32-E72D297353CC}">
              <c16:uniqueId val="{00000001-E2F9-4783-A174-FF53EAD41788}"/>
            </c:ext>
          </c:extLst>
        </c:ser>
        <c:ser>
          <c:idx val="1"/>
          <c:order val="1"/>
          <c:tx>
            <c:strRef>
              <c:f>'Tab 44'!$B$22</c:f>
              <c:strCache>
                <c:ptCount val="1"/>
                <c:pt idx="0">
                  <c:v>teilbefestigtes Terrain</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9.9324584426946638E-2"/>
                  <c:y val="-3.69961817417834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44'!$D$6:$F$6</c:f>
              <c:numCache>
                <c:formatCode>#,##0</c:formatCode>
                <c:ptCount val="3"/>
                <c:pt idx="0">
                  <c:v>10</c:v>
                </c:pt>
                <c:pt idx="1">
                  <c:v>50</c:v>
                </c:pt>
                <c:pt idx="2">
                  <c:v>100</c:v>
                </c:pt>
              </c:numCache>
            </c:numRef>
          </c:xVal>
          <c:yVal>
            <c:numRef>
              <c:f>'Tab 44'!$D$22:$F$22</c:f>
              <c:numCache>
                <c:formatCode>_-* #,##0_-;\-* #,##0_-;_-* "-"??_-;_-@_-</c:formatCode>
                <c:ptCount val="3"/>
                <c:pt idx="0">
                  <c:v>7422</c:v>
                </c:pt>
                <c:pt idx="1">
                  <c:v>7877</c:v>
                </c:pt>
                <c:pt idx="2">
                  <c:v>8365</c:v>
                </c:pt>
              </c:numCache>
            </c:numRef>
          </c:yVal>
          <c:smooth val="0"/>
          <c:extLst>
            <c:ext xmlns:c16="http://schemas.microsoft.com/office/drawing/2014/chart" uri="{C3380CC4-5D6E-409C-BE32-E72D297353CC}">
              <c16:uniqueId val="{00000003-E2F9-4783-A174-FF53EAD41788}"/>
            </c:ext>
          </c:extLst>
        </c:ser>
        <c:ser>
          <c:idx val="2"/>
          <c:order val="2"/>
          <c:tx>
            <c:strRef>
              <c:f>'Tab 44'!$B$23</c:f>
              <c:strCache>
                <c:ptCount val="1"/>
                <c:pt idx="0">
                  <c:v>befestigtes Terrain</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3.3199475065616796E-2"/>
                  <c:y val="-3.049527741746900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44'!$D$6:$F$6</c:f>
              <c:numCache>
                <c:formatCode>#,##0</c:formatCode>
                <c:ptCount val="3"/>
                <c:pt idx="0">
                  <c:v>10</c:v>
                </c:pt>
                <c:pt idx="1">
                  <c:v>50</c:v>
                </c:pt>
                <c:pt idx="2">
                  <c:v>100</c:v>
                </c:pt>
              </c:numCache>
            </c:numRef>
          </c:xVal>
          <c:yVal>
            <c:numRef>
              <c:f>'Tab 44'!$D$23:$F$23</c:f>
              <c:numCache>
                <c:formatCode>_-* #,##0_-;\-* #,##0_-;_-* "-"??_-;_-@_-</c:formatCode>
                <c:ptCount val="3"/>
                <c:pt idx="0">
                  <c:v>11025</c:v>
                </c:pt>
                <c:pt idx="1">
                  <c:v>11668</c:v>
                </c:pt>
                <c:pt idx="2">
                  <c:v>12358</c:v>
                </c:pt>
              </c:numCache>
            </c:numRef>
          </c:yVal>
          <c:smooth val="0"/>
          <c:extLst>
            <c:ext xmlns:c16="http://schemas.microsoft.com/office/drawing/2014/chart" uri="{C3380CC4-5D6E-409C-BE32-E72D297353CC}">
              <c16:uniqueId val="{00000005-E2F9-4783-A174-FF53EAD41788}"/>
            </c:ext>
          </c:extLst>
        </c:ser>
        <c:dLbls>
          <c:showLegendKey val="0"/>
          <c:showVal val="0"/>
          <c:showCatName val="0"/>
          <c:showSerName val="0"/>
          <c:showPercent val="0"/>
          <c:showBubbleSize val="0"/>
        </c:dLbls>
        <c:axId val="951804799"/>
        <c:axId val="1260106559"/>
      </c:scatterChart>
      <c:valAx>
        <c:axId val="951804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60106559"/>
        <c:crosses val="autoZero"/>
        <c:crossBetween val="midCat"/>
      </c:valAx>
      <c:valAx>
        <c:axId val="126010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€/Anschluss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04799"/>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Hauptleitungsstrang 2023/2030/2040</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44'!$B$25</c:f>
              <c:strCache>
                <c:ptCount val="1"/>
                <c:pt idx="0">
                  <c:v>unbefestigtes Terrain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9.8419493796978903E-3"/>
                  <c:y val="-4.610655187191771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44'!$E$6:$J$6</c:f>
              <c:numCache>
                <c:formatCode>#,##0</c:formatCode>
                <c:ptCount val="6"/>
                <c:pt idx="0">
                  <c:v>50</c:v>
                </c:pt>
                <c:pt idx="1">
                  <c:v>100</c:v>
                </c:pt>
                <c:pt idx="2">
                  <c:v>250</c:v>
                </c:pt>
                <c:pt idx="3">
                  <c:v>1000</c:v>
                </c:pt>
                <c:pt idx="4">
                  <c:v>5000</c:v>
                </c:pt>
                <c:pt idx="5">
                  <c:v>25000</c:v>
                </c:pt>
              </c:numCache>
            </c:numRef>
          </c:xVal>
          <c:yVal>
            <c:numRef>
              <c:f>'Tab 44'!$E$25:$J$25</c:f>
              <c:numCache>
                <c:formatCode>_-* #,##0_-;\-* #,##0_-;_-* "-"??_-;_-@_-</c:formatCode>
                <c:ptCount val="6"/>
                <c:pt idx="0">
                  <c:v>549</c:v>
                </c:pt>
                <c:pt idx="1">
                  <c:v>589</c:v>
                </c:pt>
                <c:pt idx="2">
                  <c:v>661</c:v>
                </c:pt>
                <c:pt idx="3">
                  <c:v>844</c:v>
                </c:pt>
                <c:pt idx="4">
                  <c:v>1258</c:v>
                </c:pt>
                <c:pt idx="5">
                  <c:v>2095</c:v>
                </c:pt>
              </c:numCache>
            </c:numRef>
          </c:yVal>
          <c:smooth val="0"/>
          <c:extLst>
            <c:ext xmlns:c16="http://schemas.microsoft.com/office/drawing/2014/chart" uri="{C3380CC4-5D6E-409C-BE32-E72D297353CC}">
              <c16:uniqueId val="{00000001-EF61-468E-A369-B5B77EB13167}"/>
            </c:ext>
          </c:extLst>
        </c:ser>
        <c:ser>
          <c:idx val="1"/>
          <c:order val="1"/>
          <c:tx>
            <c:strRef>
              <c:f>'Tab 44'!$B$26</c:f>
              <c:strCache>
                <c:ptCount val="1"/>
                <c:pt idx="0">
                  <c:v>teilbefestigtes Terrain</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1.0923552469992433E-2"/>
                  <c:y val="-3.721371140548942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44'!$E$6:$J$6</c:f>
              <c:numCache>
                <c:formatCode>#,##0</c:formatCode>
                <c:ptCount val="6"/>
                <c:pt idx="0">
                  <c:v>50</c:v>
                </c:pt>
                <c:pt idx="1">
                  <c:v>100</c:v>
                </c:pt>
                <c:pt idx="2">
                  <c:v>250</c:v>
                </c:pt>
                <c:pt idx="3">
                  <c:v>1000</c:v>
                </c:pt>
                <c:pt idx="4">
                  <c:v>5000</c:v>
                </c:pt>
                <c:pt idx="5">
                  <c:v>25000</c:v>
                </c:pt>
              </c:numCache>
            </c:numRef>
          </c:xVal>
          <c:yVal>
            <c:numRef>
              <c:f>'Tab 44'!$E$26:$J$26</c:f>
              <c:numCache>
                <c:formatCode>_-* #,##0_-;\-* #,##0_-;_-* "-"??_-;_-@_-</c:formatCode>
                <c:ptCount val="6"/>
                <c:pt idx="0">
                  <c:v>780</c:v>
                </c:pt>
                <c:pt idx="1">
                  <c:v>836</c:v>
                </c:pt>
                <c:pt idx="2">
                  <c:v>938</c:v>
                </c:pt>
                <c:pt idx="3">
                  <c:v>1198</c:v>
                </c:pt>
                <c:pt idx="4">
                  <c:v>1786</c:v>
                </c:pt>
                <c:pt idx="5">
                  <c:v>2975</c:v>
                </c:pt>
              </c:numCache>
            </c:numRef>
          </c:yVal>
          <c:smooth val="0"/>
          <c:extLst>
            <c:ext xmlns:c16="http://schemas.microsoft.com/office/drawing/2014/chart" uri="{C3380CC4-5D6E-409C-BE32-E72D297353CC}">
              <c16:uniqueId val="{00000003-EF61-468E-A369-B5B77EB13167}"/>
            </c:ext>
          </c:extLst>
        </c:ser>
        <c:ser>
          <c:idx val="2"/>
          <c:order val="2"/>
          <c:tx>
            <c:strRef>
              <c:f>'Tab 44'!$B$27</c:f>
              <c:strCache>
                <c:ptCount val="1"/>
                <c:pt idx="0">
                  <c:v>befestigtes Terrain</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3.6780892489839058E-3"/>
                  <c:y val="-5.778235478485579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44'!$E$6:$J$6</c:f>
              <c:numCache>
                <c:formatCode>#,##0</c:formatCode>
                <c:ptCount val="6"/>
                <c:pt idx="0">
                  <c:v>50</c:v>
                </c:pt>
                <c:pt idx="1">
                  <c:v>100</c:v>
                </c:pt>
                <c:pt idx="2">
                  <c:v>250</c:v>
                </c:pt>
                <c:pt idx="3">
                  <c:v>1000</c:v>
                </c:pt>
                <c:pt idx="4">
                  <c:v>5000</c:v>
                </c:pt>
                <c:pt idx="5">
                  <c:v>25000</c:v>
                </c:pt>
              </c:numCache>
            </c:numRef>
          </c:xVal>
          <c:yVal>
            <c:numRef>
              <c:f>'Tab 44'!$E$27:$J$27</c:f>
              <c:numCache>
                <c:formatCode>_-* #,##0_-;\-* #,##0_-;_-* "-"??_-;_-@_-</c:formatCode>
                <c:ptCount val="6"/>
                <c:pt idx="0">
                  <c:v>1060</c:v>
                </c:pt>
                <c:pt idx="1">
                  <c:v>1136</c:v>
                </c:pt>
                <c:pt idx="2">
                  <c:v>1275</c:v>
                </c:pt>
                <c:pt idx="3">
                  <c:v>1628</c:v>
                </c:pt>
                <c:pt idx="4">
                  <c:v>2428</c:v>
                </c:pt>
                <c:pt idx="5">
                  <c:v>4043</c:v>
                </c:pt>
              </c:numCache>
            </c:numRef>
          </c:yVal>
          <c:smooth val="0"/>
          <c:extLst>
            <c:ext xmlns:c16="http://schemas.microsoft.com/office/drawing/2014/chart" uri="{C3380CC4-5D6E-409C-BE32-E72D297353CC}">
              <c16:uniqueId val="{00000005-EF61-468E-A369-B5B77EB13167}"/>
            </c:ext>
          </c:extLst>
        </c:ser>
        <c:dLbls>
          <c:showLegendKey val="0"/>
          <c:showVal val="0"/>
          <c:showCatName val="0"/>
          <c:showSerName val="0"/>
          <c:showPercent val="0"/>
          <c:showBubbleSize val="0"/>
        </c:dLbls>
        <c:axId val="951804799"/>
        <c:axId val="1260106559"/>
      </c:scatterChart>
      <c:valAx>
        <c:axId val="951804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60106559"/>
        <c:crosses val="autoZero"/>
        <c:crossBetween val="midCat"/>
      </c:valAx>
      <c:valAx>
        <c:axId val="126010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04799"/>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Hauptleitungsstrang (inkl. Grabenbau), unversiegelt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45'!$T$41</c:f>
              <c:strCache>
                <c:ptCount val="1"/>
                <c:pt idx="0">
                  <c:v>2022</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9070143126720472E-2"/>
                  <c:y val="0.1237710385197907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45'!$U$40:$AC$40</c:f>
              <c:numCache>
                <c:formatCode>0.0</c:formatCode>
                <c:ptCount val="9"/>
                <c:pt idx="0">
                  <c:v>13</c:v>
                </c:pt>
                <c:pt idx="1">
                  <c:v>16</c:v>
                </c:pt>
                <c:pt idx="2">
                  <c:v>21</c:v>
                </c:pt>
                <c:pt idx="3">
                  <c:v>26</c:v>
                </c:pt>
                <c:pt idx="4">
                  <c:v>34</c:v>
                </c:pt>
                <c:pt idx="5">
                  <c:v>43</c:v>
                </c:pt>
                <c:pt idx="6">
                  <c:v>54</c:v>
                </c:pt>
                <c:pt idx="7">
                  <c:v>68</c:v>
                </c:pt>
                <c:pt idx="8">
                  <c:v>84</c:v>
                </c:pt>
              </c:numCache>
            </c:numRef>
          </c:xVal>
          <c:yVal>
            <c:numRef>
              <c:f>'Tab 45'!$U$41:$AC$41</c:f>
              <c:numCache>
                <c:formatCode>0.0</c:formatCode>
                <c:ptCount val="9"/>
                <c:pt idx="0">
                  <c:v>174.9</c:v>
                </c:pt>
                <c:pt idx="1">
                  <c:v>185.6</c:v>
                </c:pt>
                <c:pt idx="2">
                  <c:v>202.2</c:v>
                </c:pt>
                <c:pt idx="3">
                  <c:v>219.7</c:v>
                </c:pt>
                <c:pt idx="4">
                  <c:v>244.6</c:v>
                </c:pt>
                <c:pt idx="5">
                  <c:v>272.10000000000002</c:v>
                </c:pt>
                <c:pt idx="6">
                  <c:v>303</c:v>
                </c:pt>
                <c:pt idx="7">
                  <c:v>348.1</c:v>
                </c:pt>
                <c:pt idx="8">
                  <c:v>403.4</c:v>
                </c:pt>
              </c:numCache>
            </c:numRef>
          </c:yVal>
          <c:smooth val="0"/>
          <c:extLst>
            <c:ext xmlns:c16="http://schemas.microsoft.com/office/drawing/2014/chart" uri="{C3380CC4-5D6E-409C-BE32-E72D297353CC}">
              <c16:uniqueId val="{00000001-7BA6-421F-AA5F-DC58021CF2B8}"/>
            </c:ext>
          </c:extLst>
        </c:ser>
        <c:ser>
          <c:idx val="1"/>
          <c:order val="1"/>
          <c:tx>
            <c:strRef>
              <c:f>'Tab 45'!$T$42</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23971326342720237"/>
                  <c:y val="-3.733824912598838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45'!$U$40:$AC$40</c:f>
              <c:numCache>
                <c:formatCode>0.0</c:formatCode>
                <c:ptCount val="9"/>
                <c:pt idx="0">
                  <c:v>13</c:v>
                </c:pt>
                <c:pt idx="1">
                  <c:v>16</c:v>
                </c:pt>
                <c:pt idx="2">
                  <c:v>21</c:v>
                </c:pt>
                <c:pt idx="3">
                  <c:v>26</c:v>
                </c:pt>
                <c:pt idx="4">
                  <c:v>34</c:v>
                </c:pt>
                <c:pt idx="5">
                  <c:v>43</c:v>
                </c:pt>
                <c:pt idx="6">
                  <c:v>54</c:v>
                </c:pt>
                <c:pt idx="7">
                  <c:v>68</c:v>
                </c:pt>
                <c:pt idx="8">
                  <c:v>84</c:v>
                </c:pt>
              </c:numCache>
            </c:numRef>
          </c:xVal>
          <c:yVal>
            <c:numRef>
              <c:f>'Tab 45'!$U$42:$AC$42</c:f>
              <c:numCache>
                <c:formatCode>0.0</c:formatCode>
                <c:ptCount val="9"/>
                <c:pt idx="0">
                  <c:v>209.9</c:v>
                </c:pt>
                <c:pt idx="1">
                  <c:v>222.7</c:v>
                </c:pt>
                <c:pt idx="2">
                  <c:v>242.6</c:v>
                </c:pt>
                <c:pt idx="3">
                  <c:v>263.60000000000002</c:v>
                </c:pt>
                <c:pt idx="4">
                  <c:v>293.5</c:v>
                </c:pt>
                <c:pt idx="5">
                  <c:v>326.5</c:v>
                </c:pt>
                <c:pt idx="6">
                  <c:v>363.6</c:v>
                </c:pt>
                <c:pt idx="7">
                  <c:v>417.7</c:v>
                </c:pt>
                <c:pt idx="8">
                  <c:v>484.1</c:v>
                </c:pt>
              </c:numCache>
            </c:numRef>
          </c:yVal>
          <c:smooth val="0"/>
          <c:extLst>
            <c:ext xmlns:c16="http://schemas.microsoft.com/office/drawing/2014/chart" uri="{C3380CC4-5D6E-409C-BE32-E72D297353CC}">
              <c16:uniqueId val="{00000003-7BA6-421F-AA5F-DC58021CF2B8}"/>
            </c:ext>
          </c:extLst>
        </c:ser>
        <c:ser>
          <c:idx val="2"/>
          <c:order val="2"/>
          <c:tx>
            <c:strRef>
              <c:f>'Tab 45'!$T$43</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3.3199475065616796E-2"/>
                  <c:y val="-3.049527741746900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45'!$U$40:$AC$40</c:f>
              <c:numCache>
                <c:formatCode>0.0</c:formatCode>
                <c:ptCount val="9"/>
                <c:pt idx="0">
                  <c:v>13</c:v>
                </c:pt>
                <c:pt idx="1">
                  <c:v>16</c:v>
                </c:pt>
                <c:pt idx="2">
                  <c:v>21</c:v>
                </c:pt>
                <c:pt idx="3">
                  <c:v>26</c:v>
                </c:pt>
                <c:pt idx="4">
                  <c:v>34</c:v>
                </c:pt>
                <c:pt idx="5">
                  <c:v>43</c:v>
                </c:pt>
                <c:pt idx="6">
                  <c:v>54</c:v>
                </c:pt>
                <c:pt idx="7">
                  <c:v>68</c:v>
                </c:pt>
                <c:pt idx="8">
                  <c:v>84</c:v>
                </c:pt>
              </c:numCache>
            </c:numRef>
          </c:xVal>
          <c:yVal>
            <c:numRef>
              <c:f>'Tab 45'!$U$43:$AC$43</c:f>
              <c:numCache>
                <c:formatCode>0.0</c:formatCode>
                <c:ptCount val="9"/>
                <c:pt idx="0">
                  <c:v>251.9</c:v>
                </c:pt>
                <c:pt idx="1">
                  <c:v>267.3</c:v>
                </c:pt>
                <c:pt idx="2">
                  <c:v>291.2</c:v>
                </c:pt>
                <c:pt idx="3">
                  <c:v>316.3</c:v>
                </c:pt>
                <c:pt idx="4">
                  <c:v>352.2</c:v>
                </c:pt>
                <c:pt idx="5">
                  <c:v>391.8</c:v>
                </c:pt>
                <c:pt idx="6">
                  <c:v>436.3</c:v>
                </c:pt>
                <c:pt idx="7">
                  <c:v>501.3</c:v>
                </c:pt>
                <c:pt idx="8">
                  <c:v>580.9</c:v>
                </c:pt>
              </c:numCache>
            </c:numRef>
          </c:yVal>
          <c:smooth val="0"/>
          <c:extLst>
            <c:ext xmlns:c16="http://schemas.microsoft.com/office/drawing/2014/chart" uri="{C3380CC4-5D6E-409C-BE32-E72D297353CC}">
              <c16:uniqueId val="{00000005-7BA6-421F-AA5F-DC58021CF2B8}"/>
            </c:ext>
          </c:extLst>
        </c:ser>
        <c:dLbls>
          <c:showLegendKey val="0"/>
          <c:showVal val="0"/>
          <c:showCatName val="0"/>
          <c:showSerName val="0"/>
          <c:showPercent val="0"/>
          <c:showBubbleSize val="0"/>
        </c:dLbls>
        <c:axId val="951804799"/>
        <c:axId val="1260106559"/>
      </c:scatterChart>
      <c:valAx>
        <c:axId val="951804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kW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60106559"/>
        <c:crosses val="autoZero"/>
        <c:crossBetween val="midCat"/>
      </c:valAx>
      <c:valAx>
        <c:axId val="126010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51804799"/>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Hausstation FW indirekt</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46'!$C$4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2.4713601702429509E-2"/>
                  <c:y val="-0.130487394496294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46'!$E$6:$H$6</c:f>
              <c:numCache>
                <c:formatCode>General</c:formatCode>
                <c:ptCount val="4"/>
                <c:pt idx="0">
                  <c:v>10</c:v>
                </c:pt>
                <c:pt idx="1">
                  <c:v>50</c:v>
                </c:pt>
                <c:pt idx="2">
                  <c:v>200</c:v>
                </c:pt>
                <c:pt idx="3">
                  <c:v>700</c:v>
                </c:pt>
              </c:numCache>
            </c:numRef>
          </c:xVal>
          <c:yVal>
            <c:numRef>
              <c:f>'Tab 46'!$E$10:$H$10</c:f>
              <c:numCache>
                <c:formatCode>0</c:formatCode>
                <c:ptCount val="4"/>
                <c:pt idx="0">
                  <c:v>530</c:v>
                </c:pt>
                <c:pt idx="1">
                  <c:v>245</c:v>
                </c:pt>
                <c:pt idx="2">
                  <c:v>90</c:v>
                </c:pt>
                <c:pt idx="3">
                  <c:v>34</c:v>
                </c:pt>
              </c:numCache>
            </c:numRef>
          </c:yVal>
          <c:smooth val="0"/>
          <c:extLst>
            <c:ext xmlns:c16="http://schemas.microsoft.com/office/drawing/2014/chart" uri="{C3380CC4-5D6E-409C-BE32-E72D297353CC}">
              <c16:uniqueId val="{00000001-6C5A-4498-99BD-D77527DCFF21}"/>
            </c:ext>
          </c:extLst>
        </c:ser>
        <c:ser>
          <c:idx val="1"/>
          <c:order val="1"/>
          <c:tx>
            <c:strRef>
              <c:f>'Tab 46'!$C$20</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8.0872286492181547E-2"/>
                  <c:y val="-6.747155091304907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46'!$E$22:$H$22</c:f>
              <c:numCache>
                <c:formatCode>General</c:formatCode>
                <c:ptCount val="4"/>
                <c:pt idx="0">
                  <c:v>10</c:v>
                </c:pt>
                <c:pt idx="1">
                  <c:v>50</c:v>
                </c:pt>
                <c:pt idx="2">
                  <c:v>200</c:v>
                </c:pt>
                <c:pt idx="3">
                  <c:v>700</c:v>
                </c:pt>
              </c:numCache>
            </c:numRef>
          </c:xVal>
          <c:yVal>
            <c:numRef>
              <c:f>'Tab 46'!$E$26:$H$26</c:f>
              <c:numCache>
                <c:formatCode>0</c:formatCode>
                <c:ptCount val="4"/>
                <c:pt idx="0">
                  <c:v>509</c:v>
                </c:pt>
                <c:pt idx="1">
                  <c:v>236</c:v>
                </c:pt>
                <c:pt idx="2">
                  <c:v>86</c:v>
                </c:pt>
                <c:pt idx="3">
                  <c:v>33</c:v>
                </c:pt>
              </c:numCache>
            </c:numRef>
          </c:yVal>
          <c:smooth val="0"/>
          <c:extLst>
            <c:ext xmlns:c16="http://schemas.microsoft.com/office/drawing/2014/chart" uri="{C3380CC4-5D6E-409C-BE32-E72D297353CC}">
              <c16:uniqueId val="{00000003-6C5A-4498-99BD-D77527DCFF21}"/>
            </c:ext>
          </c:extLst>
        </c:ser>
        <c:ser>
          <c:idx val="2"/>
          <c:order val="2"/>
          <c:tx>
            <c:strRef>
              <c:f>'Tab 46'!$C$36</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7.0817729468095093E-3"/>
                  <c:y val="2.99644257645370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46'!$E$38:$H$38</c:f>
              <c:numCache>
                <c:formatCode>General</c:formatCode>
                <c:ptCount val="4"/>
                <c:pt idx="0">
                  <c:v>10</c:v>
                </c:pt>
                <c:pt idx="1">
                  <c:v>50</c:v>
                </c:pt>
                <c:pt idx="2">
                  <c:v>200</c:v>
                </c:pt>
                <c:pt idx="3">
                  <c:v>700</c:v>
                </c:pt>
              </c:numCache>
            </c:numRef>
          </c:xVal>
          <c:yVal>
            <c:numRef>
              <c:f>'Tab 46'!$E$42:$H$42</c:f>
              <c:numCache>
                <c:formatCode>0</c:formatCode>
                <c:ptCount val="4"/>
                <c:pt idx="0">
                  <c:v>484</c:v>
                </c:pt>
                <c:pt idx="1">
                  <c:v>224</c:v>
                </c:pt>
                <c:pt idx="2">
                  <c:v>82</c:v>
                </c:pt>
                <c:pt idx="3">
                  <c:v>31</c:v>
                </c:pt>
              </c:numCache>
            </c:numRef>
          </c:yVal>
          <c:smooth val="0"/>
          <c:extLst>
            <c:ext xmlns:c16="http://schemas.microsoft.com/office/drawing/2014/chart" uri="{C3380CC4-5D6E-409C-BE32-E72D297353CC}">
              <c16:uniqueId val="{00000005-6C5A-4498-99BD-D77527DCFF21}"/>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Anlagenleistung [kW_th]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[€/kW_th]</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PTES</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47'!$C$4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47'!$D$9:$E$9</c:f>
              <c:numCache>
                <c:formatCode>_-* #,##0_-;\-* #,##0_-;_-* "-"??_-;_-@_-</c:formatCode>
                <c:ptCount val="2"/>
                <c:pt idx="0">
                  <c:v>1500</c:v>
                </c:pt>
                <c:pt idx="1">
                  <c:v>4500</c:v>
                </c:pt>
              </c:numCache>
            </c:numRef>
          </c:xVal>
          <c:yVal>
            <c:numRef>
              <c:f>'Tab 47'!$D$15:$E$15</c:f>
              <c:numCache>
                <c:formatCode>_-* #,##0_-;\-* #,##0_-;_-* "-"??_-;_-@_-</c:formatCode>
                <c:ptCount val="2"/>
                <c:pt idx="0">
                  <c:v>1131</c:v>
                </c:pt>
                <c:pt idx="1">
                  <c:v>709</c:v>
                </c:pt>
              </c:numCache>
            </c:numRef>
          </c:yVal>
          <c:smooth val="0"/>
          <c:extLst>
            <c:ext xmlns:c16="http://schemas.microsoft.com/office/drawing/2014/chart" uri="{C3380CC4-5D6E-409C-BE32-E72D297353CC}">
              <c16:uniqueId val="{00000001-9423-42CF-BB3C-2DD3E209E8CE}"/>
            </c:ext>
          </c:extLst>
        </c:ser>
        <c:ser>
          <c:idx val="1"/>
          <c:order val="1"/>
          <c:tx>
            <c:strRef>
              <c:f>'Tab 47'!$C$22</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47'!$D$27:$E$27</c:f>
              <c:numCache>
                <c:formatCode>_-* #,##0_-;\-* #,##0_-;_-* "-"??_-;_-@_-</c:formatCode>
                <c:ptCount val="2"/>
                <c:pt idx="0">
                  <c:v>1500</c:v>
                </c:pt>
                <c:pt idx="1">
                  <c:v>4500</c:v>
                </c:pt>
              </c:numCache>
            </c:numRef>
          </c:xVal>
          <c:yVal>
            <c:numRef>
              <c:f>'Tab 47'!$D$33:$E$33</c:f>
              <c:numCache>
                <c:formatCode>_-* #,##0_-;\-* #,##0_-;_-* "-"??_-;_-@_-</c:formatCode>
                <c:ptCount val="2"/>
                <c:pt idx="0">
                  <c:v>1087</c:v>
                </c:pt>
                <c:pt idx="1">
                  <c:v>681</c:v>
                </c:pt>
              </c:numCache>
            </c:numRef>
          </c:yVal>
          <c:smooth val="0"/>
          <c:extLst>
            <c:ext xmlns:c16="http://schemas.microsoft.com/office/drawing/2014/chart" uri="{C3380CC4-5D6E-409C-BE32-E72D297353CC}">
              <c16:uniqueId val="{00000003-9423-42CF-BB3C-2DD3E209E8CE}"/>
            </c:ext>
          </c:extLst>
        </c:ser>
        <c:ser>
          <c:idx val="2"/>
          <c:order val="2"/>
          <c:tx>
            <c:strRef>
              <c:f>'Tab 47'!$C$40</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47'!$D$45:$E$45</c:f>
              <c:numCache>
                <c:formatCode>_-* #,##0_-;\-* #,##0_-;_-* "-"??_-;_-@_-</c:formatCode>
                <c:ptCount val="2"/>
                <c:pt idx="0">
                  <c:v>1500</c:v>
                </c:pt>
                <c:pt idx="1">
                  <c:v>4500</c:v>
                </c:pt>
              </c:numCache>
            </c:numRef>
          </c:xVal>
          <c:yVal>
            <c:numRef>
              <c:f>'Tab 47'!$D$51:$E$51</c:f>
              <c:numCache>
                <c:formatCode>_-* #,##0_-;\-* #,##0_-;_-* "-"??_-;_-@_-</c:formatCode>
                <c:ptCount val="2"/>
                <c:pt idx="0">
                  <c:v>1018</c:v>
                </c:pt>
                <c:pt idx="1">
                  <c:v>638</c:v>
                </c:pt>
              </c:numCache>
            </c:numRef>
          </c:yVal>
          <c:smooth val="0"/>
          <c:extLst>
            <c:ext xmlns:c16="http://schemas.microsoft.com/office/drawing/2014/chart" uri="{C3380CC4-5D6E-409C-BE32-E72D297353CC}">
              <c16:uniqueId val="{00000005-9423-42CF-BB3C-2DD3E209E8CE}"/>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Speichervolumen (MWh)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[€/MWh Kapazität]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TTES</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strRef>
              <c:f>'Tab 48'!$C$4</c:f>
              <c:strCache>
                <c:ptCount val="1"/>
                <c:pt idx="0">
                  <c:v>2023</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48'!$D$8:$E$8</c:f>
              <c:numCache>
                <c:formatCode>General</c:formatCode>
                <c:ptCount val="2"/>
                <c:pt idx="0">
                  <c:v>60</c:v>
                </c:pt>
                <c:pt idx="1">
                  <c:v>175</c:v>
                </c:pt>
              </c:numCache>
            </c:numRef>
          </c:xVal>
          <c:yVal>
            <c:numRef>
              <c:f>'Tab 48'!$D$14:$E$14</c:f>
              <c:numCache>
                <c:formatCode>_-* #,##0_-;\-* #,##0_-;_-* "-"??_-;_-@_-</c:formatCode>
                <c:ptCount val="2"/>
                <c:pt idx="0">
                  <c:v>7088</c:v>
                </c:pt>
                <c:pt idx="1">
                  <c:v>4350</c:v>
                </c:pt>
              </c:numCache>
            </c:numRef>
          </c:yVal>
          <c:smooth val="0"/>
          <c:extLst>
            <c:ext xmlns:c16="http://schemas.microsoft.com/office/drawing/2014/chart" uri="{C3380CC4-5D6E-409C-BE32-E72D297353CC}">
              <c16:uniqueId val="{00000001-B868-455A-B4FB-67E14C827EAE}"/>
            </c:ext>
          </c:extLst>
        </c:ser>
        <c:ser>
          <c:idx val="1"/>
          <c:order val="1"/>
          <c:tx>
            <c:strRef>
              <c:f>'Tab 48'!$C$21</c:f>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f>'Tab 48'!$D$25:$E$25</c:f>
              <c:numCache>
                <c:formatCode>General</c:formatCode>
                <c:ptCount val="2"/>
                <c:pt idx="0">
                  <c:v>60</c:v>
                </c:pt>
                <c:pt idx="1">
                  <c:v>175</c:v>
                </c:pt>
              </c:numCache>
            </c:numRef>
          </c:xVal>
          <c:yVal>
            <c:numRef>
              <c:f>'Tab 48'!$D$31:$E$31</c:f>
              <c:numCache>
                <c:formatCode>_-* #,##0_-;\-* #,##0_-;_-* "-"??_-;_-@_-</c:formatCode>
                <c:ptCount val="2"/>
                <c:pt idx="0">
                  <c:v>6379</c:v>
                </c:pt>
                <c:pt idx="1">
                  <c:v>3915</c:v>
                </c:pt>
              </c:numCache>
            </c:numRef>
          </c:yVal>
          <c:smooth val="0"/>
          <c:extLst>
            <c:ext xmlns:c16="http://schemas.microsoft.com/office/drawing/2014/chart" uri="{C3380CC4-5D6E-409C-BE32-E72D297353CC}">
              <c16:uniqueId val="{00000003-B868-455A-B4FB-67E14C827EAE}"/>
            </c:ext>
          </c:extLst>
        </c:ser>
        <c:ser>
          <c:idx val="2"/>
          <c:order val="2"/>
          <c:tx>
            <c:strRef>
              <c:f>'Tab 48'!$C$38</c:f>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f>'Tab 48'!$D$42:$E$42</c:f>
              <c:numCache>
                <c:formatCode>General</c:formatCode>
                <c:ptCount val="2"/>
                <c:pt idx="0">
                  <c:v>60</c:v>
                </c:pt>
                <c:pt idx="1">
                  <c:v>175</c:v>
                </c:pt>
              </c:numCache>
            </c:numRef>
          </c:xVal>
          <c:yVal>
            <c:numRef>
              <c:f>'Tab 48'!$D$48:$E$48</c:f>
              <c:numCache>
                <c:formatCode>_-* #,##0_-;\-* #,##0_-;_-* "-"??_-;_-@_-</c:formatCode>
                <c:ptCount val="2"/>
                <c:pt idx="0">
                  <c:v>5670</c:v>
                </c:pt>
                <c:pt idx="1">
                  <c:v>3480</c:v>
                </c:pt>
              </c:numCache>
            </c:numRef>
          </c:yVal>
          <c:smooth val="0"/>
          <c:extLst>
            <c:ext xmlns:c16="http://schemas.microsoft.com/office/drawing/2014/chart" uri="{C3380CC4-5D6E-409C-BE32-E72D297353CC}">
              <c16:uniqueId val="{00000005-B868-455A-B4FB-67E14C827EAE}"/>
            </c:ext>
          </c:extLst>
        </c:ser>
        <c:dLbls>
          <c:showLegendKey val="0"/>
          <c:showVal val="0"/>
          <c:showCatName val="0"/>
          <c:showSerName val="0"/>
          <c:showPercent val="0"/>
          <c:showBubbleSize val="0"/>
        </c:dLbls>
        <c:axId val="14719936"/>
        <c:axId val="16286816"/>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Speichervolumen (MWh)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[€/MWh Kapazität]</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Trinkwasserspeicher</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0.12558114414418359"/>
          <c:y val="0.1516676932548168"/>
          <c:w val="0.82717286654542788"/>
          <c:h val="0.57321870320182811"/>
        </c:manualLayout>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3.5376937989951826E-2"/>
                  <c:y val="-5.606233842506030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trendlineLbl>
          </c:trendline>
          <c:xVal>
            <c:numRef>
              <c:f>'Tab 49'!$D$6:$I$6</c:f>
              <c:numCache>
                <c:formatCode>General</c:formatCode>
                <c:ptCount val="6"/>
                <c:pt idx="0">
                  <c:v>130</c:v>
                </c:pt>
                <c:pt idx="1">
                  <c:v>150</c:v>
                </c:pt>
                <c:pt idx="2">
                  <c:v>300</c:v>
                </c:pt>
                <c:pt idx="3">
                  <c:v>301</c:v>
                </c:pt>
                <c:pt idx="4">
                  <c:v>500</c:v>
                </c:pt>
                <c:pt idx="5">
                  <c:v>1000</c:v>
                </c:pt>
              </c:numCache>
            </c:numRef>
          </c:xVal>
          <c:yVal>
            <c:numRef>
              <c:f>'Tab 49'!$D$11:$I$11</c:f>
              <c:numCache>
                <c:formatCode>0.00</c:formatCode>
                <c:ptCount val="6"/>
                <c:pt idx="0">
                  <c:v>3.4</c:v>
                </c:pt>
                <c:pt idx="1">
                  <c:v>3.24</c:v>
                </c:pt>
                <c:pt idx="2">
                  <c:v>2.58</c:v>
                </c:pt>
                <c:pt idx="3">
                  <c:v>2.58</c:v>
                </c:pt>
                <c:pt idx="4">
                  <c:v>2.0499999999999998</c:v>
                </c:pt>
                <c:pt idx="5">
                  <c:v>1.73</c:v>
                </c:pt>
              </c:numCache>
            </c:numRef>
          </c:yVal>
          <c:smooth val="0"/>
          <c:extLst>
            <c:ext xmlns:c16="http://schemas.microsoft.com/office/drawing/2014/chart" uri="{C3380CC4-5D6E-409C-BE32-E72D297353CC}">
              <c16:uniqueId val="{00000001-E9F8-40D5-82CB-9E89921D012F}"/>
            </c:ext>
          </c:extLst>
        </c:ser>
        <c:dLbls>
          <c:showLegendKey val="0"/>
          <c:showVal val="0"/>
          <c:showCatName val="0"/>
          <c:showSerName val="0"/>
          <c:showPercent val="0"/>
          <c:showBubbleSize val="0"/>
        </c:dLbls>
        <c:axId val="14719936"/>
        <c:axId val="16286816"/>
        <c:extLst>
          <c:ext xmlns:c15="http://schemas.microsoft.com/office/drawing/2012/chart" uri="{02D57815-91ED-43cb-92C2-25804820EDAC}">
            <c15:filteredScatterSeries>
              <c15:ser>
                <c:idx val="1"/>
                <c:order val="1"/>
                <c:tx>
                  <c:strRef>
                    <c:extLst>
                      <c:ext uri="{02D57815-91ED-43cb-92C2-25804820EDAC}">
                        <c15:formulaRef>
                          <c15:sqref>'Tab 49'!$C$18</c15:sqref>
                        </c15:formulaRef>
                      </c:ext>
                    </c:extLst>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extLst>
                      <c:ext uri="{02D57815-91ED-43cb-92C2-25804820EDAC}">
                        <c15:formulaRef>
                          <c15:sqref>'Tab 49'!$D$20:$H$20</c15:sqref>
                        </c15:formulaRef>
                      </c:ext>
                    </c:extLst>
                    <c:numCache>
                      <c:formatCode>General</c:formatCode>
                      <c:ptCount val="5"/>
                      <c:pt idx="0">
                        <c:v>130</c:v>
                      </c:pt>
                      <c:pt idx="1">
                        <c:v>150</c:v>
                      </c:pt>
                      <c:pt idx="2">
                        <c:v>300</c:v>
                      </c:pt>
                      <c:pt idx="3">
                        <c:v>301</c:v>
                      </c:pt>
                      <c:pt idx="4">
                        <c:v>500</c:v>
                      </c:pt>
                    </c:numCache>
                  </c:numRef>
                </c:xVal>
                <c:yVal>
                  <c:numRef>
                    <c:extLst>
                      <c:ext uri="{02D57815-91ED-43cb-92C2-25804820EDAC}">
                        <c15:formulaRef>
                          <c15:sqref>'Tab 49'!$D$25:$H$25</c15:sqref>
                        </c15:formulaRef>
                      </c:ext>
                    </c:extLst>
                    <c:numCache>
                      <c:formatCode>0.00</c:formatCode>
                      <c:ptCount val="5"/>
                      <c:pt idx="0">
                        <c:v>3.4</c:v>
                      </c:pt>
                      <c:pt idx="1">
                        <c:v>3.24</c:v>
                      </c:pt>
                      <c:pt idx="2">
                        <c:v>2.58</c:v>
                      </c:pt>
                      <c:pt idx="3">
                        <c:v>2.58</c:v>
                      </c:pt>
                      <c:pt idx="4">
                        <c:v>2.0499999999999998</c:v>
                      </c:pt>
                    </c:numCache>
                  </c:numRef>
                </c:yVal>
                <c:smooth val="0"/>
                <c:extLst>
                  <c:ext xmlns:c16="http://schemas.microsoft.com/office/drawing/2014/chart" uri="{C3380CC4-5D6E-409C-BE32-E72D297353CC}">
                    <c16:uniqueId val="{00000003-E9F8-40D5-82CB-9E89921D012F}"/>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'Tab 49'!$C$32</c15:sqref>
                        </c15:formulaRef>
                      </c:ext>
                    </c:extLst>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extLst xmlns:c15="http://schemas.microsoft.com/office/drawing/2012/chart">
                      <c:ext xmlns:c15="http://schemas.microsoft.com/office/drawing/2012/chart" uri="{02D57815-91ED-43cb-92C2-25804820EDAC}">
                        <c15:formulaRef>
                          <c15:sqref>'Tab 49'!$D$34:$H$34</c15:sqref>
                        </c15:formulaRef>
                      </c:ext>
                    </c:extLst>
                    <c:numCache>
                      <c:formatCode>General</c:formatCode>
                      <c:ptCount val="5"/>
                      <c:pt idx="0">
                        <c:v>130</c:v>
                      </c:pt>
                      <c:pt idx="1">
                        <c:v>150</c:v>
                      </c:pt>
                      <c:pt idx="2">
                        <c:v>300</c:v>
                      </c:pt>
                      <c:pt idx="3">
                        <c:v>301</c:v>
                      </c:pt>
                      <c:pt idx="4">
                        <c:v>500</c:v>
                      </c:pt>
                    </c:numCache>
                  </c:numRef>
                </c:xVal>
                <c:yVal>
                  <c:numRef>
                    <c:extLst xmlns:c15="http://schemas.microsoft.com/office/drawing/2012/chart">
                      <c:ext xmlns:c15="http://schemas.microsoft.com/office/drawing/2012/chart" uri="{02D57815-91ED-43cb-92C2-25804820EDAC}">
                        <c15:formulaRef>
                          <c15:sqref>'Tab 49'!$D$39:$H$39</c15:sqref>
                        </c15:formulaRef>
                      </c:ext>
                    </c:extLst>
                    <c:numCache>
                      <c:formatCode>0.00</c:formatCode>
                      <c:ptCount val="5"/>
                      <c:pt idx="0">
                        <c:v>3.4</c:v>
                      </c:pt>
                      <c:pt idx="1">
                        <c:v>3.24</c:v>
                      </c:pt>
                      <c:pt idx="2">
                        <c:v>2.58</c:v>
                      </c:pt>
                      <c:pt idx="3">
                        <c:v>2.58</c:v>
                      </c:pt>
                      <c:pt idx="4">
                        <c:v>2.0499999999999998</c:v>
                      </c:pt>
                    </c:numCache>
                  </c:numRef>
                </c:yVal>
                <c:smooth val="0"/>
                <c:extLst xmlns:c15="http://schemas.microsoft.com/office/drawing/2012/chart">
                  <c:ext xmlns:c16="http://schemas.microsoft.com/office/drawing/2014/chart" uri="{C3380CC4-5D6E-409C-BE32-E72D297353CC}">
                    <c16:uniqueId val="{00000005-E9F8-40D5-82CB-9E89921D012F}"/>
                  </c:ext>
                </c:extLst>
              </c15:ser>
            </c15:filteredScatterSeries>
          </c:ext>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Speichervolumen (L)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[€/L]</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Spez.</a:t>
            </a:r>
            <a:r>
              <a:rPr lang="de-DE" baseline="0"/>
              <a:t> Investitionskosten Pufferspeicher</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lineMarker"/>
        <c:varyColors val="0"/>
        <c:ser>
          <c:idx val="0"/>
          <c:order val="0"/>
          <c:tx>
            <c:v>2023/2030/2040</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8929352580927387E-2"/>
                  <c:y val="-5.822781497679200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5"/>
                      </a:solidFill>
                      <a:latin typeface="+mn-lt"/>
                      <a:ea typeface="+mn-ea"/>
                      <a:cs typeface="+mn-cs"/>
                    </a:defRPr>
                  </a:pPr>
                  <a:endParaRPr lang="de-DE"/>
                </a:p>
              </c:txPr>
            </c:trendlineLbl>
          </c:trendline>
          <c:xVal>
            <c:numRef>
              <c:f>'Tab 50'!$D$6:$H$6</c:f>
              <c:numCache>
                <c:formatCode>_-* #,##0_-;\-* #,##0_-;_-* "-"??_-;_-@_-</c:formatCode>
                <c:ptCount val="5"/>
                <c:pt idx="0">
                  <c:v>500</c:v>
                </c:pt>
                <c:pt idx="1">
                  <c:v>800</c:v>
                </c:pt>
                <c:pt idx="2">
                  <c:v>1000</c:v>
                </c:pt>
                <c:pt idx="3">
                  <c:v>1500</c:v>
                </c:pt>
                <c:pt idx="4">
                  <c:v>5000</c:v>
                </c:pt>
              </c:numCache>
            </c:numRef>
          </c:xVal>
          <c:yVal>
            <c:numRef>
              <c:f>'Tab 50'!$D$11:$H$11</c:f>
              <c:numCache>
                <c:formatCode>0.0</c:formatCode>
                <c:ptCount val="5"/>
                <c:pt idx="0">
                  <c:v>11.3</c:v>
                </c:pt>
                <c:pt idx="1">
                  <c:v>10.199999999999999</c:v>
                </c:pt>
                <c:pt idx="2">
                  <c:v>9.6</c:v>
                </c:pt>
                <c:pt idx="3">
                  <c:v>7.6</c:v>
                </c:pt>
                <c:pt idx="4">
                  <c:v>8.4</c:v>
                </c:pt>
              </c:numCache>
            </c:numRef>
          </c:yVal>
          <c:smooth val="0"/>
          <c:extLst>
            <c:ext xmlns:c16="http://schemas.microsoft.com/office/drawing/2014/chart" uri="{C3380CC4-5D6E-409C-BE32-E72D297353CC}">
              <c16:uniqueId val="{00000001-9767-4057-B05D-B83F8557014E}"/>
            </c:ext>
          </c:extLst>
        </c:ser>
        <c:dLbls>
          <c:showLegendKey val="0"/>
          <c:showVal val="0"/>
          <c:showCatName val="0"/>
          <c:showSerName val="0"/>
          <c:showPercent val="0"/>
          <c:showBubbleSize val="0"/>
        </c:dLbls>
        <c:axId val="14719936"/>
        <c:axId val="16286816"/>
        <c:extLst>
          <c:ext xmlns:c15="http://schemas.microsoft.com/office/drawing/2012/chart" uri="{02D57815-91ED-43cb-92C2-25804820EDAC}">
            <c15:filteredScatterSeries>
              <c15:ser>
                <c:idx val="1"/>
                <c:order val="1"/>
                <c:tx>
                  <c:strRef>
                    <c:extLst>
                      <c:ext uri="{02D57815-91ED-43cb-92C2-25804820EDAC}">
                        <c15:formulaRef>
                          <c15:sqref>'Tab 50'!$C$18</c15:sqref>
                        </c15:formulaRef>
                      </c:ext>
                    </c:extLst>
                    <c:strCache>
                      <c:ptCount val="1"/>
                      <c:pt idx="0">
                        <c:v>2030</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10991869377722163"/>
                        <c:y val="7.950568621967397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de-DE"/>
                      </a:p>
                    </c:txPr>
                  </c:trendlineLbl>
                </c:trendline>
                <c:xVal>
                  <c:numRef>
                    <c:extLst>
                      <c:ext uri="{02D57815-91ED-43cb-92C2-25804820EDAC}">
                        <c15:formulaRef>
                          <c15:sqref>'Tab 50'!$D$20:$H$20</c15:sqref>
                        </c15:formulaRef>
                      </c:ext>
                    </c:extLst>
                    <c:numCache>
                      <c:formatCode>_-* #,##0_-;\-* #,##0_-;_-* "-"??_-;_-@_-</c:formatCode>
                      <c:ptCount val="5"/>
                      <c:pt idx="0">
                        <c:v>500</c:v>
                      </c:pt>
                      <c:pt idx="1">
                        <c:v>800</c:v>
                      </c:pt>
                      <c:pt idx="2">
                        <c:v>1000</c:v>
                      </c:pt>
                      <c:pt idx="3">
                        <c:v>1500</c:v>
                      </c:pt>
                      <c:pt idx="4">
                        <c:v>5000</c:v>
                      </c:pt>
                    </c:numCache>
                  </c:numRef>
                </c:xVal>
                <c:yVal>
                  <c:numRef>
                    <c:extLst>
                      <c:ext uri="{02D57815-91ED-43cb-92C2-25804820EDAC}">
                        <c15:formulaRef>
                          <c15:sqref>'Tab 50'!$D$25:$H$25</c15:sqref>
                        </c15:formulaRef>
                      </c:ext>
                    </c:extLst>
                    <c:numCache>
                      <c:formatCode>0.0</c:formatCode>
                      <c:ptCount val="5"/>
                      <c:pt idx="0">
                        <c:v>11.3</c:v>
                      </c:pt>
                      <c:pt idx="1">
                        <c:v>10.199999999999999</c:v>
                      </c:pt>
                      <c:pt idx="2">
                        <c:v>9.6</c:v>
                      </c:pt>
                      <c:pt idx="3">
                        <c:v>7.6</c:v>
                      </c:pt>
                      <c:pt idx="4">
                        <c:v>8.4</c:v>
                      </c:pt>
                    </c:numCache>
                  </c:numRef>
                </c:yVal>
                <c:smooth val="0"/>
                <c:extLst>
                  <c:ext xmlns:c16="http://schemas.microsoft.com/office/drawing/2014/chart" uri="{C3380CC4-5D6E-409C-BE32-E72D297353CC}">
                    <c16:uniqueId val="{00000003-9767-4057-B05D-B83F8557014E}"/>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'Tab 50'!$C$32</c15:sqref>
                        </c15:formulaRef>
                      </c:ext>
                    </c:extLst>
                    <c:strCache>
                      <c:ptCount val="1"/>
                      <c:pt idx="0">
                        <c:v>2040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layout>
                      <c:manualLayout>
                        <c:x val="-5.4122408480349611E-2"/>
                        <c:y val="5.17409692380217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accent3"/>
                            </a:solidFill>
                            <a:latin typeface="+mn-lt"/>
                            <a:ea typeface="+mn-ea"/>
                            <a:cs typeface="+mn-cs"/>
                          </a:defRPr>
                        </a:pPr>
                        <a:endParaRPr lang="de-DE"/>
                      </a:p>
                    </c:txPr>
                  </c:trendlineLbl>
                </c:trendline>
                <c:xVal>
                  <c:numRef>
                    <c:extLst xmlns:c15="http://schemas.microsoft.com/office/drawing/2012/chart">
                      <c:ext xmlns:c15="http://schemas.microsoft.com/office/drawing/2012/chart" uri="{02D57815-91ED-43cb-92C2-25804820EDAC}">
                        <c15:formulaRef>
                          <c15:sqref>'Tab 50'!$D$34:$H$34</c15:sqref>
                        </c15:formulaRef>
                      </c:ext>
                    </c:extLst>
                    <c:numCache>
                      <c:formatCode>_-* #,##0_-;\-* #,##0_-;_-* "-"??_-;_-@_-</c:formatCode>
                      <c:ptCount val="5"/>
                      <c:pt idx="0">
                        <c:v>500</c:v>
                      </c:pt>
                      <c:pt idx="1">
                        <c:v>800</c:v>
                      </c:pt>
                      <c:pt idx="2">
                        <c:v>1000</c:v>
                      </c:pt>
                      <c:pt idx="3">
                        <c:v>1500</c:v>
                      </c:pt>
                      <c:pt idx="4">
                        <c:v>5000</c:v>
                      </c:pt>
                    </c:numCache>
                  </c:numRef>
                </c:xVal>
                <c:yVal>
                  <c:numRef>
                    <c:extLst xmlns:c15="http://schemas.microsoft.com/office/drawing/2012/chart">
                      <c:ext xmlns:c15="http://schemas.microsoft.com/office/drawing/2012/chart" uri="{02D57815-91ED-43cb-92C2-25804820EDAC}">
                        <c15:formulaRef>
                          <c15:sqref>'Tab 50'!$D$39:$H$39</c15:sqref>
                        </c15:formulaRef>
                      </c:ext>
                    </c:extLst>
                    <c:numCache>
                      <c:formatCode>0.0</c:formatCode>
                      <c:ptCount val="5"/>
                      <c:pt idx="0">
                        <c:v>11.3</c:v>
                      </c:pt>
                      <c:pt idx="1">
                        <c:v>10.199999999999999</c:v>
                      </c:pt>
                      <c:pt idx="2">
                        <c:v>9.6</c:v>
                      </c:pt>
                      <c:pt idx="3">
                        <c:v>7.6</c:v>
                      </c:pt>
                      <c:pt idx="4">
                        <c:v>8.4</c:v>
                      </c:pt>
                    </c:numCache>
                  </c:numRef>
                </c:yVal>
                <c:smooth val="0"/>
                <c:extLst xmlns:c15="http://schemas.microsoft.com/office/drawing/2012/chart">
                  <c:ext xmlns:c16="http://schemas.microsoft.com/office/drawing/2014/chart" uri="{C3380CC4-5D6E-409C-BE32-E72D297353CC}">
                    <c16:uniqueId val="{00000005-9767-4057-B05D-B83F8557014E}"/>
                  </c:ext>
                </c:extLst>
              </c15:ser>
            </c15:filteredScatterSeries>
          </c:ext>
        </c:extLst>
      </c:scatterChart>
      <c:valAx>
        <c:axId val="147199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Speicherkapazität (L)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 #,##0_-;\-* #,##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6286816"/>
        <c:crosses val="autoZero"/>
        <c:crossBetween val="midCat"/>
      </c:valAx>
      <c:valAx>
        <c:axId val="1628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Spez. Investitionskosten</a:t>
                </a:r>
                <a:r>
                  <a:rPr lang="de-DE" baseline="0"/>
                  <a:t> [€/L]</a:t>
                </a:r>
                <a:endParaRPr lang="de-D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4719936"/>
        <c:crosses val="autoZero"/>
        <c:crossBetween val="midCat"/>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1.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32.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171450</xdr:rowOff>
    </xdr:from>
    <xdr:to>
      <xdr:col>8</xdr:col>
      <xdr:colOff>45548</xdr:colOff>
      <xdr:row>42</xdr:row>
      <xdr:rowOff>19050</xdr:rowOff>
    </xdr:to>
    <xdr:pic>
      <xdr:nvPicPr>
        <xdr:cNvPr id="3" name="Grafik 2">
          <a:extLst>
            <a:ext uri="{FF2B5EF4-FFF2-40B4-BE49-F238E27FC236}">
              <a16:creationId xmlns:a16="http://schemas.microsoft.com/office/drawing/2014/main" id="{7C732D6B-35D0-B4C2-F7EB-46B7F8267A99}"/>
            </a:ext>
          </a:extLst>
        </xdr:cNvPr>
        <xdr:cNvPicPr>
          <a:picLocks noChangeAspect="1"/>
        </xdr:cNvPicPr>
      </xdr:nvPicPr>
      <xdr:blipFill>
        <a:blip xmlns:r="http://schemas.openxmlformats.org/officeDocument/2006/relationships" r:embed="rId1"/>
        <a:stretch>
          <a:fillRect/>
        </a:stretch>
      </xdr:blipFill>
      <xdr:spPr>
        <a:xfrm>
          <a:off x="762000" y="5200650"/>
          <a:ext cx="5385898" cy="2133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6350</xdr:colOff>
      <xdr:row>28</xdr:row>
      <xdr:rowOff>0</xdr:rowOff>
    </xdr:from>
    <xdr:to>
      <xdr:col>18</xdr:col>
      <xdr:colOff>179875</xdr:colOff>
      <xdr:row>42</xdr:row>
      <xdr:rowOff>171450</xdr:rowOff>
    </xdr:to>
    <xdr:graphicFrame macro="">
      <xdr:nvGraphicFramePr>
        <xdr:cNvPr id="3" name="Diagramm 1">
          <a:extLst>
            <a:ext uri="{FF2B5EF4-FFF2-40B4-BE49-F238E27FC236}">
              <a16:creationId xmlns:a16="http://schemas.microsoft.com/office/drawing/2014/main" id="{4D78A125-DF7F-44C2-A190-B0D5F7D3B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38515</xdr:colOff>
      <xdr:row>26</xdr:row>
      <xdr:rowOff>159716</xdr:rowOff>
    </xdr:from>
    <xdr:to>
      <xdr:col>18</xdr:col>
      <xdr:colOff>161240</xdr:colOff>
      <xdr:row>42</xdr:row>
      <xdr:rowOff>29541</xdr:rowOff>
    </xdr:to>
    <xdr:graphicFrame macro="">
      <xdr:nvGraphicFramePr>
        <xdr:cNvPr id="3" name="Diagramm 1">
          <a:extLst>
            <a:ext uri="{FF2B5EF4-FFF2-40B4-BE49-F238E27FC236}">
              <a16:creationId xmlns:a16="http://schemas.microsoft.com/office/drawing/2014/main" id="{857F6BD5-BB93-4DAA-8973-CB501F763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34925</xdr:colOff>
      <xdr:row>26</xdr:row>
      <xdr:rowOff>19050</xdr:rowOff>
    </xdr:from>
    <xdr:to>
      <xdr:col>18</xdr:col>
      <xdr:colOff>116375</xdr:colOff>
      <xdr:row>38</xdr:row>
      <xdr:rowOff>19795</xdr:rowOff>
    </xdr:to>
    <xdr:graphicFrame macro="">
      <xdr:nvGraphicFramePr>
        <xdr:cNvPr id="2" name="Diagramm 1">
          <a:extLst>
            <a:ext uri="{FF2B5EF4-FFF2-40B4-BE49-F238E27FC236}">
              <a16:creationId xmlns:a16="http://schemas.microsoft.com/office/drawing/2014/main" id="{CFDF5525-8007-48B8-8B09-69ADAEB72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17268</xdr:colOff>
      <xdr:row>23</xdr:row>
      <xdr:rowOff>68378</xdr:rowOff>
    </xdr:from>
    <xdr:to>
      <xdr:col>18</xdr:col>
      <xdr:colOff>104991</xdr:colOff>
      <xdr:row>36</xdr:row>
      <xdr:rowOff>65202</xdr:rowOff>
    </xdr:to>
    <xdr:graphicFrame macro="">
      <xdr:nvGraphicFramePr>
        <xdr:cNvPr id="2" name="Diagramm 1">
          <a:extLst>
            <a:ext uri="{FF2B5EF4-FFF2-40B4-BE49-F238E27FC236}">
              <a16:creationId xmlns:a16="http://schemas.microsoft.com/office/drawing/2014/main" id="{34EB476C-5813-4356-B0C6-89AB46569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701675</xdr:colOff>
      <xdr:row>27</xdr:row>
      <xdr:rowOff>53975</xdr:rowOff>
    </xdr:from>
    <xdr:to>
      <xdr:col>18</xdr:col>
      <xdr:colOff>21125</xdr:colOff>
      <xdr:row>39</xdr:row>
      <xdr:rowOff>161925</xdr:rowOff>
    </xdr:to>
    <xdr:graphicFrame macro="">
      <xdr:nvGraphicFramePr>
        <xdr:cNvPr id="2" name="Diagramm 1">
          <a:extLst>
            <a:ext uri="{FF2B5EF4-FFF2-40B4-BE49-F238E27FC236}">
              <a16:creationId xmlns:a16="http://schemas.microsoft.com/office/drawing/2014/main" id="{78E87AFD-3B4A-4E13-A3A3-CD4147707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15875</xdr:colOff>
      <xdr:row>25</xdr:row>
      <xdr:rowOff>47625</xdr:rowOff>
    </xdr:from>
    <xdr:to>
      <xdr:col>17</xdr:col>
      <xdr:colOff>106850</xdr:colOff>
      <xdr:row>40</xdr:row>
      <xdr:rowOff>67420</xdr:rowOff>
    </xdr:to>
    <xdr:graphicFrame macro="">
      <xdr:nvGraphicFramePr>
        <xdr:cNvPr id="2" name="Diagramm 1">
          <a:extLst>
            <a:ext uri="{FF2B5EF4-FFF2-40B4-BE49-F238E27FC236}">
              <a16:creationId xmlns:a16="http://schemas.microsoft.com/office/drawing/2014/main" id="{1EBC7614-6468-4220-8968-18D5D41A0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15875</xdr:colOff>
      <xdr:row>25</xdr:row>
      <xdr:rowOff>53975</xdr:rowOff>
    </xdr:from>
    <xdr:to>
      <xdr:col>17</xdr:col>
      <xdr:colOff>106850</xdr:colOff>
      <xdr:row>40</xdr:row>
      <xdr:rowOff>80120</xdr:rowOff>
    </xdr:to>
    <xdr:graphicFrame macro="">
      <xdr:nvGraphicFramePr>
        <xdr:cNvPr id="2" name="Diagramm 1">
          <a:extLst>
            <a:ext uri="{FF2B5EF4-FFF2-40B4-BE49-F238E27FC236}">
              <a16:creationId xmlns:a16="http://schemas.microsoft.com/office/drawing/2014/main" id="{5837BD26-DE46-47D7-A554-299C1438A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12</xdr:col>
      <xdr:colOff>6350</xdr:colOff>
      <xdr:row>28</xdr:row>
      <xdr:rowOff>79001</xdr:rowOff>
    </xdr:from>
    <xdr:to>
      <xdr:col>18</xdr:col>
      <xdr:colOff>129822</xdr:colOff>
      <xdr:row>42</xdr:row>
      <xdr:rowOff>199276</xdr:rowOff>
    </xdr:to>
    <xdr:graphicFrame macro="">
      <xdr:nvGraphicFramePr>
        <xdr:cNvPr id="2" name="Diagramm 1">
          <a:extLst>
            <a:ext uri="{FF2B5EF4-FFF2-40B4-BE49-F238E27FC236}">
              <a16:creationId xmlns:a16="http://schemas.microsoft.com/office/drawing/2014/main" id="{72A388E2-B004-41EE-9983-5C358AE6A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16062</xdr:colOff>
      <xdr:row>32</xdr:row>
      <xdr:rowOff>11020</xdr:rowOff>
    </xdr:from>
    <xdr:to>
      <xdr:col>23</xdr:col>
      <xdr:colOff>282762</xdr:colOff>
      <xdr:row>47</xdr:row>
      <xdr:rowOff>87593</xdr:rowOff>
    </xdr:to>
    <xdr:graphicFrame macro="">
      <xdr:nvGraphicFramePr>
        <xdr:cNvPr id="2" name="Diagramm 1">
          <a:extLst>
            <a:ext uri="{FF2B5EF4-FFF2-40B4-BE49-F238E27FC236}">
              <a16:creationId xmlns:a16="http://schemas.microsoft.com/office/drawing/2014/main" id="{4D06882B-2CB5-40F4-B24C-D6691233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32560</xdr:colOff>
      <xdr:row>29</xdr:row>
      <xdr:rowOff>79075</xdr:rowOff>
    </xdr:from>
    <xdr:to>
      <xdr:col>22</xdr:col>
      <xdr:colOff>129885</xdr:colOff>
      <xdr:row>44</xdr:row>
      <xdr:rowOff>153200</xdr:rowOff>
    </xdr:to>
    <xdr:graphicFrame macro="">
      <xdr:nvGraphicFramePr>
        <xdr:cNvPr id="2" name="Diagramm 1">
          <a:extLst>
            <a:ext uri="{FF2B5EF4-FFF2-40B4-BE49-F238E27FC236}">
              <a16:creationId xmlns:a16="http://schemas.microsoft.com/office/drawing/2014/main" id="{0CD28DAB-60D8-47EC-93F0-809D39CF2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13580</xdr:colOff>
      <xdr:row>42</xdr:row>
      <xdr:rowOff>31357</xdr:rowOff>
    </xdr:from>
    <xdr:to>
      <xdr:col>22</xdr:col>
      <xdr:colOff>119419</xdr:colOff>
      <xdr:row>58</xdr:row>
      <xdr:rowOff>33709</xdr:rowOff>
    </xdr:to>
    <xdr:graphicFrame macro="">
      <xdr:nvGraphicFramePr>
        <xdr:cNvPr id="2" name="Diagramm 1">
          <a:extLst>
            <a:ext uri="{FF2B5EF4-FFF2-40B4-BE49-F238E27FC236}">
              <a16:creationId xmlns:a16="http://schemas.microsoft.com/office/drawing/2014/main" id="{ADBC841E-A9BE-493B-BB6D-521B0214C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16</xdr:col>
      <xdr:colOff>11528</xdr:colOff>
      <xdr:row>43</xdr:row>
      <xdr:rowOff>22341</xdr:rowOff>
    </xdr:from>
    <xdr:to>
      <xdr:col>22</xdr:col>
      <xdr:colOff>123717</xdr:colOff>
      <xdr:row>60</xdr:row>
      <xdr:rowOff>79616</xdr:rowOff>
    </xdr:to>
    <xdr:graphicFrame macro="">
      <xdr:nvGraphicFramePr>
        <xdr:cNvPr id="2" name="Diagramm 1">
          <a:extLst>
            <a:ext uri="{FF2B5EF4-FFF2-40B4-BE49-F238E27FC236}">
              <a16:creationId xmlns:a16="http://schemas.microsoft.com/office/drawing/2014/main" id="{6A01B1DF-8FC9-41DA-9D37-D5A1B1B54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16</xdr:col>
      <xdr:colOff>12913</xdr:colOff>
      <xdr:row>26</xdr:row>
      <xdr:rowOff>13644</xdr:rowOff>
    </xdr:from>
    <xdr:to>
      <xdr:col>22</xdr:col>
      <xdr:colOff>51501</xdr:colOff>
      <xdr:row>40</xdr:row>
      <xdr:rowOff>22326</xdr:rowOff>
    </xdr:to>
    <xdr:graphicFrame macro="">
      <xdr:nvGraphicFramePr>
        <xdr:cNvPr id="2" name="Diagramm 1">
          <a:extLst>
            <a:ext uri="{FF2B5EF4-FFF2-40B4-BE49-F238E27FC236}">
              <a16:creationId xmlns:a16="http://schemas.microsoft.com/office/drawing/2014/main" id="{EEA1E811-2CA7-4FA7-BAA9-D18C70BDB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18</xdr:col>
      <xdr:colOff>37540</xdr:colOff>
      <xdr:row>25</xdr:row>
      <xdr:rowOff>28762</xdr:rowOff>
    </xdr:from>
    <xdr:to>
      <xdr:col>24</xdr:col>
      <xdr:colOff>122165</xdr:colOff>
      <xdr:row>42</xdr:row>
      <xdr:rowOff>77132</xdr:rowOff>
    </xdr:to>
    <xdr:graphicFrame macro="">
      <xdr:nvGraphicFramePr>
        <xdr:cNvPr id="6" name="Diagramm 5">
          <a:extLst>
            <a:ext uri="{FF2B5EF4-FFF2-40B4-BE49-F238E27FC236}">
              <a16:creationId xmlns:a16="http://schemas.microsoft.com/office/drawing/2014/main" id="{CE05E325-9743-49A8-919F-3FDA94209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67420</xdr:colOff>
      <xdr:row>43</xdr:row>
      <xdr:rowOff>35297</xdr:rowOff>
    </xdr:from>
    <xdr:to>
      <xdr:col>24</xdr:col>
      <xdr:colOff>144388</xdr:colOff>
      <xdr:row>60</xdr:row>
      <xdr:rowOff>82172</xdr:rowOff>
    </xdr:to>
    <xdr:graphicFrame macro="">
      <xdr:nvGraphicFramePr>
        <xdr:cNvPr id="7" name="Diagramm 6">
          <a:extLst>
            <a:ext uri="{FF2B5EF4-FFF2-40B4-BE49-F238E27FC236}">
              <a16:creationId xmlns:a16="http://schemas.microsoft.com/office/drawing/2014/main" id="{F3DC4D60-12F4-4EF4-A9B7-958852475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18</xdr:col>
      <xdr:colOff>22145</xdr:colOff>
      <xdr:row>26</xdr:row>
      <xdr:rowOff>25186</xdr:rowOff>
    </xdr:from>
    <xdr:to>
      <xdr:col>24</xdr:col>
      <xdr:colOff>106770</xdr:colOff>
      <xdr:row>43</xdr:row>
      <xdr:rowOff>82307</xdr:rowOff>
    </xdr:to>
    <xdr:graphicFrame macro="">
      <xdr:nvGraphicFramePr>
        <xdr:cNvPr id="2" name="Diagramm 1">
          <a:extLst>
            <a:ext uri="{FF2B5EF4-FFF2-40B4-BE49-F238E27FC236}">
              <a16:creationId xmlns:a16="http://schemas.microsoft.com/office/drawing/2014/main" id="{9CAF0EAD-AA64-4414-9968-E7FBA1BA1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43997</xdr:colOff>
      <xdr:row>43</xdr:row>
      <xdr:rowOff>148317</xdr:rowOff>
    </xdr:from>
    <xdr:to>
      <xdr:col>24</xdr:col>
      <xdr:colOff>122272</xdr:colOff>
      <xdr:row>60</xdr:row>
      <xdr:rowOff>40659</xdr:rowOff>
    </xdr:to>
    <xdr:graphicFrame macro="">
      <xdr:nvGraphicFramePr>
        <xdr:cNvPr id="3" name="Diagramm 2">
          <a:extLst>
            <a:ext uri="{FF2B5EF4-FFF2-40B4-BE49-F238E27FC236}">
              <a16:creationId xmlns:a16="http://schemas.microsoft.com/office/drawing/2014/main" id="{4FBB7735-33BA-48D0-AB7C-F9ACF5D39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15</xdr:col>
      <xdr:colOff>19050</xdr:colOff>
      <xdr:row>26</xdr:row>
      <xdr:rowOff>38100</xdr:rowOff>
    </xdr:from>
    <xdr:to>
      <xdr:col>21</xdr:col>
      <xdr:colOff>103675</xdr:colOff>
      <xdr:row>43</xdr:row>
      <xdr:rowOff>95995</xdr:rowOff>
    </xdr:to>
    <xdr:graphicFrame macro="">
      <xdr:nvGraphicFramePr>
        <xdr:cNvPr id="2" name="Diagramm 1">
          <a:extLst>
            <a:ext uri="{FF2B5EF4-FFF2-40B4-BE49-F238E27FC236}">
              <a16:creationId xmlns:a16="http://schemas.microsoft.com/office/drawing/2014/main" id="{82816CBC-DE37-4619-9D84-97BF324A9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19236</xdr:colOff>
      <xdr:row>43</xdr:row>
      <xdr:rowOff>121024</xdr:rowOff>
    </xdr:from>
    <xdr:to>
      <xdr:col>21</xdr:col>
      <xdr:colOff>94336</xdr:colOff>
      <xdr:row>60</xdr:row>
      <xdr:rowOff>182093</xdr:rowOff>
    </xdr:to>
    <xdr:graphicFrame macro="">
      <xdr:nvGraphicFramePr>
        <xdr:cNvPr id="4" name="Diagramm 3">
          <a:extLst>
            <a:ext uri="{FF2B5EF4-FFF2-40B4-BE49-F238E27FC236}">
              <a16:creationId xmlns:a16="http://schemas.microsoft.com/office/drawing/2014/main" id="{E4D4C8A4-C096-46B5-80BB-B827D04D1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11</xdr:col>
      <xdr:colOff>7354</xdr:colOff>
      <xdr:row>28</xdr:row>
      <xdr:rowOff>19640</xdr:rowOff>
    </xdr:from>
    <xdr:to>
      <xdr:col>17</xdr:col>
      <xdr:colOff>142967</xdr:colOff>
      <xdr:row>43</xdr:row>
      <xdr:rowOff>216028</xdr:rowOff>
    </xdr:to>
    <xdr:graphicFrame macro="">
      <xdr:nvGraphicFramePr>
        <xdr:cNvPr id="2" name="Diagramm 1">
          <a:extLst>
            <a:ext uri="{FF2B5EF4-FFF2-40B4-BE49-F238E27FC236}">
              <a16:creationId xmlns:a16="http://schemas.microsoft.com/office/drawing/2014/main" id="{B19D00FC-3515-4331-B38F-AC3B7C2CE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70854</xdr:colOff>
      <xdr:row>31</xdr:row>
      <xdr:rowOff>49274</xdr:rowOff>
    </xdr:from>
    <xdr:to>
      <xdr:col>17</xdr:col>
      <xdr:colOff>200117</xdr:colOff>
      <xdr:row>46</xdr:row>
      <xdr:rowOff>61512</xdr:rowOff>
    </xdr:to>
    <xdr:graphicFrame macro="">
      <xdr:nvGraphicFramePr>
        <xdr:cNvPr id="2" name="Diagramm 1">
          <a:extLst>
            <a:ext uri="{FF2B5EF4-FFF2-40B4-BE49-F238E27FC236}">
              <a16:creationId xmlns:a16="http://schemas.microsoft.com/office/drawing/2014/main" id="{1D452200-A875-42E4-AE03-7F744EA3D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9</xdr:col>
      <xdr:colOff>64504</xdr:colOff>
      <xdr:row>29</xdr:row>
      <xdr:rowOff>16465</xdr:rowOff>
    </xdr:from>
    <xdr:to>
      <xdr:col>15</xdr:col>
      <xdr:colOff>200117</xdr:colOff>
      <xdr:row>45</xdr:row>
      <xdr:rowOff>19178</xdr:rowOff>
    </xdr:to>
    <xdr:graphicFrame macro="">
      <xdr:nvGraphicFramePr>
        <xdr:cNvPr id="2" name="Diagramm 1">
          <a:extLst>
            <a:ext uri="{FF2B5EF4-FFF2-40B4-BE49-F238E27FC236}">
              <a16:creationId xmlns:a16="http://schemas.microsoft.com/office/drawing/2014/main" id="{84A84A1B-E392-4054-97FE-5AA71BDE6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9</xdr:col>
      <xdr:colOff>35929</xdr:colOff>
      <xdr:row>23</xdr:row>
      <xdr:rowOff>35515</xdr:rowOff>
    </xdr:from>
    <xdr:to>
      <xdr:col>15</xdr:col>
      <xdr:colOff>171542</xdr:colOff>
      <xdr:row>40</xdr:row>
      <xdr:rowOff>66803</xdr:rowOff>
    </xdr:to>
    <xdr:graphicFrame macro="">
      <xdr:nvGraphicFramePr>
        <xdr:cNvPr id="2" name="Diagramm 1">
          <a:extLst>
            <a:ext uri="{FF2B5EF4-FFF2-40B4-BE49-F238E27FC236}">
              <a16:creationId xmlns:a16="http://schemas.microsoft.com/office/drawing/2014/main" id="{4FA502A6-4BCE-4D9C-A7B0-BB5382CAF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8</xdr:col>
      <xdr:colOff>750304</xdr:colOff>
      <xdr:row>32</xdr:row>
      <xdr:rowOff>124415</xdr:rowOff>
    </xdr:from>
    <xdr:to>
      <xdr:col>15</xdr:col>
      <xdr:colOff>123917</xdr:colOff>
      <xdr:row>48</xdr:row>
      <xdr:rowOff>152528</xdr:rowOff>
    </xdr:to>
    <xdr:graphicFrame macro="">
      <xdr:nvGraphicFramePr>
        <xdr:cNvPr id="2" name="Diagramm 1">
          <a:extLst>
            <a:ext uri="{FF2B5EF4-FFF2-40B4-BE49-F238E27FC236}">
              <a16:creationId xmlns:a16="http://schemas.microsoft.com/office/drawing/2014/main" id="{C7AF6F1B-C336-4695-9B22-F5CD04D21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9</xdr:col>
      <xdr:colOff>25400</xdr:colOff>
      <xdr:row>23</xdr:row>
      <xdr:rowOff>19050</xdr:rowOff>
    </xdr:from>
    <xdr:to>
      <xdr:col>15</xdr:col>
      <xdr:colOff>113200</xdr:colOff>
      <xdr:row>38</xdr:row>
      <xdr:rowOff>38845</xdr:rowOff>
    </xdr:to>
    <xdr:graphicFrame macro="">
      <xdr:nvGraphicFramePr>
        <xdr:cNvPr id="2" name="Diagramm 1">
          <a:extLst>
            <a:ext uri="{FF2B5EF4-FFF2-40B4-BE49-F238E27FC236}">
              <a16:creationId xmlns:a16="http://schemas.microsoft.com/office/drawing/2014/main" id="{D63EC2CE-023F-440C-9E2A-A790693C2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9</xdr:col>
      <xdr:colOff>76200</xdr:colOff>
      <xdr:row>27</xdr:row>
      <xdr:rowOff>9525</xdr:rowOff>
    </xdr:from>
    <xdr:to>
      <xdr:col>15</xdr:col>
      <xdr:colOff>160825</xdr:colOff>
      <xdr:row>42</xdr:row>
      <xdr:rowOff>115045</xdr:rowOff>
    </xdr:to>
    <xdr:graphicFrame macro="">
      <xdr:nvGraphicFramePr>
        <xdr:cNvPr id="2" name="Diagramm 1">
          <a:extLst>
            <a:ext uri="{FF2B5EF4-FFF2-40B4-BE49-F238E27FC236}">
              <a16:creationId xmlns:a16="http://schemas.microsoft.com/office/drawing/2014/main" id="{F7FA9534-7ADB-4922-A944-434F4E49D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12</xdr:col>
      <xdr:colOff>758825</xdr:colOff>
      <xdr:row>30</xdr:row>
      <xdr:rowOff>11112</xdr:rowOff>
    </xdr:from>
    <xdr:to>
      <xdr:col>18</xdr:col>
      <xdr:colOff>758825</xdr:colOff>
      <xdr:row>46</xdr:row>
      <xdr:rowOff>0</xdr:rowOff>
    </xdr:to>
    <xdr:graphicFrame macro="">
      <xdr:nvGraphicFramePr>
        <xdr:cNvPr id="2" name="Diagramm 1">
          <a:extLst>
            <a:ext uri="{FF2B5EF4-FFF2-40B4-BE49-F238E27FC236}">
              <a16:creationId xmlns:a16="http://schemas.microsoft.com/office/drawing/2014/main" id="{D9E3FC12-E97A-4E16-9EC0-E3709E30A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13</xdr:col>
      <xdr:colOff>22225</xdr:colOff>
      <xdr:row>29</xdr:row>
      <xdr:rowOff>11112</xdr:rowOff>
    </xdr:from>
    <xdr:to>
      <xdr:col>19</xdr:col>
      <xdr:colOff>22225</xdr:colOff>
      <xdr:row>45</xdr:row>
      <xdr:rowOff>0</xdr:rowOff>
    </xdr:to>
    <xdr:graphicFrame macro="">
      <xdr:nvGraphicFramePr>
        <xdr:cNvPr id="2" name="Diagramm 1">
          <a:extLst>
            <a:ext uri="{FF2B5EF4-FFF2-40B4-BE49-F238E27FC236}">
              <a16:creationId xmlns:a16="http://schemas.microsoft.com/office/drawing/2014/main" id="{9C35AD0E-C982-415D-AE4B-FBDD945C3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12</xdr:col>
      <xdr:colOff>28575</xdr:colOff>
      <xdr:row>30</xdr:row>
      <xdr:rowOff>25400</xdr:rowOff>
    </xdr:from>
    <xdr:to>
      <xdr:col>18</xdr:col>
      <xdr:colOff>116375</xdr:colOff>
      <xdr:row>45</xdr:row>
      <xdr:rowOff>38845</xdr:rowOff>
    </xdr:to>
    <xdr:graphicFrame macro="">
      <xdr:nvGraphicFramePr>
        <xdr:cNvPr id="2" name="Diagramm 1">
          <a:extLst>
            <a:ext uri="{FF2B5EF4-FFF2-40B4-BE49-F238E27FC236}">
              <a16:creationId xmlns:a16="http://schemas.microsoft.com/office/drawing/2014/main" id="{41D34776-9954-433B-9F89-AA8F87E51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9</xdr:col>
      <xdr:colOff>28575</xdr:colOff>
      <xdr:row>33</xdr:row>
      <xdr:rowOff>196850</xdr:rowOff>
    </xdr:from>
    <xdr:to>
      <xdr:col>15</xdr:col>
      <xdr:colOff>116375</xdr:colOff>
      <xdr:row>49</xdr:row>
      <xdr:rowOff>29320</xdr:rowOff>
    </xdr:to>
    <xdr:graphicFrame macro="">
      <xdr:nvGraphicFramePr>
        <xdr:cNvPr id="2" name="Diagramm 1">
          <a:extLst>
            <a:ext uri="{FF2B5EF4-FFF2-40B4-BE49-F238E27FC236}">
              <a16:creationId xmlns:a16="http://schemas.microsoft.com/office/drawing/2014/main" id="{3F885A4F-890F-4D59-9D03-F6575C4F5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16</xdr:col>
      <xdr:colOff>47624</xdr:colOff>
      <xdr:row>18</xdr:row>
      <xdr:rowOff>106361</xdr:rowOff>
    </xdr:from>
    <xdr:to>
      <xdr:col>24</xdr:col>
      <xdr:colOff>466725</xdr:colOff>
      <xdr:row>40</xdr:row>
      <xdr:rowOff>66675</xdr:rowOff>
    </xdr:to>
    <xdr:graphicFrame macro="">
      <xdr:nvGraphicFramePr>
        <xdr:cNvPr id="2" name="Diagramm 1">
          <a:extLst>
            <a:ext uri="{FF2B5EF4-FFF2-40B4-BE49-F238E27FC236}">
              <a16:creationId xmlns:a16="http://schemas.microsoft.com/office/drawing/2014/main" id="{CD315F1B-DC6C-46E6-AAE4-5E55ABB0C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15</xdr:col>
      <xdr:colOff>0</xdr:colOff>
      <xdr:row>23</xdr:row>
      <xdr:rowOff>0</xdr:rowOff>
    </xdr:from>
    <xdr:to>
      <xdr:col>26</xdr:col>
      <xdr:colOff>736907</xdr:colOff>
      <xdr:row>54</xdr:row>
      <xdr:rowOff>16736</xdr:rowOff>
    </xdr:to>
    <xdr:graphicFrame macro="">
      <xdr:nvGraphicFramePr>
        <xdr:cNvPr id="2" name="Diagramm 1">
          <a:extLst>
            <a:ext uri="{FF2B5EF4-FFF2-40B4-BE49-F238E27FC236}">
              <a16:creationId xmlns:a16="http://schemas.microsoft.com/office/drawing/2014/main" id="{22152E9D-CE60-4EFB-8FF0-5EF8D3A8E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15</xdr:col>
      <xdr:colOff>7142</xdr:colOff>
      <xdr:row>35</xdr:row>
      <xdr:rowOff>76993</xdr:rowOff>
    </xdr:from>
    <xdr:to>
      <xdr:col>21</xdr:col>
      <xdr:colOff>49211</xdr:colOff>
      <xdr:row>51</xdr:row>
      <xdr:rowOff>164306</xdr:rowOff>
    </xdr:to>
    <xdr:graphicFrame macro="">
      <xdr:nvGraphicFramePr>
        <xdr:cNvPr id="2" name="Diagramm 1">
          <a:extLst>
            <a:ext uri="{FF2B5EF4-FFF2-40B4-BE49-F238E27FC236}">
              <a16:creationId xmlns:a16="http://schemas.microsoft.com/office/drawing/2014/main" id="{17A28722-7261-457F-8C19-B2A872935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9525</xdr:colOff>
      <xdr:row>52</xdr:row>
      <xdr:rowOff>19050</xdr:rowOff>
    </xdr:from>
    <xdr:to>
      <xdr:col>22</xdr:col>
      <xdr:colOff>301625</xdr:colOff>
      <xdr:row>71</xdr:row>
      <xdr:rowOff>114300</xdr:rowOff>
    </xdr:to>
    <xdr:graphicFrame macro="">
      <xdr:nvGraphicFramePr>
        <xdr:cNvPr id="3" name="Diagramm 2">
          <a:extLst>
            <a:ext uri="{FF2B5EF4-FFF2-40B4-BE49-F238E27FC236}">
              <a16:creationId xmlns:a16="http://schemas.microsoft.com/office/drawing/2014/main" id="{8E8D12F3-FEF6-461A-97BB-5C1BC51E5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14</xdr:col>
      <xdr:colOff>34925</xdr:colOff>
      <xdr:row>36</xdr:row>
      <xdr:rowOff>15875</xdr:rowOff>
    </xdr:from>
    <xdr:to>
      <xdr:col>20</xdr:col>
      <xdr:colOff>75500</xdr:colOff>
      <xdr:row>52</xdr:row>
      <xdr:rowOff>92169</xdr:rowOff>
    </xdr:to>
    <xdr:graphicFrame macro="">
      <xdr:nvGraphicFramePr>
        <xdr:cNvPr id="2" name="Diagramm 1">
          <a:extLst>
            <a:ext uri="{FF2B5EF4-FFF2-40B4-BE49-F238E27FC236}">
              <a16:creationId xmlns:a16="http://schemas.microsoft.com/office/drawing/2014/main" id="{B87BA65C-453C-49F8-B5BE-741EEE66F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8032</xdr:colOff>
      <xdr:row>52</xdr:row>
      <xdr:rowOff>189005</xdr:rowOff>
    </xdr:from>
    <xdr:to>
      <xdr:col>21</xdr:col>
      <xdr:colOff>301813</xdr:colOff>
      <xdr:row>73</xdr:row>
      <xdr:rowOff>130548</xdr:rowOff>
    </xdr:to>
    <xdr:graphicFrame macro="">
      <xdr:nvGraphicFramePr>
        <xdr:cNvPr id="3" name="Diagramm 2">
          <a:extLst>
            <a:ext uri="{FF2B5EF4-FFF2-40B4-BE49-F238E27FC236}">
              <a16:creationId xmlns:a16="http://schemas.microsoft.com/office/drawing/2014/main" id="{F53A2D38-88E7-4972-A9EE-737CFF450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19</xdr:col>
      <xdr:colOff>29367</xdr:colOff>
      <xdr:row>37</xdr:row>
      <xdr:rowOff>170656</xdr:rowOff>
    </xdr:from>
    <xdr:to>
      <xdr:col>25</xdr:col>
      <xdr:colOff>68261</xdr:colOff>
      <xdr:row>54</xdr:row>
      <xdr:rowOff>64294</xdr:rowOff>
    </xdr:to>
    <xdr:graphicFrame macro="">
      <xdr:nvGraphicFramePr>
        <xdr:cNvPr id="2" name="Diagramm 1">
          <a:extLst>
            <a:ext uri="{FF2B5EF4-FFF2-40B4-BE49-F238E27FC236}">
              <a16:creationId xmlns:a16="http://schemas.microsoft.com/office/drawing/2014/main" id="{AB06E8AC-2590-45E9-AE3C-7256278B4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12</xdr:col>
      <xdr:colOff>47625</xdr:colOff>
      <xdr:row>28</xdr:row>
      <xdr:rowOff>47625</xdr:rowOff>
    </xdr:from>
    <xdr:to>
      <xdr:col>18</xdr:col>
      <xdr:colOff>132250</xdr:colOff>
      <xdr:row>43</xdr:row>
      <xdr:rowOff>73770</xdr:rowOff>
    </xdr:to>
    <xdr:graphicFrame macro="">
      <xdr:nvGraphicFramePr>
        <xdr:cNvPr id="2" name="Diagramm 1">
          <a:extLst>
            <a:ext uri="{FF2B5EF4-FFF2-40B4-BE49-F238E27FC236}">
              <a16:creationId xmlns:a16="http://schemas.microsoft.com/office/drawing/2014/main" id="{1EC1ABD3-DEC4-4AEE-9299-00FB8772A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9</xdr:col>
      <xdr:colOff>10077</xdr:colOff>
      <xdr:row>29</xdr:row>
      <xdr:rowOff>58530</xdr:rowOff>
    </xdr:from>
    <xdr:to>
      <xdr:col>15</xdr:col>
      <xdr:colOff>103123</xdr:colOff>
      <xdr:row>45</xdr:row>
      <xdr:rowOff>43400</xdr:rowOff>
    </xdr:to>
    <xdr:graphicFrame macro="">
      <xdr:nvGraphicFramePr>
        <xdr:cNvPr id="2" name="Diagramm 1">
          <a:extLst>
            <a:ext uri="{FF2B5EF4-FFF2-40B4-BE49-F238E27FC236}">
              <a16:creationId xmlns:a16="http://schemas.microsoft.com/office/drawing/2014/main" id="{16F35F53-47E6-4B49-8B46-38C60BF53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9</xdr:col>
      <xdr:colOff>28575</xdr:colOff>
      <xdr:row>27</xdr:row>
      <xdr:rowOff>6350</xdr:rowOff>
    </xdr:from>
    <xdr:to>
      <xdr:col>15</xdr:col>
      <xdr:colOff>116375</xdr:colOff>
      <xdr:row>41</xdr:row>
      <xdr:rowOff>181720</xdr:rowOff>
    </xdr:to>
    <xdr:graphicFrame macro="">
      <xdr:nvGraphicFramePr>
        <xdr:cNvPr id="2" name="Diagramm 1">
          <a:extLst>
            <a:ext uri="{FF2B5EF4-FFF2-40B4-BE49-F238E27FC236}">
              <a16:creationId xmlns:a16="http://schemas.microsoft.com/office/drawing/2014/main" id="{0BE80E13-835B-44F1-98E3-B18CE752B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12</xdr:col>
      <xdr:colOff>202649</xdr:colOff>
      <xdr:row>18</xdr:row>
      <xdr:rowOff>99253</xdr:rowOff>
    </xdr:from>
    <xdr:to>
      <xdr:col>18</xdr:col>
      <xdr:colOff>293624</xdr:colOff>
      <xdr:row>34</xdr:row>
      <xdr:rowOff>99031</xdr:rowOff>
    </xdr:to>
    <xdr:graphicFrame macro="">
      <xdr:nvGraphicFramePr>
        <xdr:cNvPr id="2" name="Diagramm 1">
          <a:extLst>
            <a:ext uri="{FF2B5EF4-FFF2-40B4-BE49-F238E27FC236}">
              <a16:creationId xmlns:a16="http://schemas.microsoft.com/office/drawing/2014/main" id="{FCC52074-59EC-4B4E-8E44-1202FA217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12</xdr:col>
      <xdr:colOff>29956</xdr:colOff>
      <xdr:row>20</xdr:row>
      <xdr:rowOff>152814</xdr:rowOff>
    </xdr:from>
    <xdr:to>
      <xdr:col>18</xdr:col>
      <xdr:colOff>130456</xdr:colOff>
      <xdr:row>36</xdr:row>
      <xdr:rowOff>144309</xdr:rowOff>
    </xdr:to>
    <xdr:graphicFrame macro="">
      <xdr:nvGraphicFramePr>
        <xdr:cNvPr id="2" name="Diagramm 1">
          <a:extLst>
            <a:ext uri="{FF2B5EF4-FFF2-40B4-BE49-F238E27FC236}">
              <a16:creationId xmlns:a16="http://schemas.microsoft.com/office/drawing/2014/main" id="{D767983B-3FDB-4FBF-B5BD-6EDB17211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4.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93C78-B12C-4089-869B-ECB33AD76581}">
  <sheetPr codeName="Tabelle1"/>
  <dimension ref="A1:I48"/>
  <sheetViews>
    <sheetView zoomScaleNormal="100" zoomScaleSheetLayoutView="85" workbookViewId="0">
      <selection activeCell="O34" sqref="O34"/>
    </sheetView>
  </sheetViews>
  <sheetFormatPr baseColWidth="10" defaultColWidth="11.44140625" defaultRowHeight="14.4"/>
  <sheetData>
    <row r="1" spans="1:9">
      <c r="A1" s="100"/>
      <c r="B1" s="100"/>
      <c r="C1" s="100"/>
      <c r="D1" s="100"/>
      <c r="E1" s="100"/>
      <c r="F1" s="100"/>
      <c r="G1" s="100"/>
      <c r="H1" s="100"/>
      <c r="I1" s="100"/>
    </row>
    <row r="2" spans="1:9" ht="21">
      <c r="A2" s="100"/>
      <c r="B2" s="101"/>
      <c r="C2" s="100"/>
      <c r="D2" s="100"/>
      <c r="E2" s="100"/>
      <c r="F2" s="100"/>
      <c r="G2" s="100"/>
      <c r="H2" s="100"/>
      <c r="I2" s="100"/>
    </row>
    <row r="3" spans="1:9" ht="25.8">
      <c r="A3" s="100"/>
      <c r="B3" s="123" t="s">
        <v>0</v>
      </c>
      <c r="C3" s="100"/>
      <c r="D3" s="100"/>
      <c r="E3" s="100"/>
      <c r="F3" s="100"/>
      <c r="G3" s="100"/>
      <c r="H3" s="100"/>
      <c r="I3" s="100"/>
    </row>
    <row r="4" spans="1:9">
      <c r="A4" s="100"/>
      <c r="B4" s="100"/>
      <c r="C4" s="100"/>
      <c r="D4" s="100"/>
      <c r="E4" s="100"/>
      <c r="F4" s="100"/>
      <c r="G4" s="100"/>
      <c r="H4" s="100"/>
      <c r="I4" s="100"/>
    </row>
    <row r="5" spans="1:9">
      <c r="A5" s="100"/>
      <c r="B5" s="100"/>
      <c r="C5" s="100"/>
      <c r="D5" s="100"/>
      <c r="E5" s="100"/>
      <c r="F5" s="100"/>
      <c r="G5" s="100"/>
      <c r="H5" s="100"/>
      <c r="I5" s="100"/>
    </row>
    <row r="6" spans="1:9">
      <c r="A6" s="100"/>
      <c r="B6" s="102" t="s">
        <v>967</v>
      </c>
      <c r="C6" s="100"/>
      <c r="D6" s="100"/>
      <c r="E6" s="100"/>
      <c r="F6" s="100"/>
      <c r="G6" s="100"/>
      <c r="H6" s="100"/>
      <c r="I6" s="100"/>
    </row>
    <row r="7" spans="1:9" ht="29.4" customHeight="1">
      <c r="A7" s="100"/>
      <c r="B7" s="132" t="s">
        <v>965</v>
      </c>
      <c r="C7" s="132"/>
      <c r="D7" s="132"/>
      <c r="E7" s="132"/>
      <c r="F7" s="132"/>
      <c r="G7" s="132"/>
      <c r="H7" s="132"/>
      <c r="I7" s="100"/>
    </row>
    <row r="8" spans="1:9">
      <c r="A8" s="100"/>
      <c r="B8" s="100"/>
      <c r="C8" s="100"/>
      <c r="D8" s="100"/>
      <c r="E8" s="100"/>
      <c r="F8" s="100"/>
      <c r="G8" s="100"/>
      <c r="H8" s="100"/>
      <c r="I8" s="100"/>
    </row>
    <row r="9" spans="1:9">
      <c r="A9" s="100"/>
      <c r="B9" s="102" t="s">
        <v>1</v>
      </c>
      <c r="C9" s="100"/>
      <c r="D9" s="100"/>
      <c r="E9" s="100"/>
      <c r="F9" s="100"/>
      <c r="G9" s="100"/>
      <c r="H9" s="100"/>
      <c r="I9" s="100"/>
    </row>
    <row r="10" spans="1:9">
      <c r="A10" s="100"/>
      <c r="B10" s="103" t="s">
        <v>2</v>
      </c>
      <c r="C10" s="100"/>
      <c r="D10" s="100"/>
      <c r="E10" s="100"/>
      <c r="F10" s="100"/>
      <c r="G10" s="100"/>
      <c r="H10" s="100"/>
      <c r="I10" s="100"/>
    </row>
    <row r="11" spans="1:9">
      <c r="A11" s="100"/>
      <c r="B11" s="104" t="s">
        <v>3</v>
      </c>
      <c r="C11" s="100"/>
      <c r="D11" s="100"/>
      <c r="E11" s="100"/>
      <c r="F11" s="100"/>
      <c r="G11" s="100"/>
      <c r="H11" s="100"/>
      <c r="I11" s="100"/>
    </row>
    <row r="12" spans="1:9">
      <c r="A12" s="100"/>
      <c r="B12" s="104" t="s">
        <v>4</v>
      </c>
      <c r="C12" s="100"/>
      <c r="D12" s="100"/>
      <c r="E12" s="100"/>
      <c r="F12" s="100"/>
      <c r="G12" s="100"/>
      <c r="H12" s="100"/>
      <c r="I12" s="100"/>
    </row>
    <row r="13" spans="1:9">
      <c r="A13" s="100"/>
      <c r="B13" s="105" t="s">
        <v>5</v>
      </c>
      <c r="C13" s="100"/>
      <c r="D13" s="100"/>
      <c r="E13" s="100"/>
      <c r="F13" s="100"/>
      <c r="G13" s="100"/>
      <c r="H13" s="100"/>
      <c r="I13" s="100"/>
    </row>
    <row r="14" spans="1:9">
      <c r="A14" s="100"/>
      <c r="B14" s="106" t="s">
        <v>6</v>
      </c>
      <c r="C14" s="100"/>
      <c r="D14" s="100"/>
      <c r="E14" s="100"/>
      <c r="F14" s="100"/>
      <c r="G14" s="100"/>
      <c r="H14" s="100"/>
      <c r="I14" s="100"/>
    </row>
    <row r="15" spans="1:9">
      <c r="A15" s="100"/>
      <c r="B15" s="103" t="s">
        <v>7</v>
      </c>
      <c r="C15" s="100"/>
      <c r="D15" s="100"/>
      <c r="E15" s="100"/>
      <c r="F15" s="100"/>
      <c r="G15" s="100"/>
      <c r="H15" s="100"/>
      <c r="I15" s="100"/>
    </row>
    <row r="16" spans="1:9">
      <c r="A16" s="100"/>
      <c r="B16" s="106" t="s">
        <v>8</v>
      </c>
      <c r="C16" s="100"/>
      <c r="D16" s="100"/>
      <c r="E16" s="100"/>
      <c r="F16" s="100"/>
      <c r="G16" s="100"/>
      <c r="H16" s="100"/>
      <c r="I16" s="100"/>
    </row>
    <row r="17" spans="1:9">
      <c r="A17" s="100"/>
      <c r="B17" s="106"/>
      <c r="C17" s="100"/>
      <c r="D17" s="100"/>
      <c r="E17" s="100"/>
      <c r="F17" s="100"/>
      <c r="G17" s="100"/>
      <c r="H17" s="100"/>
      <c r="I17" s="100"/>
    </row>
    <row r="18" spans="1:9">
      <c r="A18" s="100"/>
      <c r="B18" s="102" t="s">
        <v>9</v>
      </c>
      <c r="C18" s="100"/>
      <c r="D18" s="100"/>
      <c r="E18" s="100"/>
      <c r="F18" s="100"/>
      <c r="G18" s="100"/>
      <c r="H18" s="100"/>
      <c r="I18" s="100"/>
    </row>
    <row r="19" spans="1:9">
      <c r="A19" s="100"/>
      <c r="B19" s="107" t="s">
        <v>10</v>
      </c>
      <c r="C19" s="100"/>
      <c r="D19" s="100"/>
      <c r="E19" s="100"/>
      <c r="F19" s="100"/>
      <c r="G19" s="100"/>
      <c r="H19" s="100"/>
      <c r="I19" s="100"/>
    </row>
    <row r="20" spans="1:9">
      <c r="A20" s="100"/>
      <c r="B20" s="100"/>
      <c r="C20" s="100"/>
      <c r="D20" s="100"/>
      <c r="E20" s="100"/>
      <c r="F20" s="100"/>
      <c r="G20" s="100"/>
      <c r="H20" s="100"/>
      <c r="I20" s="100"/>
    </row>
    <row r="21" spans="1:9">
      <c r="A21" s="100"/>
      <c r="B21" s="102" t="s">
        <v>968</v>
      </c>
      <c r="C21" s="100"/>
      <c r="D21" s="100"/>
      <c r="E21" s="100"/>
      <c r="F21" s="100"/>
      <c r="G21" s="100"/>
      <c r="H21" s="100"/>
      <c r="I21" s="100"/>
    </row>
    <row r="22" spans="1:9">
      <c r="A22" s="100"/>
      <c r="B22" s="130" t="s">
        <v>966</v>
      </c>
      <c r="C22" s="130"/>
      <c r="D22" s="130"/>
      <c r="E22" s="130"/>
      <c r="F22" s="130"/>
      <c r="G22" s="130"/>
      <c r="H22" s="130"/>
      <c r="I22" s="100"/>
    </row>
    <row r="23" spans="1:9">
      <c r="A23" s="100"/>
      <c r="B23" s="130"/>
      <c r="C23" s="130"/>
      <c r="D23" s="130"/>
      <c r="E23" s="130"/>
      <c r="F23" s="130"/>
      <c r="G23" s="130"/>
      <c r="H23" s="130"/>
      <c r="I23" s="100"/>
    </row>
    <row r="24" spans="1:9" ht="30" customHeight="1">
      <c r="A24" s="100"/>
      <c r="B24" s="130"/>
      <c r="C24" s="130"/>
      <c r="D24" s="130"/>
      <c r="E24" s="130"/>
      <c r="F24" s="130"/>
      <c r="G24" s="130"/>
      <c r="H24" s="130"/>
      <c r="I24" s="100"/>
    </row>
    <row r="25" spans="1:9">
      <c r="A25" s="100"/>
      <c r="B25" s="125" t="s">
        <v>11</v>
      </c>
      <c r="C25" s="100"/>
      <c r="D25" s="100"/>
      <c r="E25" s="100"/>
      <c r="F25" s="100"/>
      <c r="G25" s="100"/>
      <c r="H25" s="100"/>
      <c r="I25" s="100"/>
    </row>
    <row r="26" spans="1:9">
      <c r="A26" s="100"/>
      <c r="B26" s="125"/>
      <c r="C26" s="100"/>
      <c r="D26" s="100"/>
      <c r="E26" s="100"/>
      <c r="F26" s="100"/>
      <c r="G26" s="100"/>
      <c r="H26" s="100"/>
      <c r="I26" s="100"/>
    </row>
    <row r="27" spans="1:9">
      <c r="A27" s="100"/>
      <c r="B27" s="102" t="s">
        <v>12</v>
      </c>
      <c r="C27" s="100"/>
      <c r="D27" s="100"/>
      <c r="E27" s="100"/>
      <c r="F27" s="100"/>
      <c r="G27" s="100"/>
      <c r="H27" s="100"/>
      <c r="I27" s="100"/>
    </row>
    <row r="28" spans="1:9" ht="102.6" customHeight="1">
      <c r="A28" s="100"/>
      <c r="B28" s="131" t="s">
        <v>969</v>
      </c>
      <c r="C28" s="131"/>
      <c r="D28" s="131"/>
      <c r="E28" s="131"/>
      <c r="F28" s="131"/>
      <c r="G28" s="131"/>
      <c r="H28" s="131"/>
      <c r="I28" s="100"/>
    </row>
    <row r="29" spans="1:9">
      <c r="A29" s="100"/>
      <c r="B29" s="124"/>
      <c r="C29" s="100"/>
      <c r="D29" s="100"/>
      <c r="E29" s="100"/>
      <c r="F29" s="100"/>
      <c r="G29" s="100"/>
      <c r="H29" s="100"/>
      <c r="I29" s="100"/>
    </row>
    <row r="30" spans="1:9">
      <c r="A30" s="100"/>
      <c r="B30" s="125" t="s">
        <v>13</v>
      </c>
      <c r="C30" s="100"/>
      <c r="D30" s="100"/>
      <c r="E30" s="100"/>
      <c r="F30" s="100"/>
      <c r="G30" s="100"/>
      <c r="H30" s="100"/>
      <c r="I30" s="100"/>
    </row>
    <row r="31" spans="1:9">
      <c r="A31" s="100"/>
      <c r="B31" s="100"/>
      <c r="C31" s="100"/>
      <c r="D31" s="100"/>
      <c r="E31" s="100"/>
      <c r="F31" s="100"/>
      <c r="G31" s="100"/>
      <c r="H31" s="100"/>
      <c r="I31" s="100"/>
    </row>
    <row r="32" spans="1:9">
      <c r="A32" s="100"/>
      <c r="B32" s="100"/>
      <c r="C32" s="100"/>
      <c r="D32" s="100"/>
      <c r="E32" s="100"/>
      <c r="F32" s="100"/>
      <c r="G32" s="100"/>
      <c r="H32" s="100"/>
      <c r="I32" s="100"/>
    </row>
    <row r="33" spans="1:9">
      <c r="A33" s="100"/>
      <c r="B33" s="100"/>
      <c r="C33" s="100"/>
      <c r="D33" s="100"/>
      <c r="E33" s="100"/>
      <c r="F33" s="100"/>
      <c r="G33" s="100"/>
      <c r="H33" s="100"/>
      <c r="I33" s="100"/>
    </row>
    <row r="34" spans="1:9">
      <c r="A34" s="100"/>
      <c r="B34" s="100"/>
      <c r="C34" s="100"/>
      <c r="D34" s="100"/>
      <c r="E34" s="100"/>
      <c r="F34" s="100"/>
      <c r="G34" s="100"/>
      <c r="H34" s="100"/>
      <c r="I34" s="100"/>
    </row>
    <row r="35" spans="1:9">
      <c r="A35" s="100"/>
      <c r="B35" s="100"/>
      <c r="C35" s="100"/>
      <c r="D35" s="100"/>
      <c r="E35" s="100"/>
      <c r="F35" s="100"/>
      <c r="G35" s="100"/>
      <c r="H35" s="100"/>
      <c r="I35" s="100"/>
    </row>
    <row r="36" spans="1:9">
      <c r="A36" s="100"/>
      <c r="B36" s="100"/>
      <c r="C36" s="100"/>
      <c r="D36" s="100"/>
      <c r="E36" s="100"/>
      <c r="F36" s="100"/>
      <c r="G36" s="100"/>
      <c r="H36" s="100"/>
      <c r="I36" s="100"/>
    </row>
    <row r="37" spans="1:9">
      <c r="A37" s="100"/>
      <c r="B37" s="100"/>
      <c r="C37" s="100"/>
      <c r="D37" s="100"/>
      <c r="E37" s="100"/>
      <c r="F37" s="100"/>
      <c r="G37" s="100"/>
      <c r="H37" s="100"/>
      <c r="I37" s="100"/>
    </row>
    <row r="38" spans="1:9">
      <c r="A38" s="100"/>
      <c r="B38" s="100"/>
      <c r="C38" s="100"/>
      <c r="D38" s="100"/>
      <c r="E38" s="100"/>
      <c r="F38" s="100"/>
      <c r="G38" s="100"/>
      <c r="H38" s="100"/>
      <c r="I38" s="100"/>
    </row>
    <row r="39" spans="1:9">
      <c r="A39" s="100"/>
      <c r="B39" s="100"/>
      <c r="C39" s="100"/>
      <c r="D39" s="100"/>
      <c r="E39" s="100"/>
      <c r="F39" s="100"/>
      <c r="G39" s="100"/>
      <c r="H39" s="100"/>
      <c r="I39" s="100"/>
    </row>
    <row r="40" spans="1:9">
      <c r="A40" s="100"/>
      <c r="B40" s="100"/>
      <c r="C40" s="100"/>
      <c r="D40" s="100"/>
      <c r="E40" s="100"/>
      <c r="F40" s="100"/>
      <c r="G40" s="100"/>
      <c r="H40" s="100"/>
      <c r="I40" s="100"/>
    </row>
    <row r="41" spans="1:9">
      <c r="A41" s="100"/>
      <c r="B41" s="100"/>
      <c r="C41" s="100"/>
      <c r="D41" s="100"/>
      <c r="E41" s="100"/>
      <c r="F41" s="100"/>
      <c r="G41" s="100"/>
      <c r="H41" s="100"/>
      <c r="I41" s="100"/>
    </row>
    <row r="42" spans="1:9">
      <c r="A42" s="100"/>
      <c r="B42" s="100"/>
      <c r="C42" s="100"/>
      <c r="D42" s="100"/>
      <c r="E42" s="100"/>
      <c r="F42" s="100"/>
      <c r="G42" s="100"/>
      <c r="H42" s="100"/>
      <c r="I42" s="100"/>
    </row>
    <row r="43" spans="1:9">
      <c r="A43" s="100"/>
      <c r="B43" s="100"/>
      <c r="C43" s="100"/>
      <c r="D43" s="100"/>
      <c r="E43" s="100"/>
      <c r="F43" s="100"/>
      <c r="G43" s="100"/>
      <c r="H43" s="100"/>
      <c r="I43" s="100"/>
    </row>
    <row r="44" spans="1:9">
      <c r="A44" s="100"/>
      <c r="B44" s="100"/>
      <c r="C44" s="100"/>
      <c r="D44" s="100"/>
      <c r="E44" s="100"/>
      <c r="F44" s="100"/>
      <c r="G44" s="100"/>
      <c r="H44" s="100"/>
      <c r="I44" s="100"/>
    </row>
    <row r="45" spans="1:9">
      <c r="A45" s="100"/>
      <c r="B45" s="100"/>
      <c r="C45" s="100"/>
      <c r="D45" s="100"/>
      <c r="E45" s="100"/>
      <c r="F45" s="100"/>
      <c r="G45" s="100"/>
      <c r="H45" s="100"/>
      <c r="I45" s="100"/>
    </row>
    <row r="46" spans="1:9">
      <c r="A46" s="100"/>
      <c r="B46" s="100"/>
      <c r="C46" s="100"/>
      <c r="D46" s="100"/>
      <c r="E46" s="100"/>
      <c r="F46" s="100"/>
      <c r="G46" s="100"/>
      <c r="H46" s="100"/>
      <c r="I46" s="100"/>
    </row>
    <row r="47" spans="1:9">
      <c r="A47" s="100"/>
      <c r="B47" s="100"/>
      <c r="C47" s="100"/>
      <c r="D47" s="100"/>
      <c r="E47" s="100"/>
      <c r="F47" s="100"/>
      <c r="G47" s="100"/>
      <c r="H47" s="100"/>
      <c r="I47" s="100"/>
    </row>
    <row r="48" spans="1:9">
      <c r="A48" s="100"/>
      <c r="B48" s="100"/>
      <c r="C48" s="100"/>
      <c r="D48" s="100"/>
      <c r="E48" s="100"/>
      <c r="F48" s="100"/>
      <c r="G48" s="100"/>
      <c r="H48" s="100"/>
      <c r="I48" s="100"/>
    </row>
  </sheetData>
  <mergeCells count="3">
    <mergeCell ref="B22:H24"/>
    <mergeCell ref="B28:H28"/>
    <mergeCell ref="B7:H7"/>
  </mergeCells>
  <hyperlinks>
    <hyperlink ref="B30" display="Im Begleitdokument zum Technikkatalog finden Sie Hinweise zu Hintergründen und Datenquellen" xr:uid="{2834CD4B-4665-48BB-A207-74F24E9715BC}"/>
    <hyperlink ref="B25" r:id="rId1" xr:uid="{9A42A321-C612-4BC5-B013-C920F8B72E69}"/>
  </hyperlinks>
  <pageMargins left="0.7" right="0.7" top="0.78740157499999996" bottom="0.78740157499999996" header="0.3" footer="0.3"/>
  <pageSetup paperSize="9" scale="84"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8430-2FD2-4BC5-B9F2-1775A3F9DF39}">
  <dimension ref="B2:D11"/>
  <sheetViews>
    <sheetView workbookViewId="0">
      <selection activeCell="C16" sqref="C16"/>
    </sheetView>
  </sheetViews>
  <sheetFormatPr baseColWidth="10" defaultColWidth="11.44140625" defaultRowHeight="14.4"/>
  <cols>
    <col min="2" max="2" width="9.33203125" customWidth="1"/>
    <col min="3" max="3" width="33.33203125" customWidth="1"/>
    <col min="4" max="4" width="84.88671875" customWidth="1"/>
  </cols>
  <sheetData>
    <row r="2" spans="2:4">
      <c r="C2" s="128" t="s">
        <v>14</v>
      </c>
    </row>
    <row r="4" spans="2:4" ht="15" thickBot="1">
      <c r="B4" s="133" t="s">
        <v>15</v>
      </c>
      <c r="C4" s="133"/>
      <c r="D4" s="127" t="s">
        <v>16</v>
      </c>
    </row>
    <row r="5" spans="2:4" ht="15" thickBot="1">
      <c r="B5" s="3" t="s">
        <v>17</v>
      </c>
      <c r="C5" s="3" t="s">
        <v>18</v>
      </c>
      <c r="D5" s="82" t="s">
        <v>19</v>
      </c>
    </row>
    <row r="6" spans="2:4" ht="15" thickBot="1">
      <c r="B6" s="3" t="s">
        <v>20</v>
      </c>
      <c r="C6" s="3" t="s">
        <v>21</v>
      </c>
      <c r="D6" s="5" t="s">
        <v>22</v>
      </c>
    </row>
    <row r="7" spans="2:4" ht="15" thickBot="1">
      <c r="B7" s="3"/>
      <c r="C7" s="3"/>
      <c r="D7" s="5"/>
    </row>
    <row r="8" spans="2:4" ht="15" thickBot="1">
      <c r="B8" s="3"/>
      <c r="C8" s="3"/>
      <c r="D8" s="5"/>
    </row>
    <row r="9" spans="2:4" ht="15" thickBot="1">
      <c r="B9" s="5"/>
      <c r="C9" s="5"/>
      <c r="D9" s="5"/>
    </row>
    <row r="11" spans="2:4" s="129" customFormat="1" ht="36.75" customHeight="1">
      <c r="B11" s="128" t="s">
        <v>23</v>
      </c>
      <c r="C11" s="134" t="s">
        <v>24</v>
      </c>
      <c r="D11" s="134"/>
    </row>
  </sheetData>
  <mergeCells count="2">
    <mergeCell ref="B4:C4"/>
    <mergeCell ref="C11:D1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9B85-FD33-4837-A998-DBB355B5B317}">
  <sheetPr codeName="Tabelle2"/>
  <dimension ref="B1:I44"/>
  <sheetViews>
    <sheetView zoomScale="82" zoomScaleNormal="82" zoomScaleSheetLayoutView="85" workbookViewId="0">
      <selection activeCell="I21" sqref="I21"/>
    </sheetView>
  </sheetViews>
  <sheetFormatPr baseColWidth="10" defaultColWidth="11.44140625" defaultRowHeight="14.4"/>
  <cols>
    <col min="1" max="1" width="5.88671875" customWidth="1"/>
    <col min="4" max="4" width="76.44140625" customWidth="1"/>
    <col min="5" max="5" width="3.88671875" customWidth="1"/>
    <col min="6" max="6" width="3.6640625" customWidth="1"/>
    <col min="9" max="9" width="89.6640625" customWidth="1"/>
  </cols>
  <sheetData>
    <row r="1" spans="2:9">
      <c r="B1" s="119" t="s">
        <v>25</v>
      </c>
      <c r="C1" s="117"/>
      <c r="D1" s="117"/>
      <c r="E1" s="117"/>
      <c r="F1" s="117"/>
      <c r="G1" s="117"/>
      <c r="H1" s="117"/>
      <c r="I1" s="117"/>
    </row>
    <row r="2" spans="2:9">
      <c r="B2" s="117"/>
      <c r="C2" s="117"/>
      <c r="D2" s="117"/>
      <c r="E2" s="117"/>
      <c r="F2" s="117"/>
      <c r="G2" s="117"/>
      <c r="H2" s="117"/>
      <c r="I2" s="117"/>
    </row>
    <row r="3" spans="2:9" ht="15" thickBot="1">
      <c r="B3" s="122" t="s">
        <v>26</v>
      </c>
      <c r="C3" s="122"/>
      <c r="D3" s="122"/>
      <c r="E3" s="117"/>
      <c r="F3" s="117"/>
      <c r="G3" s="122" t="s">
        <v>27</v>
      </c>
      <c r="H3" s="122"/>
      <c r="I3" s="122"/>
    </row>
    <row r="4" spans="2:9">
      <c r="B4" s="117"/>
      <c r="C4" s="117" t="s">
        <v>28</v>
      </c>
      <c r="D4" s="118" t="s">
        <v>29</v>
      </c>
      <c r="E4" s="117"/>
      <c r="F4" s="117"/>
      <c r="G4" s="117"/>
      <c r="H4" s="117" t="s">
        <v>30</v>
      </c>
      <c r="I4" s="118" t="s">
        <v>31</v>
      </c>
    </row>
    <row r="5" spans="2:9" ht="15" thickBot="1">
      <c r="B5" s="122" t="s">
        <v>32</v>
      </c>
      <c r="C5" s="122"/>
      <c r="D5" s="122"/>
      <c r="E5" s="117"/>
      <c r="F5" s="117"/>
      <c r="G5" s="117"/>
      <c r="H5" s="117" t="s">
        <v>33</v>
      </c>
      <c r="I5" s="118" t="s">
        <v>34</v>
      </c>
    </row>
    <row r="6" spans="2:9">
      <c r="B6" s="117"/>
      <c r="C6" s="117" t="s">
        <v>35</v>
      </c>
      <c r="D6" s="118" t="s">
        <v>36</v>
      </c>
      <c r="E6" s="117"/>
      <c r="F6" s="117"/>
      <c r="G6" s="117"/>
      <c r="H6" s="117" t="s">
        <v>37</v>
      </c>
      <c r="I6" s="118" t="s">
        <v>38</v>
      </c>
    </row>
    <row r="7" spans="2:9">
      <c r="B7" s="117"/>
      <c r="C7" s="117" t="s">
        <v>39</v>
      </c>
      <c r="D7" s="118" t="s">
        <v>40</v>
      </c>
      <c r="E7" s="117"/>
      <c r="F7" s="117"/>
      <c r="G7" s="117"/>
      <c r="H7" s="117" t="s">
        <v>41</v>
      </c>
      <c r="I7" s="118" t="s">
        <v>42</v>
      </c>
    </row>
    <row r="8" spans="2:9">
      <c r="B8" s="117"/>
      <c r="C8" s="117" t="s">
        <v>43</v>
      </c>
      <c r="D8" s="118" t="s">
        <v>44</v>
      </c>
      <c r="E8" s="117"/>
      <c r="F8" s="117"/>
      <c r="G8" s="117"/>
      <c r="H8" s="117" t="s">
        <v>45</v>
      </c>
      <c r="I8" s="118" t="s">
        <v>46</v>
      </c>
    </row>
    <row r="9" spans="2:9">
      <c r="B9" s="117"/>
      <c r="C9" s="117" t="s">
        <v>47</v>
      </c>
      <c r="D9" s="118" t="s">
        <v>48</v>
      </c>
      <c r="E9" s="117"/>
      <c r="F9" s="117"/>
      <c r="G9" s="117"/>
      <c r="H9" s="117" t="s">
        <v>49</v>
      </c>
      <c r="I9" s="118" t="s">
        <v>50</v>
      </c>
    </row>
    <row r="10" spans="2:9">
      <c r="B10" s="117"/>
      <c r="C10" s="117" t="s">
        <v>51</v>
      </c>
      <c r="D10" s="118" t="s">
        <v>52</v>
      </c>
      <c r="E10" s="117"/>
      <c r="F10" s="117"/>
      <c r="G10" s="117"/>
      <c r="H10" s="117" t="s">
        <v>53</v>
      </c>
      <c r="I10" s="118" t="s">
        <v>54</v>
      </c>
    </row>
    <row r="11" spans="2:9" ht="15" thickBot="1">
      <c r="B11" s="117"/>
      <c r="C11" s="117" t="s">
        <v>55</v>
      </c>
      <c r="D11" s="118" t="s">
        <v>56</v>
      </c>
      <c r="E11" s="117"/>
      <c r="F11" s="117"/>
      <c r="G11" s="122" t="s">
        <v>57</v>
      </c>
      <c r="H11" s="122"/>
      <c r="I11" s="122"/>
    </row>
    <row r="12" spans="2:9">
      <c r="B12" s="117"/>
      <c r="C12" s="117" t="s">
        <v>58</v>
      </c>
      <c r="D12" s="118" t="s">
        <v>59</v>
      </c>
      <c r="E12" s="117"/>
      <c r="F12" s="117"/>
      <c r="G12" s="117"/>
      <c r="H12" s="117" t="s">
        <v>60</v>
      </c>
      <c r="I12" s="118" t="s">
        <v>61</v>
      </c>
    </row>
    <row r="13" spans="2:9">
      <c r="B13" s="117"/>
      <c r="C13" s="117" t="s">
        <v>62</v>
      </c>
      <c r="D13" s="118" t="s">
        <v>63</v>
      </c>
      <c r="E13" s="117"/>
      <c r="F13" s="117"/>
      <c r="G13" s="117"/>
      <c r="H13" s="117" t="s">
        <v>64</v>
      </c>
      <c r="I13" s="118" t="s">
        <v>65</v>
      </c>
    </row>
    <row r="14" spans="2:9">
      <c r="B14" s="117"/>
      <c r="C14" s="117" t="s">
        <v>66</v>
      </c>
      <c r="D14" s="118" t="s">
        <v>67</v>
      </c>
      <c r="E14" s="117"/>
      <c r="F14" s="117"/>
      <c r="G14" s="117"/>
      <c r="H14" s="117" t="s">
        <v>68</v>
      </c>
      <c r="I14" s="118" t="s">
        <v>69</v>
      </c>
    </row>
    <row r="15" spans="2:9">
      <c r="B15" s="117"/>
      <c r="C15" s="117" t="s">
        <v>70</v>
      </c>
      <c r="D15" s="118" t="s">
        <v>71</v>
      </c>
      <c r="E15" s="117"/>
      <c r="F15" s="117"/>
      <c r="G15" s="117"/>
      <c r="H15" s="117" t="s">
        <v>72</v>
      </c>
      <c r="I15" s="118" t="s">
        <v>73</v>
      </c>
    </row>
    <row r="16" spans="2:9" ht="15" thickBot="1">
      <c r="B16" s="117"/>
      <c r="C16" s="117" t="s">
        <v>74</v>
      </c>
      <c r="D16" s="118" t="s">
        <v>75</v>
      </c>
      <c r="E16" s="117"/>
      <c r="F16" s="117"/>
      <c r="G16" s="122" t="s">
        <v>76</v>
      </c>
      <c r="H16" s="122"/>
      <c r="I16" s="122"/>
    </row>
    <row r="17" spans="2:9">
      <c r="B17" s="117"/>
      <c r="C17" s="117" t="s">
        <v>77</v>
      </c>
      <c r="D17" s="118" t="s">
        <v>78</v>
      </c>
      <c r="E17" s="117"/>
      <c r="F17" s="117"/>
      <c r="G17" s="117"/>
      <c r="H17" s="117" t="s">
        <v>79</v>
      </c>
      <c r="I17" s="118" t="s">
        <v>80</v>
      </c>
    </row>
    <row r="18" spans="2:9" ht="28.8">
      <c r="B18" s="117"/>
      <c r="C18" s="117" t="s">
        <v>81</v>
      </c>
      <c r="D18" s="118" t="s">
        <v>82</v>
      </c>
      <c r="E18" s="117"/>
      <c r="F18" s="117"/>
      <c r="G18" s="117"/>
      <c r="H18" s="117" t="s">
        <v>83</v>
      </c>
      <c r="I18" s="120" t="s">
        <v>84</v>
      </c>
    </row>
    <row r="19" spans="2:9">
      <c r="B19" s="117"/>
      <c r="C19" s="117" t="s">
        <v>85</v>
      </c>
      <c r="D19" s="118" t="s">
        <v>86</v>
      </c>
      <c r="E19" s="117"/>
      <c r="F19" s="117"/>
      <c r="G19" s="117"/>
      <c r="H19" s="117" t="s">
        <v>87</v>
      </c>
      <c r="I19" s="118" t="s">
        <v>88</v>
      </c>
    </row>
    <row r="20" spans="2:9">
      <c r="B20" s="117"/>
      <c r="C20" s="117" t="s">
        <v>89</v>
      </c>
      <c r="D20" s="118" t="s">
        <v>90</v>
      </c>
      <c r="E20" s="117"/>
      <c r="F20" s="117"/>
      <c r="G20" s="117"/>
      <c r="H20" s="117" t="s">
        <v>91</v>
      </c>
      <c r="I20" s="118" t="s">
        <v>92</v>
      </c>
    </row>
    <row r="21" spans="2:9">
      <c r="B21" s="117"/>
      <c r="C21" s="117" t="s">
        <v>93</v>
      </c>
      <c r="D21" s="118" t="s">
        <v>94</v>
      </c>
      <c r="E21" s="117"/>
      <c r="F21" s="117"/>
      <c r="G21" s="117"/>
      <c r="H21" s="117" t="s">
        <v>95</v>
      </c>
      <c r="I21" s="118" t="s">
        <v>96</v>
      </c>
    </row>
    <row r="22" spans="2:9">
      <c r="B22" s="117"/>
      <c r="C22" s="117" t="s">
        <v>97</v>
      </c>
      <c r="D22" s="118" t="s">
        <v>98</v>
      </c>
      <c r="E22" s="117"/>
      <c r="F22" s="117"/>
      <c r="G22" s="117"/>
      <c r="H22" s="117" t="s">
        <v>99</v>
      </c>
      <c r="I22" s="118" t="s">
        <v>100</v>
      </c>
    </row>
    <row r="23" spans="2:9">
      <c r="B23" s="117"/>
      <c r="C23" s="117" t="s">
        <v>101</v>
      </c>
      <c r="D23" s="118" t="s">
        <v>102</v>
      </c>
      <c r="E23" s="117"/>
      <c r="F23" s="117"/>
      <c r="G23" s="117"/>
      <c r="H23" s="117"/>
      <c r="I23" s="117"/>
    </row>
    <row r="24" spans="2:9">
      <c r="B24" s="117"/>
      <c r="C24" s="117" t="s">
        <v>103</v>
      </c>
      <c r="D24" s="118" t="s">
        <v>104</v>
      </c>
      <c r="E24" s="117"/>
      <c r="F24" s="117"/>
      <c r="G24" s="117"/>
      <c r="H24" s="117"/>
      <c r="I24" s="117"/>
    </row>
    <row r="25" spans="2:9">
      <c r="B25" s="117"/>
      <c r="C25" s="117" t="s">
        <v>105</v>
      </c>
      <c r="D25" s="118" t="s">
        <v>106</v>
      </c>
      <c r="E25" s="117"/>
      <c r="F25" s="117"/>
      <c r="G25" s="117"/>
      <c r="H25" s="117"/>
      <c r="I25" s="117"/>
    </row>
    <row r="26" spans="2:9">
      <c r="B26" s="117"/>
      <c r="C26" s="117" t="s">
        <v>107</v>
      </c>
      <c r="D26" s="118" t="s">
        <v>108</v>
      </c>
      <c r="E26" s="117"/>
      <c r="F26" s="117"/>
      <c r="G26" s="117"/>
      <c r="H26" s="117"/>
      <c r="I26" s="117"/>
    </row>
    <row r="27" spans="2:9">
      <c r="B27" s="117"/>
      <c r="C27" s="117" t="s">
        <v>109</v>
      </c>
      <c r="D27" s="118" t="s">
        <v>110</v>
      </c>
      <c r="E27" s="117"/>
      <c r="F27" s="117"/>
      <c r="G27" s="117"/>
      <c r="H27" s="117"/>
      <c r="I27" s="117"/>
    </row>
    <row r="28" spans="2:9">
      <c r="B28" s="117"/>
      <c r="C28" s="117" t="s">
        <v>111</v>
      </c>
      <c r="D28" s="118" t="s">
        <v>112</v>
      </c>
      <c r="E28" s="117"/>
      <c r="F28" s="117"/>
      <c r="G28" s="117"/>
      <c r="H28" s="117"/>
      <c r="I28" s="117"/>
    </row>
    <row r="29" spans="2:9">
      <c r="B29" s="117"/>
      <c r="C29" s="117" t="s">
        <v>113</v>
      </c>
      <c r="D29" s="118" t="s">
        <v>114</v>
      </c>
      <c r="E29" s="117"/>
      <c r="F29" s="117"/>
      <c r="G29" s="117"/>
      <c r="H29" s="117"/>
      <c r="I29" s="117"/>
    </row>
    <row r="30" spans="2:9">
      <c r="B30" s="117"/>
      <c r="C30" s="117" t="s">
        <v>115</v>
      </c>
      <c r="D30" s="118" t="s">
        <v>116</v>
      </c>
      <c r="E30" s="117"/>
      <c r="F30" s="117"/>
      <c r="G30" s="117"/>
      <c r="H30" s="117"/>
      <c r="I30" s="117"/>
    </row>
    <row r="31" spans="2:9">
      <c r="B31" s="117"/>
      <c r="C31" s="117" t="s">
        <v>117</v>
      </c>
      <c r="D31" s="118" t="s">
        <v>118</v>
      </c>
      <c r="E31" s="117"/>
      <c r="F31" s="117"/>
      <c r="G31" s="117"/>
      <c r="H31" s="117"/>
      <c r="I31" s="117"/>
    </row>
    <row r="32" spans="2:9">
      <c r="B32" s="117"/>
      <c r="C32" s="117" t="s">
        <v>119</v>
      </c>
      <c r="D32" s="118" t="s">
        <v>120</v>
      </c>
      <c r="E32" s="117"/>
      <c r="F32" s="117"/>
      <c r="G32" s="117"/>
      <c r="H32" s="117"/>
      <c r="I32" s="117"/>
    </row>
    <row r="33" spans="2:9">
      <c r="B33" s="117"/>
      <c r="C33" s="117" t="s">
        <v>121</v>
      </c>
      <c r="D33" s="118" t="s">
        <v>122</v>
      </c>
      <c r="E33" s="117"/>
      <c r="F33" s="117"/>
      <c r="G33" s="117"/>
      <c r="H33" s="117"/>
      <c r="I33" s="117"/>
    </row>
    <row r="34" spans="2:9">
      <c r="B34" s="117"/>
      <c r="C34" s="117" t="s">
        <v>123</v>
      </c>
      <c r="D34" s="118" t="s">
        <v>124</v>
      </c>
      <c r="E34" s="117"/>
      <c r="F34" s="117"/>
      <c r="G34" s="117"/>
      <c r="H34" s="117"/>
      <c r="I34" s="117"/>
    </row>
    <row r="35" spans="2:9">
      <c r="B35" s="117"/>
      <c r="C35" s="117" t="s">
        <v>125</v>
      </c>
      <c r="D35" s="118" t="s">
        <v>126</v>
      </c>
      <c r="E35" s="117"/>
      <c r="F35" s="117"/>
      <c r="G35" s="117"/>
      <c r="H35" s="117"/>
      <c r="I35" s="117"/>
    </row>
    <row r="36" spans="2:9">
      <c r="B36" s="117"/>
      <c r="C36" s="117" t="s">
        <v>127</v>
      </c>
      <c r="D36" s="118" t="s">
        <v>128</v>
      </c>
      <c r="E36" s="117"/>
      <c r="F36" s="117"/>
      <c r="G36" s="117"/>
      <c r="H36" s="117"/>
      <c r="I36" s="117"/>
    </row>
    <row r="37" spans="2:9">
      <c r="B37" s="117"/>
      <c r="C37" s="117" t="s">
        <v>129</v>
      </c>
      <c r="D37" s="118" t="s">
        <v>130</v>
      </c>
      <c r="E37" s="117"/>
      <c r="F37" s="117"/>
      <c r="G37" s="117"/>
      <c r="H37" s="117"/>
      <c r="I37" s="117"/>
    </row>
    <row r="38" spans="2:9">
      <c r="B38" s="117"/>
      <c r="C38" s="117" t="s">
        <v>131</v>
      </c>
      <c r="D38" s="118" t="s">
        <v>132</v>
      </c>
      <c r="E38" s="117"/>
      <c r="F38" s="117"/>
      <c r="G38" s="117"/>
      <c r="H38" s="117"/>
      <c r="I38" s="117"/>
    </row>
    <row r="39" spans="2:9">
      <c r="B39" s="117"/>
      <c r="C39" s="117" t="s">
        <v>133</v>
      </c>
      <c r="D39" s="118" t="s">
        <v>134</v>
      </c>
      <c r="E39" s="117"/>
      <c r="F39" s="117"/>
      <c r="G39" s="117"/>
      <c r="H39" s="117"/>
      <c r="I39" s="117"/>
    </row>
    <row r="40" spans="2:9">
      <c r="B40" s="117"/>
      <c r="C40" s="117" t="s">
        <v>135</v>
      </c>
      <c r="D40" s="118" t="s">
        <v>136</v>
      </c>
      <c r="E40" s="117"/>
      <c r="F40" s="117"/>
      <c r="G40" s="117"/>
      <c r="H40" s="117"/>
      <c r="I40" s="117"/>
    </row>
    <row r="41" spans="2:9">
      <c r="B41" s="117"/>
      <c r="C41" s="117" t="s">
        <v>137</v>
      </c>
      <c r="D41" s="118" t="s">
        <v>138</v>
      </c>
      <c r="E41" s="117"/>
      <c r="F41" s="117"/>
      <c r="G41" s="117"/>
      <c r="H41" s="117"/>
      <c r="I41" s="117"/>
    </row>
    <row r="42" spans="2:9">
      <c r="B42" s="117"/>
      <c r="C42" s="117" t="s">
        <v>139</v>
      </c>
      <c r="D42" s="118" t="s">
        <v>140</v>
      </c>
      <c r="E42" s="117"/>
      <c r="F42" s="117"/>
      <c r="G42" s="117"/>
      <c r="H42" s="117"/>
      <c r="I42" s="117"/>
    </row>
    <row r="43" spans="2:9">
      <c r="B43" s="117"/>
      <c r="C43" s="117" t="s">
        <v>141</v>
      </c>
      <c r="D43" s="118" t="s">
        <v>142</v>
      </c>
      <c r="E43" s="117"/>
      <c r="F43" s="117"/>
      <c r="G43" s="117"/>
      <c r="H43" s="117"/>
      <c r="I43" s="117"/>
    </row>
    <row r="44" spans="2:9">
      <c r="B44" s="117"/>
      <c r="C44" s="117"/>
      <c r="D44" s="117"/>
      <c r="E44" s="117"/>
      <c r="F44" s="117"/>
      <c r="G44" s="117"/>
      <c r="H44" s="117"/>
      <c r="I44" s="117"/>
    </row>
  </sheetData>
  <sheetProtection algorithmName="SHA-512" hashValue="4jSqHXB7nwnvSQ3zQ/+IkVd+dfJ/O8mS8MfOo/drcp68Npld8E2kJdxY3ZEdVWBOR1f3YNTUOQsGOjZWavpPLQ==" saltValue="9jaf31simNdY/xy+AtyD+Q==" spinCount="100000" sheet="1" objects="1" scenarios="1"/>
  <phoneticPr fontId="7" type="noConversion"/>
  <hyperlinks>
    <hyperlink ref="D4" location="'Tab 1'!A1" display="Emissionsfaktoren " xr:uid="{2760751C-D573-47C5-ACF4-F00449B47139}"/>
    <hyperlink ref="D6" location="'Tab 2'!A1" display="Pelletskessel" xr:uid="{B62EB76A-92CE-405F-B4A4-87F97A3BF7B8}"/>
    <hyperlink ref="D7" location="'Tab 3'!A1" display="Hackschnitzelkessel" xr:uid="{C8B6859F-AF2E-47E9-BFB1-3F845729D35F}"/>
    <hyperlink ref="D8" location="'Tab 4'!A1" display="Erdgas Brennwertkessel dezentral" xr:uid="{291D271C-E3D7-4936-B960-C44BAC9A5D1E}"/>
    <hyperlink ref="D9" location="'Tab 5'!A1" display="Heizölkessel dezentral" xr:uid="{F440492E-6B30-4651-A5C4-5FA8059A9DAC}"/>
    <hyperlink ref="D10" location="'Tab 6'!A1" display="Wasserstoffkessel Brennwert dezentral" xr:uid="{7BBA291C-A0FE-4A8E-B088-C71DEF364716}"/>
    <hyperlink ref="D11" location="'Tab 7'!A1" display="Solarthermie Dachanlagen Röhrenkollektor" xr:uid="{25C5B9F2-9A32-410E-9BE7-B2CD13CF39C7}"/>
    <hyperlink ref="D12" location="'Tab 8'!A1" display="Solarthermie Dachanlagen Flachkollektor" xr:uid="{4F89C31E-FAA5-41D5-9728-432829E117E1}"/>
    <hyperlink ref="D13" location="'Tab 9'!A1" display="Stromdirektheizung fest eingebaut (bis 30 kW)" xr:uid="{DC1B7E79-9090-4E68-8C3C-70E70289493C}"/>
    <hyperlink ref="D14" location="'Tab 10'!A1" display="Luft-Wasser-Wärmepumpe" xr:uid="{7FE35DAE-1829-41EC-A3DA-18319CA6E54C}"/>
    <hyperlink ref="D15" location="'Tab 11'!A1" display="Wasser-Wasser Wärmepumpe (mit Grundwasserbrunnen)" xr:uid="{8B779050-9800-4BAB-B1BC-490EEB2A3BFF}"/>
    <hyperlink ref="D16" location="'Tab 12'!A1" display="Sole-Wasser Wärmepumpe - Wärmequelle Erdwärmesonden (dezentral, &lt;110 kW)" xr:uid="{2D78EC82-5423-47AE-A282-FD53297C5F10}"/>
    <hyperlink ref="D17" location="'Tab 13'!A1" display="Sole-Wasser Wärmepumpe (dezentral, &lt;110 kW)" xr:uid="{C9B478FA-F983-42EB-A826-64667696DB65}"/>
    <hyperlink ref="D18" location="'Tab 14'!A1" display="Hybrid Wärmepumpe" xr:uid="{256F4F9E-D67A-4E17-9DCD-C2665E32F9D9}"/>
    <hyperlink ref="D19" location="'Tab 15'!A1" display="Blockheizkraftwerk Erdgas" xr:uid="{BB0001B1-A6CD-4812-8144-3E577E38CEAB}"/>
    <hyperlink ref="D20" location="'Tab 16'!A1" display="Blockheizkraftwerk Biogas" xr:uid="{3CF06310-9066-4C12-AEE2-7528521A60E8}"/>
    <hyperlink ref="D21" location="'Tab 17'!A1" display="Blockheizkraftwerk Wasserstoff" xr:uid="{06D9B73F-C655-44CE-B884-848D6A741EB4}"/>
    <hyperlink ref="D22" location="'Tab 18'!A1" display="Biomasse Heizkraftwerk - Holzhackschnitzel" xr:uid="{002C11B3-5744-4A4C-8E78-4FC25B141714}"/>
    <hyperlink ref="D23" location="'Tab 19'!A1" display="Biomasse Heizkraftwerk - Holzhackschnitzel" xr:uid="{716BC284-94DE-4094-BCDE-11ED3336555D}"/>
    <hyperlink ref="D24" location="'Tab 20'!A1" display="Biomasse Heizkraftwerk - Stroh" xr:uid="{507DF050-BDCC-40F9-BFC6-982EA50D9E64}"/>
    <hyperlink ref="D25" location="'Tab 21'!A1" display="Biomasse Heizwerk - Holzhackschnitzel" xr:uid="{D2DC6E26-575A-447B-A89E-1494263DC144}"/>
    <hyperlink ref="D26" location="'Tab 22'!A1" display="Biomasse Heizwerk - Holzpellets" xr:uid="{ABDD1D9C-483F-47FB-96EE-6543E35E5B0D}"/>
    <hyperlink ref="D27" location="'Tab 23'!A1" display="Biomasse Heizwerk - Stroh" xr:uid="{098A02B0-D6EF-41F4-8140-E75351EF27C4}"/>
    <hyperlink ref="D28" location="'Tab 24'!A1" display="Biomasse Großheizkraftwerk - Holzhackschnitzel" xr:uid="{74E7E342-E689-4428-A4A3-FD71FCC7490D}"/>
    <hyperlink ref="D29" location="'Tab 25'!A1" display="Biomasse Großheizkraftwerk - Holzpellets" xr:uid="{0DDA0479-459D-478F-8B6B-2FA3753D7ACA}"/>
    <hyperlink ref="D30" location="'Tab 26'!A1" display="Großwärmepumpe Luft (Kompressionswärmepumpe)" xr:uid="{6FC455E7-605F-4126-98DB-73FD7823C4BB}"/>
    <hyperlink ref="D31" location="'Tab 27'!A1" display="Großwärmepumpe Abwärme (Kompressionswärmepumpe)" xr:uid="{CEE55E8A-7759-4546-BEC9-0DE8A3E08488}"/>
    <hyperlink ref="D32" location="'Tab 28'!A1" display="Großwärmepumpe Gewässer (Kompressionswärmepumpe)" xr:uid="{D5CA8E74-A5DA-4503-8FB3-4C0C0AFB270E}"/>
    <hyperlink ref="D33" location="'Tab 29'!A1" display="Großwärmepumpe Absorption" xr:uid="{79D67F06-09BA-4F8A-A958-3CCE5F24A6EF}"/>
    <hyperlink ref="D34" location="'Tab 30'!A1" display="Großwärmepumpe Klärwasser/Abwasser (Kompressionswärmepumpe)" xr:uid="{44D5AE58-8091-4DF5-B83D-36E1D79229AB}"/>
    <hyperlink ref="D35" location="'Tab 31'!A1" display="Hochtemperatur Wärmepumpe bis 125°C (Industrie)" xr:uid="{EDFC3D8D-7BEC-4D6C-8AFE-CDB2BB280B06}"/>
    <hyperlink ref="D36" location="'Tab 32'!A1" display="Hochtemperatur Wärmepumpe bis 150°C (Industrie)" xr:uid="{1614AC3D-B445-47BF-83C8-DA3C49825FEE}"/>
    <hyperlink ref="D37" location="'Tab 33'!A1" display="Erdgaskessel (zentral/Spitzenlastabdeckung)" xr:uid="{D7C4B6DC-677E-4EE8-A5EB-60CBC5ACCDA4}"/>
    <hyperlink ref="D38" location="'Tab 34'!A1" display="Heizölkessel (zentral/Spitzenlastabdeckung)" xr:uid="{D9F7F951-7FBD-44FC-8CD7-E319866A6EF2}"/>
    <hyperlink ref="D39" location="'Tab 35'!A1" display="Abfallkessel (zentral)" xr:uid="{74841E4B-AF08-41D2-8C6A-D1CAF4B5309F}"/>
    <hyperlink ref="D40" location="'Tab 36'!A1" display="Solarthermie Freiflächenanlagen - Flachkollektoren" xr:uid="{C44310D8-AA30-41CB-BC95-71E00D2EE82B}"/>
    <hyperlink ref="D41" location="'Tab 37'!A1" display="Solarthermie Freiflächenanlagen - Vakuum-Röhren-Kollektoren" xr:uid="{68385B5D-3B13-4F37-8D12-F259B23AF9E9}"/>
    <hyperlink ref="D42" location="'Tab 38'!A1" display="Tiefengeothermie (&gt;2000m Bohrung)" xr:uid="{45D40865-0012-4263-83A6-62694BB854DD}"/>
    <hyperlink ref="D43" location="'Tab 39'!A1" display="Tiefengeothermie (&gt;2000m Bohrung)" xr:uid="{3AEDCC0D-BE3F-4A6A-884A-55F844C74E1C}"/>
    <hyperlink ref="I4" location="'Tab 40'!A1" display="Erdgas/Biomethan Verteilungsnetze" xr:uid="{23254F25-83E6-4DC4-88D3-DDB0891E133C}"/>
    <hyperlink ref="I5" location="'Tab 41'!A1" display="Wasserstoff Transportleitungen" xr:uid="{904DBC3C-C44F-47B4-A32C-0495048D81DA}"/>
    <hyperlink ref="I6" location="'Tab 42'!A1" display="Wärmenetze konventionell - Verteilungsnetze " xr:uid="{61505590-E7CB-453A-8503-85C5287603B2}"/>
    <hyperlink ref="I7" location="'Tab 43'!A1" display="Wärmenetze konventionell - Transportleitungen" xr:uid="{D0514CCD-25BB-4074-A2E6-7D7DF24F424F}"/>
    <hyperlink ref="I8" location="'Tab 44'!A1" display="Wärmenetze Niedertemperatur" xr:uid="{2E47BA69-A45C-4634-A311-64661BEEB635}"/>
    <hyperlink ref="I9" location="'Tab 45'!A1" display="Wärmenetze Kalte Nahwärme" xr:uid="{B250638A-9A25-447C-A70D-E3BF6DA58E47}"/>
    <hyperlink ref="I10" location="'Tab 46'!A1" display="Hausstationen Fernwärme indirekt" xr:uid="{176C89A4-B1B3-49B2-B9C8-9602781D493A}"/>
    <hyperlink ref="I12" location="'Tab 47'!A1" display="Wärmespeicher Saisonal - Erdbeckenspeicher (PTES)" xr:uid="{5DD5A014-0008-4F0A-A84F-5C4944558935}"/>
    <hyperlink ref="I13" location="'Tab 48'!A1" display="Wärmespeicher Saisonal - Behälterspeicher (TTES)" xr:uid="{8FBEE231-6CC0-459B-AFE3-B7362A642023}"/>
    <hyperlink ref="I14" location="'Tab 49'!A1" display="Trinkwasserspeicher/kleine Pufferspeicher (150-1000 L)" xr:uid="{F98156B6-5326-476A-B9AB-BBA8CFCB2087}"/>
    <hyperlink ref="I15" location="'Tab 50'!A1" display="Puffer-/Kombispeicher (ab 500 L)" xr:uid="{D15C9F3C-FD40-43E0-82C0-EC3878B586EC}"/>
    <hyperlink ref="I17" location="'Tab 51'!A1" display="Zuordnung der für die Wärmeplanung relevanten Gebäudefunktionen zum Endenergiesektor " xr:uid="{6B8C8B48-21E7-4A91-9DA6-9C2DFD914C5D}"/>
    <hyperlink ref="I18" location="'Tab 52'!A1" display="Zuordnung von Gebäudefunktionen zu GHD-Typen, Bewertung der Relevanz der Prozesswärme und Empfehlung zur Datenerfassung " xr:uid="{690AEDFC-9C94-410C-88FD-F55D47B101B7}"/>
    <hyperlink ref="I19" location="'Tab 53'!A1" display="Gebäudedaten Nichtwohngebäude GHD-Sektor" xr:uid="{4EDB90C5-35E0-4383-BD88-0F59F2FAFEF3}"/>
    <hyperlink ref="I20" location="'Tab 54'!A1" display="Gebäudedaten Nichtwohngebäude Industrie" xr:uid="{7FB23FBD-A4A3-42E3-8883-ABB1468CB2CF}"/>
    <hyperlink ref="I21" location="'Tab 55'!A1" display="Gebäudedaten Wohngebäude EZFH" xr:uid="{9BB6C541-6864-438E-A306-241C6330C036}"/>
    <hyperlink ref="I22" location="'Tab 56'!A1" display="Gebäudedaten Wohngebäude MFH" xr:uid="{6AF1B3A7-DA4D-4F34-A906-26F930C4C297}"/>
  </hyperlink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33970-830A-4055-8E59-56A78BF88347}">
  <sheetPr codeName="Tabelle3"/>
  <dimension ref="A1:R60"/>
  <sheetViews>
    <sheetView zoomScale="85" zoomScaleNormal="85" workbookViewId="0">
      <selection activeCell="G10" sqref="G10"/>
    </sheetView>
  </sheetViews>
  <sheetFormatPr baseColWidth="10" defaultColWidth="11.44140625" defaultRowHeight="14.4"/>
  <cols>
    <col min="1" max="1" width="14.44140625" customWidth="1"/>
    <col min="2" max="2" width="24.44140625" bestFit="1" customWidth="1"/>
    <col min="3" max="3" width="40.109375" customWidth="1"/>
    <col min="5" max="11" width="11.44140625" customWidth="1"/>
    <col min="14" max="14" width="20.109375" customWidth="1"/>
    <col min="15" max="15" width="10.6640625" bestFit="1" customWidth="1"/>
  </cols>
  <sheetData>
    <row r="1" spans="1:16" ht="27.6">
      <c r="A1" s="99" t="s">
        <v>143</v>
      </c>
    </row>
    <row r="2" spans="1:16">
      <c r="B2" s="4" t="s">
        <v>144</v>
      </c>
      <c r="C2" s="4"/>
    </row>
    <row r="3" spans="1:16">
      <c r="B3" s="4" t="s">
        <v>145</v>
      </c>
      <c r="D3" s="4"/>
    </row>
    <row r="4" spans="1:16">
      <c r="B4" s="4"/>
      <c r="D4" s="4"/>
    </row>
    <row r="5" spans="1:16" ht="15" thickBot="1">
      <c r="B5" s="1" t="s">
        <v>146</v>
      </c>
      <c r="C5" s="6"/>
      <c r="D5" s="1">
        <v>2020</v>
      </c>
      <c r="E5" s="2">
        <v>2021</v>
      </c>
      <c r="F5" s="2">
        <v>2022</v>
      </c>
      <c r="G5" s="1">
        <v>2025</v>
      </c>
      <c r="H5" s="1">
        <v>2030</v>
      </c>
      <c r="I5" s="1">
        <v>2035</v>
      </c>
      <c r="J5" s="1">
        <v>2040</v>
      </c>
      <c r="K5" s="1">
        <v>2045</v>
      </c>
      <c r="L5" s="1">
        <v>2050</v>
      </c>
      <c r="M5" s="1"/>
      <c r="N5" s="1" t="s">
        <v>147</v>
      </c>
      <c r="O5" s="1" t="s">
        <v>148</v>
      </c>
    </row>
    <row r="6" spans="1:16" ht="15" thickBot="1">
      <c r="B6" s="3" t="s">
        <v>149</v>
      </c>
      <c r="C6" s="3" t="s">
        <v>150</v>
      </c>
      <c r="D6" s="13">
        <v>310</v>
      </c>
      <c r="E6" s="13">
        <v>310</v>
      </c>
      <c r="F6" s="13">
        <v>310</v>
      </c>
      <c r="G6" s="13">
        <v>310</v>
      </c>
      <c r="H6" s="13">
        <v>310</v>
      </c>
      <c r="I6" s="13">
        <v>310</v>
      </c>
      <c r="J6" s="13">
        <v>310</v>
      </c>
      <c r="K6" s="13">
        <v>310</v>
      </c>
      <c r="L6" s="13">
        <v>310</v>
      </c>
      <c r="M6" s="3"/>
      <c r="N6" s="3" t="s">
        <v>151</v>
      </c>
      <c r="O6" s="3"/>
    </row>
    <row r="7" spans="1:16" ht="15" thickBot="1">
      <c r="B7" s="3"/>
      <c r="C7" s="5" t="s">
        <v>152</v>
      </c>
      <c r="D7" s="13">
        <v>240</v>
      </c>
      <c r="E7" s="13">
        <v>240</v>
      </c>
      <c r="F7" s="13">
        <v>240</v>
      </c>
      <c r="G7" s="13">
        <v>240</v>
      </c>
      <c r="H7" s="13">
        <v>240</v>
      </c>
      <c r="I7" s="13">
        <v>240</v>
      </c>
      <c r="J7" s="13">
        <v>240</v>
      </c>
      <c r="K7" s="13">
        <v>240</v>
      </c>
      <c r="L7" s="13">
        <v>240</v>
      </c>
      <c r="M7" s="3"/>
      <c r="N7" s="3" t="s">
        <v>151</v>
      </c>
      <c r="O7" s="3"/>
      <c r="P7" s="12"/>
    </row>
    <row r="8" spans="1:16" ht="15" thickBot="1">
      <c r="B8" s="3"/>
      <c r="C8" s="5" t="s">
        <v>153</v>
      </c>
      <c r="D8" s="13">
        <v>430</v>
      </c>
      <c r="E8" s="13">
        <v>430</v>
      </c>
      <c r="F8" s="13">
        <v>430</v>
      </c>
      <c r="G8" s="13">
        <v>430</v>
      </c>
      <c r="H8" s="13">
        <v>430</v>
      </c>
      <c r="I8" s="13">
        <v>430</v>
      </c>
      <c r="J8" s="13">
        <v>430</v>
      </c>
      <c r="K8" s="13">
        <v>430</v>
      </c>
      <c r="L8" s="13">
        <v>430</v>
      </c>
      <c r="M8" s="3"/>
      <c r="N8" s="3" t="s">
        <v>151</v>
      </c>
      <c r="O8" s="3"/>
      <c r="P8" s="12"/>
    </row>
    <row r="9" spans="1:16" ht="15" thickBot="1">
      <c r="B9" s="3"/>
      <c r="C9" s="5" t="s">
        <v>154</v>
      </c>
      <c r="D9" s="13">
        <v>400</v>
      </c>
      <c r="E9" s="13">
        <v>400</v>
      </c>
      <c r="F9" s="13">
        <v>400</v>
      </c>
      <c r="G9" s="13">
        <v>400</v>
      </c>
      <c r="H9" s="13">
        <v>400</v>
      </c>
      <c r="I9" s="13">
        <v>400</v>
      </c>
      <c r="J9" s="13">
        <v>400</v>
      </c>
      <c r="K9" s="13">
        <v>400</v>
      </c>
      <c r="L9" s="13">
        <v>400</v>
      </c>
      <c r="M9" s="3"/>
      <c r="N9" s="3" t="s">
        <v>151</v>
      </c>
      <c r="O9" s="3"/>
    </row>
    <row r="10" spans="1:16" ht="15" thickBot="1">
      <c r="B10" s="5" t="s">
        <v>155</v>
      </c>
      <c r="C10" s="5" t="s">
        <v>156</v>
      </c>
      <c r="D10" s="26">
        <v>20</v>
      </c>
      <c r="E10" s="26">
        <v>20</v>
      </c>
      <c r="F10" s="26">
        <v>20</v>
      </c>
      <c r="G10" s="26">
        <v>20</v>
      </c>
      <c r="H10" s="26">
        <v>20</v>
      </c>
      <c r="I10" s="26">
        <v>20</v>
      </c>
      <c r="J10" s="26">
        <v>20</v>
      </c>
      <c r="K10" s="26">
        <v>20</v>
      </c>
      <c r="L10" s="26">
        <v>20</v>
      </c>
      <c r="M10" s="3"/>
      <c r="N10" s="3" t="s">
        <v>151</v>
      </c>
      <c r="O10" s="3" t="s">
        <v>157</v>
      </c>
    </row>
    <row r="11" spans="1:16" ht="15" thickBot="1">
      <c r="B11" s="5"/>
      <c r="C11" s="5" t="s">
        <v>158</v>
      </c>
      <c r="D11" s="26">
        <v>140</v>
      </c>
      <c r="E11" s="26">
        <v>140</v>
      </c>
      <c r="F11" s="26">
        <v>139</v>
      </c>
      <c r="G11" s="26">
        <v>137</v>
      </c>
      <c r="H11" s="26">
        <v>133</v>
      </c>
      <c r="I11" s="26">
        <v>130</v>
      </c>
      <c r="J11" s="26">
        <v>126</v>
      </c>
      <c r="K11" s="26">
        <v>123</v>
      </c>
      <c r="L11" s="26">
        <v>120</v>
      </c>
      <c r="M11" s="3"/>
      <c r="N11" s="3" t="s">
        <v>159</v>
      </c>
      <c r="O11" s="3"/>
    </row>
    <row r="12" spans="1:16" ht="15" thickBot="1">
      <c r="B12" s="5" t="s">
        <v>160</v>
      </c>
      <c r="C12" s="5" t="s">
        <v>161</v>
      </c>
      <c r="D12" s="26">
        <v>0</v>
      </c>
      <c r="E12" s="26">
        <v>0</v>
      </c>
      <c r="F12" s="26">
        <v>0</v>
      </c>
      <c r="G12" s="26">
        <v>0</v>
      </c>
      <c r="H12" s="26">
        <v>0</v>
      </c>
      <c r="I12" s="26">
        <v>0</v>
      </c>
      <c r="J12" s="26">
        <v>0</v>
      </c>
      <c r="K12" s="26">
        <v>0</v>
      </c>
      <c r="L12" s="26">
        <v>0</v>
      </c>
      <c r="M12" s="3"/>
      <c r="N12" s="3" t="s">
        <v>151</v>
      </c>
      <c r="O12" s="3"/>
    </row>
    <row r="13" spans="1:16" ht="15" thickBot="1">
      <c r="B13" s="5"/>
      <c r="C13" s="5" t="s">
        <v>162</v>
      </c>
      <c r="D13" s="26">
        <v>0</v>
      </c>
      <c r="E13" s="26">
        <v>0</v>
      </c>
      <c r="F13" s="26">
        <v>0</v>
      </c>
      <c r="G13" s="26">
        <v>0</v>
      </c>
      <c r="H13" s="26">
        <v>0</v>
      </c>
      <c r="I13" s="26">
        <v>0</v>
      </c>
      <c r="J13" s="26">
        <v>0</v>
      </c>
      <c r="K13" s="26">
        <v>0</v>
      </c>
      <c r="L13" s="26">
        <v>0</v>
      </c>
      <c r="M13" s="3"/>
      <c r="N13" s="3" t="s">
        <v>151</v>
      </c>
      <c r="O13" s="3"/>
    </row>
    <row r="14" spans="1:16" ht="15" thickBot="1">
      <c r="B14" s="5"/>
      <c r="C14" s="5" t="s">
        <v>163</v>
      </c>
      <c r="D14" s="26">
        <v>20</v>
      </c>
      <c r="E14" s="26">
        <v>20</v>
      </c>
      <c r="F14" s="26">
        <v>20</v>
      </c>
      <c r="G14" s="26">
        <v>20</v>
      </c>
      <c r="H14" s="26">
        <v>20</v>
      </c>
      <c r="I14" s="26">
        <v>20</v>
      </c>
      <c r="J14" s="26">
        <v>20</v>
      </c>
      <c r="K14" s="26">
        <v>20</v>
      </c>
      <c r="L14" s="26">
        <v>20</v>
      </c>
      <c r="M14" s="3"/>
      <c r="N14" s="3" t="s">
        <v>151</v>
      </c>
      <c r="O14" s="3"/>
    </row>
    <row r="15" spans="1:16" ht="15" thickBot="1">
      <c r="B15" s="5"/>
      <c r="C15" s="5" t="s">
        <v>164</v>
      </c>
      <c r="D15" s="26">
        <v>40</v>
      </c>
      <c r="E15" s="26">
        <v>40</v>
      </c>
      <c r="F15" s="26">
        <v>40</v>
      </c>
      <c r="G15" s="26">
        <v>39</v>
      </c>
      <c r="H15" s="26">
        <v>38</v>
      </c>
      <c r="I15" s="26">
        <v>37</v>
      </c>
      <c r="J15" s="26">
        <v>36</v>
      </c>
      <c r="K15" s="26">
        <v>35</v>
      </c>
      <c r="L15" s="26">
        <v>34</v>
      </c>
      <c r="M15" s="3"/>
      <c r="N15" s="3" t="s">
        <v>159</v>
      </c>
      <c r="O15" s="3"/>
    </row>
    <row r="16" spans="1:16" ht="15" thickBot="1">
      <c r="B16" s="3" t="s">
        <v>165</v>
      </c>
      <c r="C16" s="3"/>
      <c r="D16" s="13">
        <v>424</v>
      </c>
      <c r="E16" s="13">
        <v>472</v>
      </c>
      <c r="F16" s="13">
        <v>499</v>
      </c>
      <c r="G16" s="26">
        <v>260</v>
      </c>
      <c r="H16" s="26">
        <v>110</v>
      </c>
      <c r="I16" s="26">
        <v>45</v>
      </c>
      <c r="J16" s="26">
        <v>25</v>
      </c>
      <c r="K16" s="26">
        <v>15</v>
      </c>
      <c r="L16" s="13">
        <v>15</v>
      </c>
      <c r="M16" s="3"/>
      <c r="N16" s="3" t="s">
        <v>166</v>
      </c>
      <c r="O16" s="3"/>
    </row>
    <row r="17" spans="2:18" ht="15" thickBot="1">
      <c r="B17" s="136" t="s">
        <v>167</v>
      </c>
      <c r="C17" s="3" t="s">
        <v>168</v>
      </c>
      <c r="D17" s="27" t="s">
        <v>169</v>
      </c>
      <c r="E17" s="1"/>
      <c r="F17" s="1"/>
      <c r="G17" s="1"/>
      <c r="H17" s="13">
        <v>43</v>
      </c>
      <c r="I17" s="13">
        <v>35</v>
      </c>
      <c r="J17" s="13">
        <v>28</v>
      </c>
      <c r="K17" s="13">
        <v>20</v>
      </c>
      <c r="L17" s="13">
        <v>13</v>
      </c>
      <c r="M17" s="3"/>
      <c r="N17" s="3"/>
      <c r="O17" s="3" t="s">
        <v>170</v>
      </c>
    </row>
    <row r="18" spans="2:18" ht="15" thickBot="1">
      <c r="B18" s="137"/>
      <c r="C18" s="3" t="s">
        <v>171</v>
      </c>
      <c r="D18" s="28"/>
      <c r="E18" s="1"/>
      <c r="F18" s="1"/>
      <c r="G18" s="1"/>
      <c r="H18" s="13">
        <v>55</v>
      </c>
      <c r="I18" s="13"/>
      <c r="J18" s="13"/>
      <c r="K18" s="13"/>
      <c r="L18" s="13">
        <v>20</v>
      </c>
      <c r="M18" s="3"/>
      <c r="N18" s="3" t="s">
        <v>172</v>
      </c>
      <c r="O18" s="3" t="s">
        <v>173</v>
      </c>
    </row>
    <row r="19" spans="2:18" ht="15" thickBot="1">
      <c r="B19" s="138"/>
      <c r="C19" s="3" t="s">
        <v>174</v>
      </c>
      <c r="D19" s="28"/>
      <c r="E19" s="1"/>
      <c r="F19" s="1"/>
      <c r="G19" s="1"/>
      <c r="H19" s="13">
        <v>30</v>
      </c>
      <c r="I19" s="13"/>
      <c r="J19" s="13"/>
      <c r="K19" s="13"/>
      <c r="L19" s="13">
        <v>5</v>
      </c>
      <c r="M19" s="3"/>
      <c r="N19" s="3" t="s">
        <v>175</v>
      </c>
      <c r="O19" s="3"/>
    </row>
    <row r="20" spans="2:18" ht="15" thickBot="1">
      <c r="B20" s="136" t="s">
        <v>176</v>
      </c>
      <c r="C20" s="3" t="s">
        <v>168</v>
      </c>
      <c r="D20" s="27" t="s">
        <v>169</v>
      </c>
      <c r="E20" s="1"/>
      <c r="F20" s="1"/>
      <c r="G20" s="1"/>
      <c r="H20" s="13">
        <v>90</v>
      </c>
      <c r="I20" s="13">
        <v>88</v>
      </c>
      <c r="J20" s="13">
        <v>86</v>
      </c>
      <c r="K20" s="13">
        <v>84</v>
      </c>
      <c r="L20" s="13">
        <v>83</v>
      </c>
      <c r="M20" s="3"/>
      <c r="N20" s="3"/>
      <c r="O20" s="3" t="s">
        <v>177</v>
      </c>
    </row>
    <row r="21" spans="2:18" ht="15" thickBot="1">
      <c r="B21" s="137"/>
      <c r="C21" s="3" t="s">
        <v>171</v>
      </c>
      <c r="D21" s="1"/>
      <c r="E21" s="1"/>
      <c r="F21" s="1"/>
      <c r="G21" s="1"/>
      <c r="H21" s="13">
        <v>90</v>
      </c>
      <c r="I21" s="13">
        <v>90</v>
      </c>
      <c r="J21" s="13">
        <v>90</v>
      </c>
      <c r="K21" s="13">
        <v>90</v>
      </c>
      <c r="L21" s="13">
        <v>90</v>
      </c>
      <c r="M21" s="3"/>
      <c r="N21" s="3" t="s">
        <v>178</v>
      </c>
      <c r="O21" s="3"/>
    </row>
    <row r="22" spans="2:18" ht="15" thickBot="1">
      <c r="B22" s="138"/>
      <c r="C22" s="3" t="s">
        <v>174</v>
      </c>
      <c r="D22" s="1"/>
      <c r="E22" s="1"/>
      <c r="F22" s="1"/>
      <c r="G22" s="1"/>
      <c r="H22" s="3">
        <v>90</v>
      </c>
      <c r="I22" s="3"/>
      <c r="J22" s="13">
        <v>83</v>
      </c>
      <c r="K22" s="3"/>
      <c r="L22" s="3">
        <v>75</v>
      </c>
      <c r="M22" s="3"/>
      <c r="N22" s="3" t="s">
        <v>179</v>
      </c>
      <c r="O22" s="3" t="s">
        <v>177</v>
      </c>
    </row>
    <row r="23" spans="2:18" ht="15" thickBot="1">
      <c r="B23" s="3" t="s">
        <v>180</v>
      </c>
      <c r="C23" s="3" t="s">
        <v>168</v>
      </c>
      <c r="D23" s="13">
        <v>325</v>
      </c>
      <c r="E23" s="13">
        <v>325</v>
      </c>
      <c r="F23" s="13">
        <v>325</v>
      </c>
      <c r="G23" s="13">
        <v>325</v>
      </c>
      <c r="H23" s="13">
        <v>325</v>
      </c>
      <c r="I23" s="13">
        <v>325</v>
      </c>
      <c r="J23" s="13">
        <v>325</v>
      </c>
      <c r="K23" s="13">
        <v>325</v>
      </c>
      <c r="L23" s="13">
        <v>325</v>
      </c>
      <c r="M23" s="3"/>
      <c r="N23" s="3" t="s">
        <v>181</v>
      </c>
      <c r="O23" s="3" t="s">
        <v>182</v>
      </c>
    </row>
    <row r="25" spans="2:18">
      <c r="B25" s="4" t="s">
        <v>147</v>
      </c>
      <c r="D25" s="11"/>
      <c r="E25" s="11"/>
      <c r="F25" s="11"/>
      <c r="G25" s="11"/>
      <c r="H25" s="11"/>
      <c r="I25" s="11"/>
      <c r="J25" s="11"/>
    </row>
    <row r="26" spans="2:18">
      <c r="B26" s="12" t="s">
        <v>151</v>
      </c>
      <c r="C26" s="12" t="s">
        <v>183</v>
      </c>
    </row>
    <row r="27" spans="2:18">
      <c r="B27" s="12" t="s">
        <v>184</v>
      </c>
      <c r="C27" s="12" t="s">
        <v>185</v>
      </c>
    </row>
    <row r="28" spans="2:18">
      <c r="B28" s="12" t="s">
        <v>186</v>
      </c>
      <c r="C28" s="12" t="s">
        <v>187</v>
      </c>
    </row>
    <row r="29" spans="2:18">
      <c r="B29" s="12" t="s">
        <v>188</v>
      </c>
      <c r="C29" s="12" t="s">
        <v>189</v>
      </c>
    </row>
    <row r="30" spans="2:18">
      <c r="B30" s="12" t="s">
        <v>190</v>
      </c>
      <c r="C30" s="12" t="s">
        <v>191</v>
      </c>
    </row>
    <row r="31" spans="2:18">
      <c r="B31" s="12" t="s">
        <v>192</v>
      </c>
      <c r="C31" s="12" t="s">
        <v>193</v>
      </c>
    </row>
    <row r="32" spans="2:18">
      <c r="B32" s="12" t="s">
        <v>172</v>
      </c>
      <c r="C32" s="12" t="s">
        <v>194</v>
      </c>
      <c r="L32" s="14"/>
      <c r="M32" s="15"/>
      <c r="N32" s="16"/>
      <c r="O32" s="16"/>
      <c r="P32" s="16"/>
      <c r="Q32" s="16"/>
      <c r="R32" s="15"/>
    </row>
    <row r="33" spans="2:18">
      <c r="B33" s="12" t="s">
        <v>179</v>
      </c>
      <c r="C33" s="12" t="s">
        <v>195</v>
      </c>
      <c r="L33" s="7"/>
      <c r="M33" s="17"/>
      <c r="N33" s="18"/>
      <c r="O33" s="18"/>
      <c r="P33" s="18"/>
      <c r="Q33" s="18"/>
      <c r="R33" s="19"/>
    </row>
    <row r="34" spans="2:18">
      <c r="B34" s="12" t="s">
        <v>196</v>
      </c>
      <c r="C34" s="12" t="s">
        <v>197</v>
      </c>
      <c r="L34" s="7"/>
      <c r="M34" s="17"/>
      <c r="N34" s="7"/>
      <c r="O34" s="20"/>
      <c r="P34" s="20"/>
      <c r="Q34" s="20"/>
      <c r="R34" s="7"/>
    </row>
    <row r="35" spans="2:18">
      <c r="B35" s="12" t="s">
        <v>198</v>
      </c>
      <c r="C35" s="12" t="s">
        <v>199</v>
      </c>
      <c r="L35" s="16"/>
      <c r="M35" s="17"/>
      <c r="N35" s="7"/>
      <c r="O35" s="8"/>
      <c r="P35" s="16"/>
      <c r="Q35" s="8"/>
      <c r="R35" s="7"/>
    </row>
    <row r="36" spans="2:18">
      <c r="B36" s="12" t="s">
        <v>200</v>
      </c>
      <c r="C36" s="12" t="s">
        <v>201</v>
      </c>
      <c r="L36" s="16"/>
      <c r="M36" s="17"/>
      <c r="N36" s="7"/>
      <c r="O36" s="8"/>
      <c r="P36" s="16"/>
      <c r="Q36" s="8"/>
      <c r="R36" s="17"/>
    </row>
    <row r="37" spans="2:18">
      <c r="L37" s="21"/>
      <c r="M37" s="22"/>
      <c r="N37" s="21"/>
      <c r="O37" s="23"/>
      <c r="P37" s="23"/>
      <c r="Q37" s="23"/>
      <c r="R37" s="17"/>
    </row>
    <row r="38" spans="2:18">
      <c r="B38" s="4" t="s">
        <v>202</v>
      </c>
      <c r="L38" s="16"/>
      <c r="M38" s="17"/>
      <c r="N38" s="7"/>
      <c r="O38" s="20"/>
      <c r="P38" s="20"/>
      <c r="Q38" s="20"/>
      <c r="R38" s="17"/>
    </row>
    <row r="39" spans="2:18">
      <c r="B39" s="12" t="s">
        <v>203</v>
      </c>
      <c r="C39" s="12" t="s">
        <v>204</v>
      </c>
      <c r="L39" s="139"/>
      <c r="M39" s="135"/>
      <c r="N39" s="140"/>
      <c r="O39" s="141"/>
      <c r="P39" s="141"/>
      <c r="Q39" s="141"/>
      <c r="R39" s="135"/>
    </row>
    <row r="40" spans="2:18">
      <c r="B40" s="12" t="s">
        <v>205</v>
      </c>
      <c r="C40" s="12" t="s">
        <v>206</v>
      </c>
      <c r="L40" s="139"/>
      <c r="M40" s="135"/>
      <c r="N40" s="140"/>
      <c r="O40" s="141"/>
      <c r="P40" s="141"/>
      <c r="Q40" s="141"/>
      <c r="R40" s="135"/>
    </row>
    <row r="41" spans="2:18">
      <c r="B41" s="12" t="s">
        <v>177</v>
      </c>
      <c r="C41" s="12" t="s">
        <v>207</v>
      </c>
      <c r="L41" s="24"/>
      <c r="M41" s="25"/>
      <c r="N41" s="20"/>
      <c r="O41" s="20"/>
      <c r="P41" s="20"/>
      <c r="Q41" s="20"/>
      <c r="R41" s="17"/>
    </row>
    <row r="42" spans="2:18">
      <c r="B42" s="12" t="s">
        <v>173</v>
      </c>
      <c r="C42" s="12" t="s">
        <v>208</v>
      </c>
      <c r="L42" s="16"/>
      <c r="M42" s="17"/>
      <c r="N42" s="8"/>
      <c r="O42" s="8"/>
      <c r="P42" s="8"/>
      <c r="Q42" s="8"/>
      <c r="R42" s="17"/>
    </row>
    <row r="43" spans="2:18">
      <c r="B43" s="12" t="s">
        <v>209</v>
      </c>
      <c r="C43" s="12" t="s">
        <v>210</v>
      </c>
      <c r="L43" s="16"/>
      <c r="M43" s="17"/>
      <c r="N43" s="8"/>
      <c r="O43" s="8"/>
      <c r="P43" s="8"/>
      <c r="Q43" s="8"/>
      <c r="R43" s="7"/>
    </row>
    <row r="44" spans="2:18">
      <c r="B44" s="12" t="s">
        <v>182</v>
      </c>
      <c r="C44" s="12" t="s">
        <v>211</v>
      </c>
    </row>
    <row r="50" spans="2:9">
      <c r="B50" s="9"/>
      <c r="C50" s="10"/>
      <c r="D50" s="10"/>
      <c r="E50" s="10"/>
      <c r="F50" s="10"/>
      <c r="G50" s="10"/>
      <c r="H50" s="10"/>
      <c r="I50" s="10"/>
    </row>
    <row r="51" spans="2:9">
      <c r="B51" s="9"/>
      <c r="C51" s="10"/>
      <c r="D51" s="10"/>
      <c r="E51" s="10"/>
      <c r="F51" s="10"/>
      <c r="G51" s="10"/>
      <c r="H51" s="10"/>
      <c r="I51" s="10"/>
    </row>
    <row r="52" spans="2:9">
      <c r="B52" s="9"/>
      <c r="C52" s="10"/>
      <c r="D52" s="10"/>
      <c r="E52" s="10"/>
      <c r="F52" s="10"/>
      <c r="G52" s="10"/>
      <c r="H52" s="10"/>
      <c r="I52" s="10"/>
    </row>
    <row r="53" spans="2:9">
      <c r="B53" s="9"/>
      <c r="C53" s="10"/>
      <c r="D53" s="10"/>
      <c r="E53" s="10"/>
      <c r="F53" s="10"/>
      <c r="G53" s="10"/>
      <c r="H53" s="10"/>
      <c r="I53" s="10"/>
    </row>
    <row r="54" spans="2:9">
      <c r="B54" s="9"/>
      <c r="C54" s="10"/>
      <c r="D54" s="10"/>
      <c r="E54" s="10"/>
      <c r="F54" s="10"/>
      <c r="G54" s="10"/>
      <c r="H54" s="10"/>
      <c r="I54" s="10"/>
    </row>
    <row r="55" spans="2:9">
      <c r="B55" s="9"/>
      <c r="C55" s="10"/>
      <c r="D55" s="10"/>
      <c r="E55" s="10"/>
      <c r="F55" s="10"/>
      <c r="G55" s="10"/>
      <c r="H55" s="10"/>
      <c r="I55" s="10"/>
    </row>
    <row r="56" spans="2:9">
      <c r="B56" s="9"/>
      <c r="C56" s="10"/>
      <c r="D56" s="10"/>
      <c r="E56" s="10"/>
      <c r="F56" s="10"/>
      <c r="G56" s="10"/>
      <c r="H56" s="10"/>
      <c r="I56" s="10"/>
    </row>
    <row r="57" spans="2:9">
      <c r="B57" s="9"/>
      <c r="C57" s="10"/>
      <c r="D57" s="10"/>
      <c r="E57" s="10"/>
      <c r="F57" s="10"/>
      <c r="G57" s="10"/>
      <c r="H57" s="10"/>
      <c r="I57" s="10"/>
    </row>
    <row r="58" spans="2:9">
      <c r="B58" s="9"/>
      <c r="C58" s="10"/>
      <c r="D58" s="10"/>
      <c r="E58" s="10"/>
      <c r="F58" s="10"/>
      <c r="G58" s="10"/>
      <c r="H58" s="10"/>
      <c r="I58" s="10"/>
    </row>
    <row r="59" spans="2:9">
      <c r="B59" s="9"/>
      <c r="C59" s="10"/>
      <c r="D59" s="10"/>
      <c r="E59" s="10"/>
      <c r="F59" s="10"/>
      <c r="G59" s="10"/>
      <c r="H59" s="10"/>
      <c r="I59" s="10"/>
    </row>
    <row r="60" spans="2:9">
      <c r="B60" s="9"/>
      <c r="C60" s="10"/>
      <c r="D60" s="10"/>
      <c r="E60" s="10"/>
      <c r="F60" s="10"/>
      <c r="G60" s="10"/>
      <c r="H60" s="10"/>
      <c r="I60" s="10"/>
    </row>
  </sheetData>
  <mergeCells count="9">
    <mergeCell ref="R39:R40"/>
    <mergeCell ref="B17:B19"/>
    <mergeCell ref="B20:B22"/>
    <mergeCell ref="L39:L40"/>
    <mergeCell ref="M39:M40"/>
    <mergeCell ref="N39:N40"/>
    <mergeCell ref="O39:O40"/>
    <mergeCell ref="P39:P40"/>
    <mergeCell ref="Q39:Q40"/>
  </mergeCells>
  <phoneticPr fontId="7" type="noConversion"/>
  <hyperlinks>
    <hyperlink ref="A1" location="Inhalt!A1" display="Zum Inhalt" xr:uid="{B53C4E0C-2FA0-498F-B12B-C53914D6F742}"/>
  </hyperlinks>
  <pageMargins left="0.7" right="0.7" top="0.78740157499999996" bottom="0.78740157499999996"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22FC-6126-4A90-8FD7-743D3A7066FA}">
  <sheetPr codeName="Tabelle4"/>
  <dimension ref="A1:P68"/>
  <sheetViews>
    <sheetView zoomScaleNormal="100" workbookViewId="0">
      <selection activeCell="F18" sqref="F18"/>
    </sheetView>
  </sheetViews>
  <sheetFormatPr baseColWidth="10" defaultColWidth="11.44140625" defaultRowHeight="14.4"/>
  <cols>
    <col min="1" max="1" width="11" customWidth="1"/>
    <col min="2" max="2" width="35.33203125" bestFit="1" customWidth="1"/>
    <col min="3" max="3" width="12.33203125" bestFit="1" customWidth="1"/>
    <col min="13" max="13" width="12.6640625" customWidth="1"/>
  </cols>
  <sheetData>
    <row r="1" spans="1:16" ht="28.2" thickBot="1">
      <c r="A1" s="99" t="s">
        <v>143</v>
      </c>
    </row>
    <row r="2" spans="1:16" ht="19.2" customHeight="1">
      <c r="F2" s="142" t="s">
        <v>212</v>
      </c>
      <c r="G2" s="143"/>
      <c r="H2" s="143"/>
      <c r="I2" s="143"/>
      <c r="J2" s="143"/>
      <c r="K2" s="144"/>
    </row>
    <row r="3" spans="1:16" ht="18" customHeight="1" thickBot="1">
      <c r="B3" s="4" t="s">
        <v>213</v>
      </c>
      <c r="C3" s="4" t="s">
        <v>36</v>
      </c>
      <c r="F3" s="145"/>
      <c r="G3" s="146"/>
      <c r="H3" s="146"/>
      <c r="I3" s="146"/>
      <c r="J3" s="146"/>
      <c r="K3" s="147"/>
    </row>
    <row r="4" spans="1:16">
      <c r="B4" s="4" t="s">
        <v>214</v>
      </c>
      <c r="C4" s="4">
        <v>2023</v>
      </c>
    </row>
    <row r="5" spans="1:16" ht="15" thickBot="1">
      <c r="B5" s="1" t="s">
        <v>215</v>
      </c>
      <c r="C5" s="2" t="s">
        <v>216</v>
      </c>
      <c r="D5" s="1"/>
      <c r="E5" s="2"/>
      <c r="F5" s="1"/>
      <c r="G5" s="1"/>
      <c r="H5" s="1"/>
      <c r="I5" s="1" t="s">
        <v>217</v>
      </c>
      <c r="J5" s="1" t="s">
        <v>147</v>
      </c>
      <c r="K5" s="1" t="s">
        <v>148</v>
      </c>
      <c r="M5" s="4" t="s">
        <v>218</v>
      </c>
      <c r="N5" s="12" t="s">
        <v>219</v>
      </c>
    </row>
    <row r="6" spans="1:16" ht="15" thickBot="1">
      <c r="B6" s="3" t="s">
        <v>220</v>
      </c>
      <c r="C6" s="30" t="s">
        <v>221</v>
      </c>
      <c r="D6" s="3">
        <v>10</v>
      </c>
      <c r="E6" s="31">
        <v>20</v>
      </c>
      <c r="F6" s="3">
        <v>30</v>
      </c>
      <c r="G6" s="3">
        <v>60</v>
      </c>
      <c r="H6" s="3">
        <v>110</v>
      </c>
      <c r="I6" s="3"/>
      <c r="J6" s="3"/>
      <c r="K6" s="3"/>
      <c r="M6" s="4" t="s">
        <v>214</v>
      </c>
      <c r="N6" s="4">
        <v>2023</v>
      </c>
      <c r="O6" s="4">
        <v>2030</v>
      </c>
      <c r="P6" s="4">
        <v>2040</v>
      </c>
    </row>
    <row r="7" spans="1:16" ht="15" thickBot="1">
      <c r="B7" s="3" t="s">
        <v>222</v>
      </c>
      <c r="C7" s="5" t="s">
        <v>223</v>
      </c>
      <c r="D7" s="3">
        <v>90</v>
      </c>
      <c r="E7" s="32">
        <v>90</v>
      </c>
      <c r="F7" s="3">
        <v>81</v>
      </c>
      <c r="G7" s="3">
        <v>81</v>
      </c>
      <c r="H7" s="3">
        <v>81</v>
      </c>
      <c r="I7" s="33"/>
      <c r="J7" s="3" t="s">
        <v>151</v>
      </c>
      <c r="K7" s="3" t="s">
        <v>224</v>
      </c>
      <c r="M7" s="12" t="s">
        <v>225</v>
      </c>
      <c r="N7" s="12">
        <v>4779</v>
      </c>
      <c r="O7" s="12">
        <v>4779</v>
      </c>
      <c r="P7" s="12">
        <v>4779</v>
      </c>
    </row>
    <row r="8" spans="1:16" ht="15" thickBot="1">
      <c r="B8" s="3" t="s">
        <v>226</v>
      </c>
      <c r="C8" s="5" t="s">
        <v>227</v>
      </c>
      <c r="D8" s="3">
        <v>20</v>
      </c>
      <c r="E8" s="3">
        <v>20</v>
      </c>
      <c r="F8" s="3">
        <v>20</v>
      </c>
      <c r="G8" s="3">
        <v>20</v>
      </c>
      <c r="H8" s="3">
        <v>20</v>
      </c>
      <c r="I8" s="3"/>
      <c r="J8" s="3" t="s">
        <v>172</v>
      </c>
      <c r="K8" s="3"/>
      <c r="M8" s="12" t="s">
        <v>228</v>
      </c>
      <c r="N8" s="12">
        <v>-0.52300000000000002</v>
      </c>
      <c r="O8" s="12">
        <v>-0.52300000000000002</v>
      </c>
      <c r="P8" s="12">
        <v>-0.52300000000000002</v>
      </c>
    </row>
    <row r="9" spans="1:16" ht="15" thickBot="1">
      <c r="B9" s="1" t="s">
        <v>229</v>
      </c>
      <c r="C9" s="2" t="s">
        <v>216</v>
      </c>
      <c r="D9" s="1"/>
      <c r="E9" s="1"/>
      <c r="F9" s="1"/>
      <c r="G9" s="1"/>
      <c r="H9" s="1"/>
      <c r="I9" s="1"/>
      <c r="J9" s="1"/>
      <c r="K9" s="1"/>
    </row>
    <row r="10" spans="1:16" ht="15" thickBot="1">
      <c r="B10" s="3" t="s">
        <v>230</v>
      </c>
      <c r="C10" s="3" t="s">
        <v>231</v>
      </c>
      <c r="D10" s="34">
        <v>1428</v>
      </c>
      <c r="E10" s="34">
        <v>1014</v>
      </c>
      <c r="F10" s="34">
        <v>801</v>
      </c>
      <c r="G10" s="34">
        <v>552</v>
      </c>
      <c r="H10" s="34">
        <v>414</v>
      </c>
      <c r="I10" s="35">
        <v>0.15</v>
      </c>
      <c r="J10" s="3" t="s">
        <v>232</v>
      </c>
      <c r="K10" s="3" t="s">
        <v>233</v>
      </c>
      <c r="M10" s="4" t="s">
        <v>234</v>
      </c>
      <c r="N10" s="12" t="s">
        <v>235</v>
      </c>
    </row>
    <row r="11" spans="1:16" ht="15" thickBot="1">
      <c r="B11" s="36" t="s">
        <v>236</v>
      </c>
      <c r="C11" s="3" t="s">
        <v>223</v>
      </c>
      <c r="D11" s="3">
        <v>60</v>
      </c>
      <c r="E11" s="3">
        <v>60</v>
      </c>
      <c r="F11" s="3">
        <v>60</v>
      </c>
      <c r="G11" s="3">
        <v>60</v>
      </c>
      <c r="H11" s="3">
        <v>60</v>
      </c>
      <c r="I11" s="3"/>
      <c r="J11" s="3"/>
      <c r="K11" s="3"/>
    </row>
    <row r="12" spans="1:16" ht="15" thickBot="1">
      <c r="B12" s="36" t="s">
        <v>237</v>
      </c>
      <c r="C12" s="3" t="s">
        <v>223</v>
      </c>
      <c r="D12" s="3">
        <v>40</v>
      </c>
      <c r="E12" s="3">
        <v>40</v>
      </c>
      <c r="F12" s="3">
        <v>40</v>
      </c>
      <c r="G12" s="3">
        <v>40</v>
      </c>
      <c r="H12" s="3">
        <v>40</v>
      </c>
      <c r="I12" s="3"/>
      <c r="J12" s="3"/>
      <c r="K12" s="3"/>
      <c r="M12" s="4" t="s">
        <v>148</v>
      </c>
    </row>
    <row r="13" spans="1:16" ht="15" thickBot="1">
      <c r="B13" s="30" t="s">
        <v>238</v>
      </c>
      <c r="C13" s="3" t="s">
        <v>239</v>
      </c>
      <c r="D13" s="34">
        <v>14300</v>
      </c>
      <c r="E13" s="34">
        <v>20300</v>
      </c>
      <c r="F13" s="34">
        <v>24000</v>
      </c>
      <c r="G13" s="34">
        <v>33100</v>
      </c>
      <c r="H13" s="34">
        <v>45500</v>
      </c>
      <c r="I13" s="35">
        <v>0.15</v>
      </c>
      <c r="J13" s="3"/>
      <c r="K13" s="3"/>
      <c r="M13" s="12" t="s">
        <v>240</v>
      </c>
      <c r="N13" s="12" t="s">
        <v>241</v>
      </c>
    </row>
    <row r="14" spans="1:16" ht="15" thickBot="1">
      <c r="B14" s="3" t="s">
        <v>242</v>
      </c>
      <c r="C14" s="3" t="s">
        <v>231</v>
      </c>
      <c r="D14" s="13">
        <v>86</v>
      </c>
      <c r="E14" s="13">
        <v>61</v>
      </c>
      <c r="F14" s="13">
        <v>48</v>
      </c>
      <c r="G14" s="13">
        <v>33</v>
      </c>
      <c r="H14" s="13">
        <v>25</v>
      </c>
      <c r="I14" s="3"/>
      <c r="J14" s="3" t="s">
        <v>172</v>
      </c>
      <c r="K14" s="3" t="s">
        <v>243</v>
      </c>
      <c r="M14" s="12" t="s">
        <v>244</v>
      </c>
      <c r="N14" s="12" t="s">
        <v>245</v>
      </c>
    </row>
    <row r="15" spans="1:16" ht="15" thickBot="1">
      <c r="B15" s="1" t="s">
        <v>246</v>
      </c>
      <c r="C15" s="2" t="s">
        <v>216</v>
      </c>
      <c r="D15" s="1"/>
      <c r="E15" s="1"/>
      <c r="F15" s="1"/>
      <c r="G15" s="1"/>
      <c r="H15" s="1"/>
      <c r="I15" s="1"/>
      <c r="J15" s="1"/>
      <c r="K15" s="1"/>
      <c r="M15" s="12" t="s">
        <v>224</v>
      </c>
      <c r="N15" s="12" t="s">
        <v>247</v>
      </c>
    </row>
    <row r="16" spans="1:16" ht="15" thickBot="1">
      <c r="B16" s="3" t="s">
        <v>248</v>
      </c>
      <c r="C16" s="3" t="s">
        <v>231</v>
      </c>
      <c r="D16" s="34">
        <v>162</v>
      </c>
      <c r="E16" s="34">
        <v>131</v>
      </c>
      <c r="F16" s="34">
        <v>115</v>
      </c>
      <c r="G16" s="34">
        <v>93</v>
      </c>
      <c r="H16" s="34">
        <v>77</v>
      </c>
      <c r="I16" s="13"/>
      <c r="J16" s="13" t="s">
        <v>192</v>
      </c>
      <c r="K16" s="13" t="s">
        <v>249</v>
      </c>
      <c r="M16" s="12" t="s">
        <v>250</v>
      </c>
      <c r="N16" s="12" t="s">
        <v>251</v>
      </c>
    </row>
    <row r="17" spans="2:14" ht="15" thickBot="1">
      <c r="B17" s="3" t="s">
        <v>248</v>
      </c>
      <c r="C17" s="3" t="s">
        <v>239</v>
      </c>
      <c r="D17" s="34">
        <v>1624</v>
      </c>
      <c r="E17" s="34">
        <v>2618</v>
      </c>
      <c r="F17" s="34">
        <v>3461</v>
      </c>
      <c r="G17" s="34">
        <v>5575</v>
      </c>
      <c r="H17" s="34">
        <v>8460</v>
      </c>
      <c r="I17" s="13"/>
      <c r="J17" s="13"/>
      <c r="K17" s="13"/>
      <c r="M17" s="12" t="s">
        <v>252</v>
      </c>
      <c r="N17" s="12" t="s">
        <v>253</v>
      </c>
    </row>
    <row r="18" spans="2:14" ht="15" thickBot="1">
      <c r="B18" s="3" t="s">
        <v>254</v>
      </c>
      <c r="C18" s="3" t="s">
        <v>231</v>
      </c>
      <c r="D18" s="34">
        <v>184</v>
      </c>
      <c r="E18" s="34">
        <v>111</v>
      </c>
      <c r="F18" s="34">
        <v>82</v>
      </c>
      <c r="G18" s="34">
        <v>49</v>
      </c>
      <c r="H18" s="34">
        <v>32</v>
      </c>
      <c r="I18" s="13"/>
      <c r="J18" s="13" t="s">
        <v>192</v>
      </c>
      <c r="K18" s="13"/>
      <c r="M18" s="12" t="s">
        <v>249</v>
      </c>
      <c r="N18" s="12" t="s">
        <v>255</v>
      </c>
    </row>
    <row r="19" spans="2:14" ht="15" thickBot="1">
      <c r="B19" s="3" t="s">
        <v>256</v>
      </c>
      <c r="C19" s="3" t="s">
        <v>231</v>
      </c>
      <c r="D19" s="34">
        <v>357</v>
      </c>
      <c r="E19" s="34">
        <v>253</v>
      </c>
      <c r="F19" s="34">
        <v>200</v>
      </c>
      <c r="G19" s="34">
        <v>138</v>
      </c>
      <c r="H19" s="34">
        <v>103</v>
      </c>
      <c r="I19" s="35">
        <v>0.15</v>
      </c>
      <c r="J19" s="13" t="s">
        <v>151</v>
      </c>
      <c r="K19" s="13" t="s">
        <v>244</v>
      </c>
      <c r="M19" s="12" t="s">
        <v>243</v>
      </c>
      <c r="N19" s="12" t="s">
        <v>257</v>
      </c>
    </row>
    <row r="20" spans="2:14" ht="15" thickBot="1">
      <c r="B20" s="3" t="s">
        <v>258</v>
      </c>
      <c r="C20" s="30" t="s">
        <v>239</v>
      </c>
      <c r="D20" s="34">
        <v>1025</v>
      </c>
      <c r="E20" s="34">
        <v>1726</v>
      </c>
      <c r="F20" s="34">
        <v>1726</v>
      </c>
      <c r="G20" s="34">
        <v>11445</v>
      </c>
      <c r="H20" s="34">
        <v>15260</v>
      </c>
      <c r="I20" s="3"/>
      <c r="J20" s="3" t="s">
        <v>151</v>
      </c>
      <c r="K20" s="3"/>
    </row>
    <row r="21" spans="2:14" ht="15" thickBot="1">
      <c r="B21" s="36" t="s">
        <v>259</v>
      </c>
      <c r="C21" s="30" t="s">
        <v>260</v>
      </c>
      <c r="D21" s="34">
        <v>500</v>
      </c>
      <c r="E21" s="34">
        <v>1000</v>
      </c>
      <c r="F21" s="34">
        <v>1000</v>
      </c>
      <c r="G21" s="34">
        <v>1500</v>
      </c>
      <c r="H21" s="34">
        <v>2000</v>
      </c>
      <c r="I21" s="3"/>
      <c r="J21" s="3"/>
      <c r="K21" s="3" t="s">
        <v>252</v>
      </c>
      <c r="M21" s="4" t="s">
        <v>147</v>
      </c>
    </row>
    <row r="22" spans="2:14" ht="15" thickBot="1">
      <c r="B22" s="36" t="s">
        <v>261</v>
      </c>
      <c r="C22" s="30" t="s">
        <v>262</v>
      </c>
      <c r="D22" s="37">
        <v>2</v>
      </c>
      <c r="E22" s="37">
        <v>1.7</v>
      </c>
      <c r="F22" s="37">
        <v>1.7</v>
      </c>
      <c r="G22" s="37">
        <v>7.6</v>
      </c>
      <c r="H22" s="37">
        <v>7.6</v>
      </c>
      <c r="I22" s="3"/>
      <c r="J22" s="3"/>
      <c r="K22" s="3"/>
      <c r="M22" s="12" t="s">
        <v>151</v>
      </c>
      <c r="N22" s="12" t="s">
        <v>185</v>
      </c>
    </row>
    <row r="23" spans="2:14" ht="15" thickBot="1">
      <c r="B23" s="38" t="s">
        <v>263</v>
      </c>
      <c r="C23" s="39" t="s">
        <v>239</v>
      </c>
      <c r="D23" s="40">
        <v>22400</v>
      </c>
      <c r="E23" s="40">
        <v>31900</v>
      </c>
      <c r="F23" s="40">
        <v>37700</v>
      </c>
      <c r="G23" s="40">
        <v>61400</v>
      </c>
      <c r="H23" s="40">
        <v>84100</v>
      </c>
      <c r="I23" s="35">
        <v>0.15</v>
      </c>
      <c r="J23" s="40"/>
      <c r="K23" s="40"/>
      <c r="M23" s="12" t="s">
        <v>184</v>
      </c>
      <c r="N23" s="12" t="s">
        <v>264</v>
      </c>
    </row>
    <row r="24" spans="2:14">
      <c r="B24" s="12"/>
      <c r="C24" s="12"/>
      <c r="D24" s="12"/>
      <c r="E24" s="12"/>
      <c r="F24" s="12"/>
      <c r="G24" s="12"/>
      <c r="H24" s="12"/>
      <c r="I24" s="12"/>
      <c r="J24" s="12"/>
      <c r="K24" s="12"/>
      <c r="M24" s="12" t="s">
        <v>186</v>
      </c>
      <c r="N24" s="12" t="s">
        <v>265</v>
      </c>
    </row>
    <row r="25" spans="2:14">
      <c r="M25" s="12" t="s">
        <v>188</v>
      </c>
      <c r="N25" s="12" t="s">
        <v>266</v>
      </c>
    </row>
    <row r="26" spans="2:14">
      <c r="M26" s="12" t="s">
        <v>192</v>
      </c>
      <c r="N26" s="12" t="s">
        <v>267</v>
      </c>
    </row>
    <row r="27" spans="2:14">
      <c r="B27" s="4" t="s">
        <v>214</v>
      </c>
      <c r="C27" s="4">
        <v>2030</v>
      </c>
      <c r="M27" s="12" t="s">
        <v>172</v>
      </c>
      <c r="N27" s="12" t="s">
        <v>268</v>
      </c>
    </row>
    <row r="28" spans="2:14" ht="15" thickBot="1">
      <c r="B28" s="1" t="s">
        <v>215</v>
      </c>
      <c r="C28" s="2" t="s">
        <v>216</v>
      </c>
      <c r="D28" s="1"/>
      <c r="E28" s="2"/>
      <c r="F28" s="1"/>
      <c r="G28" s="1"/>
      <c r="H28" s="1"/>
      <c r="I28" s="1"/>
      <c r="J28" s="1"/>
      <c r="K28" s="1"/>
    </row>
    <row r="29" spans="2:14" ht="15" thickBot="1">
      <c r="B29" s="3" t="s">
        <v>220</v>
      </c>
      <c r="C29" s="30" t="s">
        <v>221</v>
      </c>
      <c r="D29" s="3">
        <v>10</v>
      </c>
      <c r="E29" s="31">
        <v>20</v>
      </c>
      <c r="F29" s="3">
        <v>30</v>
      </c>
      <c r="G29" s="3">
        <v>60</v>
      </c>
      <c r="H29" s="3">
        <v>110</v>
      </c>
      <c r="I29" s="3"/>
      <c r="J29" s="3"/>
      <c r="K29" s="3"/>
    </row>
    <row r="30" spans="2:14" ht="15" thickBot="1">
      <c r="B30" s="3" t="s">
        <v>222</v>
      </c>
      <c r="C30" s="5" t="s">
        <v>223</v>
      </c>
      <c r="D30" s="13">
        <v>90</v>
      </c>
      <c r="E30" s="13">
        <v>90</v>
      </c>
      <c r="F30" s="13">
        <v>81</v>
      </c>
      <c r="G30" s="13">
        <v>81</v>
      </c>
      <c r="H30" s="13">
        <v>81</v>
      </c>
      <c r="I30" s="33"/>
      <c r="J30" s="3" t="s">
        <v>151</v>
      </c>
      <c r="K30" s="3" t="s">
        <v>269</v>
      </c>
    </row>
    <row r="31" spans="2:14" ht="15" thickBot="1">
      <c r="B31" s="3" t="s">
        <v>226</v>
      </c>
      <c r="C31" s="5" t="s">
        <v>227</v>
      </c>
      <c r="D31" s="3">
        <v>20</v>
      </c>
      <c r="E31" s="3">
        <v>20</v>
      </c>
      <c r="F31" s="3">
        <v>20</v>
      </c>
      <c r="G31" s="3">
        <v>20</v>
      </c>
      <c r="H31" s="3">
        <v>20</v>
      </c>
      <c r="I31" s="3"/>
      <c r="J31" s="3" t="s">
        <v>172</v>
      </c>
      <c r="K31" s="3"/>
    </row>
    <row r="32" spans="2:14" ht="15" thickBot="1">
      <c r="B32" s="1" t="s">
        <v>229</v>
      </c>
      <c r="C32" s="2" t="s">
        <v>216</v>
      </c>
      <c r="D32" s="1"/>
      <c r="E32" s="1"/>
      <c r="F32" s="1"/>
      <c r="G32" s="1"/>
      <c r="H32" s="1"/>
      <c r="I32" s="1"/>
      <c r="J32" s="1"/>
      <c r="K32" s="1"/>
    </row>
    <row r="33" spans="2:14" ht="15" thickBot="1">
      <c r="B33" s="3" t="s">
        <v>230</v>
      </c>
      <c r="C33" s="3" t="s">
        <v>231</v>
      </c>
      <c r="D33" s="34">
        <v>1428</v>
      </c>
      <c r="E33" s="34">
        <v>1014</v>
      </c>
      <c r="F33" s="34">
        <v>801</v>
      </c>
      <c r="G33" s="34">
        <v>552</v>
      </c>
      <c r="H33" s="34">
        <v>414</v>
      </c>
      <c r="I33" s="35">
        <v>0.2</v>
      </c>
      <c r="J33" s="3" t="s">
        <v>232</v>
      </c>
      <c r="K33" s="3" t="s">
        <v>270</v>
      </c>
    </row>
    <row r="34" spans="2:14" ht="15" thickBot="1">
      <c r="B34" s="36" t="s">
        <v>236</v>
      </c>
      <c r="C34" s="3" t="s">
        <v>223</v>
      </c>
      <c r="D34" s="3">
        <v>60</v>
      </c>
      <c r="E34" s="3">
        <v>60</v>
      </c>
      <c r="F34" s="3">
        <v>60</v>
      </c>
      <c r="G34" s="3">
        <v>60</v>
      </c>
      <c r="H34" s="3">
        <v>60</v>
      </c>
      <c r="I34" s="3"/>
      <c r="J34" s="3"/>
      <c r="K34" s="3"/>
    </row>
    <row r="35" spans="2:14" ht="15" thickBot="1">
      <c r="B35" s="36" t="s">
        <v>237</v>
      </c>
      <c r="C35" s="3" t="s">
        <v>223</v>
      </c>
      <c r="D35" s="3">
        <v>40</v>
      </c>
      <c r="E35" s="3">
        <v>40</v>
      </c>
      <c r="F35" s="3">
        <v>40</v>
      </c>
      <c r="G35" s="3">
        <v>40</v>
      </c>
      <c r="H35" s="3">
        <v>40</v>
      </c>
      <c r="I35" s="3"/>
      <c r="J35" s="3"/>
      <c r="K35" s="3"/>
      <c r="M35" s="4"/>
      <c r="N35" s="12"/>
    </row>
    <row r="36" spans="2:14" ht="15" thickBot="1">
      <c r="B36" s="30" t="s">
        <v>238</v>
      </c>
      <c r="C36" s="3" t="s">
        <v>239</v>
      </c>
      <c r="D36" s="34">
        <v>14300</v>
      </c>
      <c r="E36" s="34">
        <v>20300</v>
      </c>
      <c r="F36" s="34">
        <v>24000</v>
      </c>
      <c r="G36" s="34">
        <v>33100</v>
      </c>
      <c r="H36" s="34">
        <v>45500</v>
      </c>
      <c r="I36" s="35">
        <v>0.2</v>
      </c>
      <c r="J36" s="3"/>
      <c r="K36" s="3"/>
      <c r="M36" s="12"/>
      <c r="N36" s="12"/>
    </row>
    <row r="37" spans="2:14" ht="15" thickBot="1">
      <c r="B37" s="3" t="s">
        <v>242</v>
      </c>
      <c r="C37" s="3" t="s">
        <v>231</v>
      </c>
      <c r="D37" s="13">
        <v>86</v>
      </c>
      <c r="E37" s="13">
        <v>61</v>
      </c>
      <c r="F37" s="13">
        <v>48</v>
      </c>
      <c r="G37" s="13">
        <v>33</v>
      </c>
      <c r="H37" s="13">
        <v>25</v>
      </c>
      <c r="I37" s="3"/>
      <c r="J37" s="3" t="s">
        <v>172</v>
      </c>
      <c r="K37" s="3" t="s">
        <v>243</v>
      </c>
    </row>
    <row r="38" spans="2:14" ht="15" thickBot="1">
      <c r="B38" s="1" t="s">
        <v>246</v>
      </c>
      <c r="C38" s="2" t="s">
        <v>216</v>
      </c>
      <c r="D38" s="1"/>
      <c r="E38" s="1"/>
      <c r="F38" s="1"/>
      <c r="G38" s="1"/>
      <c r="H38" s="1"/>
      <c r="I38" s="1"/>
      <c r="J38" s="1"/>
      <c r="K38" s="1"/>
    </row>
    <row r="39" spans="2:14" ht="15" thickBot="1">
      <c r="B39" s="3" t="s">
        <v>248</v>
      </c>
      <c r="C39" s="3" t="s">
        <v>231</v>
      </c>
      <c r="D39" s="34">
        <v>162</v>
      </c>
      <c r="E39" s="34">
        <v>131</v>
      </c>
      <c r="F39" s="34">
        <v>115</v>
      </c>
      <c r="G39" s="34">
        <v>93</v>
      </c>
      <c r="H39" s="34">
        <v>77</v>
      </c>
      <c r="I39" s="13"/>
      <c r="J39" s="13" t="s">
        <v>192</v>
      </c>
      <c r="K39" s="13" t="s">
        <v>249</v>
      </c>
    </row>
    <row r="40" spans="2:14" ht="15" thickBot="1">
      <c r="B40" s="3" t="s">
        <v>248</v>
      </c>
      <c r="C40" s="3" t="s">
        <v>239</v>
      </c>
      <c r="D40" s="34">
        <v>1624</v>
      </c>
      <c r="E40" s="34">
        <v>2618</v>
      </c>
      <c r="F40" s="34">
        <v>3461</v>
      </c>
      <c r="G40" s="34">
        <v>5575</v>
      </c>
      <c r="H40" s="34">
        <v>8460</v>
      </c>
      <c r="I40" s="13"/>
      <c r="J40" s="13"/>
      <c r="K40" s="13"/>
    </row>
    <row r="41" spans="2:14" ht="15" thickBot="1">
      <c r="B41" s="3" t="s">
        <v>254</v>
      </c>
      <c r="C41" s="3" t="s">
        <v>231</v>
      </c>
      <c r="D41" s="34">
        <v>184</v>
      </c>
      <c r="E41" s="34">
        <v>111</v>
      </c>
      <c r="F41" s="34">
        <v>82</v>
      </c>
      <c r="G41" s="34">
        <v>49</v>
      </c>
      <c r="H41" s="34">
        <v>32</v>
      </c>
      <c r="I41" s="13"/>
      <c r="J41" s="13" t="s">
        <v>192</v>
      </c>
      <c r="K41" s="13"/>
    </row>
    <row r="42" spans="2:14" ht="15" thickBot="1">
      <c r="B42" s="3" t="s">
        <v>256</v>
      </c>
      <c r="C42" s="3" t="s">
        <v>231</v>
      </c>
      <c r="D42" s="34">
        <v>357</v>
      </c>
      <c r="E42" s="34">
        <v>253</v>
      </c>
      <c r="F42" s="34">
        <v>200</v>
      </c>
      <c r="G42" s="34">
        <v>138</v>
      </c>
      <c r="H42" s="34">
        <v>103</v>
      </c>
      <c r="I42" s="35">
        <v>0.2</v>
      </c>
      <c r="J42" s="13" t="s">
        <v>151</v>
      </c>
      <c r="K42" s="13" t="s">
        <v>244</v>
      </c>
    </row>
    <row r="43" spans="2:14" ht="15" thickBot="1">
      <c r="B43" s="3" t="s">
        <v>258</v>
      </c>
      <c r="C43" s="30" t="s">
        <v>239</v>
      </c>
      <c r="D43" s="34">
        <v>1025</v>
      </c>
      <c r="E43" s="34">
        <v>1726</v>
      </c>
      <c r="F43" s="34">
        <v>1726</v>
      </c>
      <c r="G43" s="34">
        <v>11445</v>
      </c>
      <c r="H43" s="34">
        <v>15260</v>
      </c>
      <c r="I43" s="3"/>
      <c r="J43" s="3" t="s">
        <v>151</v>
      </c>
      <c r="K43" s="3"/>
    </row>
    <row r="44" spans="2:14" ht="15" thickBot="1">
      <c r="B44" s="36" t="s">
        <v>259</v>
      </c>
      <c r="C44" s="30" t="s">
        <v>260</v>
      </c>
      <c r="D44" s="34">
        <v>500</v>
      </c>
      <c r="E44" s="34">
        <v>1000</v>
      </c>
      <c r="F44" s="34">
        <v>1000</v>
      </c>
      <c r="G44" s="34">
        <v>1500</v>
      </c>
      <c r="H44" s="34">
        <v>2000</v>
      </c>
      <c r="I44" s="3"/>
      <c r="J44" s="3"/>
      <c r="K44" s="3" t="s">
        <v>252</v>
      </c>
    </row>
    <row r="45" spans="2:14" ht="15" thickBot="1">
      <c r="B45" s="36" t="s">
        <v>261</v>
      </c>
      <c r="C45" s="30" t="s">
        <v>262</v>
      </c>
      <c r="D45" s="37">
        <v>2</v>
      </c>
      <c r="E45" s="37">
        <v>1.7</v>
      </c>
      <c r="F45" s="37">
        <v>1.7</v>
      </c>
      <c r="G45" s="37">
        <v>7.6</v>
      </c>
      <c r="H45" s="37">
        <v>7.6</v>
      </c>
      <c r="I45" s="3"/>
      <c r="J45" s="3"/>
      <c r="K45" s="3"/>
    </row>
    <row r="46" spans="2:14" ht="15" thickBot="1">
      <c r="B46" s="38" t="s">
        <v>263</v>
      </c>
      <c r="C46" s="39" t="s">
        <v>239</v>
      </c>
      <c r="D46" s="40">
        <v>22400</v>
      </c>
      <c r="E46" s="40">
        <v>31900</v>
      </c>
      <c r="F46" s="40">
        <v>37700</v>
      </c>
      <c r="G46" s="40">
        <v>61400</v>
      </c>
      <c r="H46" s="40">
        <v>84100</v>
      </c>
      <c r="I46" s="35">
        <v>0.2</v>
      </c>
      <c r="J46" s="40"/>
      <c r="K46" s="40"/>
    </row>
    <row r="49" spans="2:11">
      <c r="B49" s="4" t="s">
        <v>214</v>
      </c>
      <c r="C49" s="4">
        <v>2040</v>
      </c>
    </row>
    <row r="50" spans="2:11" ht="15" thickBot="1">
      <c r="B50" s="1" t="s">
        <v>215</v>
      </c>
      <c r="C50" s="2" t="s">
        <v>216</v>
      </c>
      <c r="D50" s="1"/>
      <c r="E50" s="2"/>
      <c r="F50" s="1"/>
      <c r="G50" s="1"/>
      <c r="H50" s="1"/>
      <c r="I50" s="1"/>
      <c r="J50" s="1"/>
      <c r="K50" s="1"/>
    </row>
    <row r="51" spans="2:11" ht="15" thickBot="1">
      <c r="B51" s="3" t="s">
        <v>220</v>
      </c>
      <c r="C51" s="30" t="s">
        <v>221</v>
      </c>
      <c r="D51" s="3">
        <v>10</v>
      </c>
      <c r="E51" s="31">
        <v>20</v>
      </c>
      <c r="F51" s="3">
        <v>30</v>
      </c>
      <c r="G51" s="3">
        <v>60</v>
      </c>
      <c r="H51" s="3">
        <v>110</v>
      </c>
      <c r="I51" s="3"/>
      <c r="J51" s="3"/>
      <c r="K51" s="3"/>
    </row>
    <row r="52" spans="2:11" ht="15" thickBot="1">
      <c r="B52" s="3" t="s">
        <v>222</v>
      </c>
      <c r="C52" s="5" t="s">
        <v>223</v>
      </c>
      <c r="D52" s="3">
        <v>90</v>
      </c>
      <c r="E52" s="3">
        <v>90</v>
      </c>
      <c r="F52" s="3">
        <v>81</v>
      </c>
      <c r="G52" s="3">
        <v>81</v>
      </c>
      <c r="H52" s="3">
        <v>81</v>
      </c>
      <c r="I52" s="33"/>
      <c r="J52" s="3" t="s">
        <v>151</v>
      </c>
      <c r="K52" s="3" t="s">
        <v>269</v>
      </c>
    </row>
    <row r="53" spans="2:11" ht="15" thickBot="1">
      <c r="B53" s="3" t="s">
        <v>226</v>
      </c>
      <c r="C53" s="5" t="s">
        <v>227</v>
      </c>
      <c r="D53" s="3">
        <v>20</v>
      </c>
      <c r="E53" s="3">
        <v>20</v>
      </c>
      <c r="F53" s="3">
        <v>20</v>
      </c>
      <c r="G53" s="3">
        <v>20</v>
      </c>
      <c r="H53" s="3">
        <v>20</v>
      </c>
      <c r="I53" s="3"/>
      <c r="J53" s="3" t="s">
        <v>172</v>
      </c>
      <c r="K53" s="3"/>
    </row>
    <row r="54" spans="2:11" ht="15" thickBot="1">
      <c r="B54" s="1" t="s">
        <v>229</v>
      </c>
      <c r="C54" s="2" t="s">
        <v>216</v>
      </c>
      <c r="D54" s="1"/>
      <c r="E54" s="1"/>
      <c r="F54" s="1"/>
      <c r="G54" s="1"/>
      <c r="H54" s="1"/>
      <c r="I54" s="1"/>
      <c r="J54" s="1"/>
      <c r="K54" s="1"/>
    </row>
    <row r="55" spans="2:11" ht="15" thickBot="1">
      <c r="B55" s="3" t="s">
        <v>230</v>
      </c>
      <c r="C55" s="3" t="s">
        <v>231</v>
      </c>
      <c r="D55" s="34">
        <v>1428</v>
      </c>
      <c r="E55" s="34">
        <v>1014</v>
      </c>
      <c r="F55" s="34">
        <v>801</v>
      </c>
      <c r="G55" s="34">
        <v>552</v>
      </c>
      <c r="H55" s="34">
        <v>414</v>
      </c>
      <c r="I55" s="35">
        <v>0.25</v>
      </c>
      <c r="J55" s="3" t="s">
        <v>232</v>
      </c>
      <c r="K55" s="3" t="s">
        <v>270</v>
      </c>
    </row>
    <row r="56" spans="2:11" ht="15" thickBot="1">
      <c r="B56" s="36" t="s">
        <v>236</v>
      </c>
      <c r="C56" s="3" t="s">
        <v>223</v>
      </c>
      <c r="D56" s="3">
        <v>60</v>
      </c>
      <c r="E56" s="3">
        <v>60</v>
      </c>
      <c r="F56" s="3">
        <v>60</v>
      </c>
      <c r="G56" s="3">
        <v>60</v>
      </c>
      <c r="H56" s="3">
        <v>60</v>
      </c>
      <c r="I56" s="3"/>
      <c r="J56" s="3"/>
      <c r="K56" s="3"/>
    </row>
    <row r="57" spans="2:11" ht="15" thickBot="1">
      <c r="B57" s="36" t="s">
        <v>237</v>
      </c>
      <c r="C57" s="3" t="s">
        <v>223</v>
      </c>
      <c r="D57" s="3">
        <v>40</v>
      </c>
      <c r="E57" s="3">
        <v>40</v>
      </c>
      <c r="F57" s="3">
        <v>40</v>
      </c>
      <c r="G57" s="3">
        <v>40</v>
      </c>
      <c r="H57" s="3">
        <v>40</v>
      </c>
      <c r="I57" s="3"/>
      <c r="J57" s="3"/>
      <c r="K57" s="3"/>
    </row>
    <row r="58" spans="2:11" ht="15" thickBot="1">
      <c r="B58" s="30" t="s">
        <v>238</v>
      </c>
      <c r="C58" s="3" t="s">
        <v>239</v>
      </c>
      <c r="D58" s="34">
        <v>14300</v>
      </c>
      <c r="E58" s="34">
        <v>20300</v>
      </c>
      <c r="F58" s="34">
        <v>24000</v>
      </c>
      <c r="G58" s="34">
        <v>33100</v>
      </c>
      <c r="H58" s="34">
        <v>45500</v>
      </c>
      <c r="I58" s="35">
        <v>0.25</v>
      </c>
      <c r="J58" s="3"/>
      <c r="K58" s="3"/>
    </row>
    <row r="59" spans="2:11" ht="15" thickBot="1">
      <c r="B59" s="3" t="s">
        <v>242</v>
      </c>
      <c r="C59" s="3" t="s">
        <v>231</v>
      </c>
      <c r="D59" s="13">
        <v>86</v>
      </c>
      <c r="E59" s="13">
        <v>61</v>
      </c>
      <c r="F59" s="13">
        <v>48</v>
      </c>
      <c r="G59" s="13">
        <v>33</v>
      </c>
      <c r="H59" s="13">
        <v>25</v>
      </c>
      <c r="I59" s="3"/>
      <c r="J59" s="3" t="s">
        <v>172</v>
      </c>
      <c r="K59" s="3" t="s">
        <v>243</v>
      </c>
    </row>
    <row r="60" spans="2:11" ht="15" thickBot="1">
      <c r="B60" s="1" t="s">
        <v>246</v>
      </c>
      <c r="C60" s="2" t="s">
        <v>216</v>
      </c>
      <c r="D60" s="1"/>
      <c r="E60" s="1"/>
      <c r="F60" s="1"/>
      <c r="G60" s="1"/>
      <c r="H60" s="1"/>
      <c r="I60" s="1"/>
      <c r="J60" s="1"/>
      <c r="K60" s="1"/>
    </row>
    <row r="61" spans="2:11" ht="15" thickBot="1">
      <c r="B61" s="3" t="s">
        <v>248</v>
      </c>
      <c r="C61" s="3" t="s">
        <v>231</v>
      </c>
      <c r="D61" s="34">
        <v>162</v>
      </c>
      <c r="E61" s="34">
        <v>131</v>
      </c>
      <c r="F61" s="34">
        <v>115</v>
      </c>
      <c r="G61" s="34">
        <v>93</v>
      </c>
      <c r="H61" s="34">
        <v>77</v>
      </c>
      <c r="I61" s="13"/>
      <c r="J61" s="13" t="s">
        <v>192</v>
      </c>
      <c r="K61" s="13" t="s">
        <v>249</v>
      </c>
    </row>
    <row r="62" spans="2:11" ht="15" thickBot="1">
      <c r="B62" s="3" t="s">
        <v>248</v>
      </c>
      <c r="C62" s="3" t="s">
        <v>239</v>
      </c>
      <c r="D62" s="34">
        <v>1624</v>
      </c>
      <c r="E62" s="34">
        <v>2618</v>
      </c>
      <c r="F62" s="34">
        <v>3461</v>
      </c>
      <c r="G62" s="34">
        <v>5575</v>
      </c>
      <c r="H62" s="34">
        <v>8460</v>
      </c>
      <c r="I62" s="13"/>
      <c r="J62" s="13"/>
      <c r="K62" s="13"/>
    </row>
    <row r="63" spans="2:11" ht="15" thickBot="1">
      <c r="B63" s="3" t="s">
        <v>254</v>
      </c>
      <c r="C63" s="3" t="s">
        <v>231</v>
      </c>
      <c r="D63" s="34">
        <v>184</v>
      </c>
      <c r="E63" s="34">
        <v>111</v>
      </c>
      <c r="F63" s="34">
        <v>82</v>
      </c>
      <c r="G63" s="34">
        <v>49</v>
      </c>
      <c r="H63" s="34">
        <v>32</v>
      </c>
      <c r="I63" s="13"/>
      <c r="J63" s="13" t="s">
        <v>192</v>
      </c>
      <c r="K63" s="13"/>
    </row>
    <row r="64" spans="2:11" ht="15" thickBot="1">
      <c r="B64" s="3" t="s">
        <v>256</v>
      </c>
      <c r="C64" s="3" t="s">
        <v>231</v>
      </c>
      <c r="D64" s="34">
        <v>357</v>
      </c>
      <c r="E64" s="34">
        <v>253</v>
      </c>
      <c r="F64" s="34">
        <v>200</v>
      </c>
      <c r="G64" s="34">
        <v>138</v>
      </c>
      <c r="H64" s="34">
        <v>103</v>
      </c>
      <c r="I64" s="35">
        <v>0.25</v>
      </c>
      <c r="J64" s="13" t="s">
        <v>151</v>
      </c>
      <c r="K64" s="13" t="s">
        <v>244</v>
      </c>
    </row>
    <row r="65" spans="2:11" ht="15" thickBot="1">
      <c r="B65" s="3" t="s">
        <v>258</v>
      </c>
      <c r="C65" s="30" t="s">
        <v>239</v>
      </c>
      <c r="D65" s="34">
        <v>1025</v>
      </c>
      <c r="E65" s="34">
        <v>1726</v>
      </c>
      <c r="F65" s="34">
        <v>1726</v>
      </c>
      <c r="G65" s="34">
        <v>11445</v>
      </c>
      <c r="H65" s="34">
        <v>15260</v>
      </c>
      <c r="I65" s="3"/>
      <c r="J65" s="3" t="s">
        <v>151</v>
      </c>
      <c r="K65" s="3"/>
    </row>
    <row r="66" spans="2:11" ht="15" thickBot="1">
      <c r="B66" s="36" t="s">
        <v>259</v>
      </c>
      <c r="C66" s="30" t="s">
        <v>260</v>
      </c>
      <c r="D66" s="34">
        <v>500</v>
      </c>
      <c r="E66" s="34">
        <v>1000</v>
      </c>
      <c r="F66" s="34">
        <v>1000</v>
      </c>
      <c r="G66" s="34">
        <v>1500</v>
      </c>
      <c r="H66" s="34">
        <v>2000</v>
      </c>
      <c r="I66" s="3"/>
      <c r="J66" s="3"/>
      <c r="K66" s="3" t="s">
        <v>252</v>
      </c>
    </row>
    <row r="67" spans="2:11" ht="15" thickBot="1">
      <c r="B67" s="36" t="s">
        <v>261</v>
      </c>
      <c r="C67" s="30" t="s">
        <v>262</v>
      </c>
      <c r="D67" s="37">
        <v>2</v>
      </c>
      <c r="E67" s="37">
        <v>1.7</v>
      </c>
      <c r="F67" s="37">
        <v>1.7</v>
      </c>
      <c r="G67" s="37">
        <v>7.6</v>
      </c>
      <c r="H67" s="37">
        <v>7.6</v>
      </c>
      <c r="I67" s="3"/>
      <c r="J67" s="3"/>
      <c r="K67" s="3"/>
    </row>
    <row r="68" spans="2:11" ht="15" thickBot="1">
      <c r="B68" s="38" t="s">
        <v>263</v>
      </c>
      <c r="C68" s="39" t="s">
        <v>239</v>
      </c>
      <c r="D68" s="40">
        <v>22400</v>
      </c>
      <c r="E68" s="40">
        <v>31900</v>
      </c>
      <c r="F68" s="40">
        <v>37700</v>
      </c>
      <c r="G68" s="40">
        <v>61400</v>
      </c>
      <c r="H68" s="40">
        <v>84100</v>
      </c>
      <c r="I68" s="35">
        <v>0.25</v>
      </c>
      <c r="J68" s="40"/>
      <c r="K68" s="40"/>
    </row>
  </sheetData>
  <mergeCells count="1">
    <mergeCell ref="F2:K3"/>
  </mergeCells>
  <conditionalFormatting sqref="I7 I10 I30 I33 I52 I55">
    <cfRule type="colorScale" priority="13">
      <colorScale>
        <cfvo type="num" val="0"/>
        <cfvo type="num" val="0.5"/>
        <color theme="0"/>
        <color theme="5"/>
      </colorScale>
    </cfRule>
  </conditionalFormatting>
  <conditionalFormatting sqref="I13">
    <cfRule type="colorScale" priority="8">
      <colorScale>
        <cfvo type="num" val="0"/>
        <cfvo type="num" val="0.5"/>
        <color theme="0"/>
        <color theme="5"/>
      </colorScale>
    </cfRule>
  </conditionalFormatting>
  <conditionalFormatting sqref="I19">
    <cfRule type="colorScale" priority="12">
      <colorScale>
        <cfvo type="num" val="0"/>
        <cfvo type="num" val="0.5"/>
        <color theme="0"/>
        <color theme="5"/>
      </colorScale>
    </cfRule>
  </conditionalFormatting>
  <conditionalFormatting sqref="I21">
    <cfRule type="colorScale" priority="11">
      <colorScale>
        <cfvo type="num" val="0"/>
        <cfvo type="num" val="0.5"/>
        <color theme="0"/>
        <color theme="5"/>
      </colorScale>
    </cfRule>
  </conditionalFormatting>
  <conditionalFormatting sqref="I23">
    <cfRule type="colorScale" priority="7">
      <colorScale>
        <cfvo type="num" val="0"/>
        <cfvo type="num" val="0.5"/>
        <color theme="0"/>
        <color theme="5"/>
      </colorScale>
    </cfRule>
  </conditionalFormatting>
  <conditionalFormatting sqref="I36">
    <cfRule type="colorScale" priority="6">
      <colorScale>
        <cfvo type="num" val="0"/>
        <cfvo type="num" val="0.5"/>
        <color theme="0"/>
        <color theme="5"/>
      </colorScale>
    </cfRule>
  </conditionalFormatting>
  <conditionalFormatting sqref="I42">
    <cfRule type="colorScale" priority="5">
      <colorScale>
        <cfvo type="num" val="0"/>
        <cfvo type="num" val="0.5"/>
        <color theme="0"/>
        <color theme="5"/>
      </colorScale>
    </cfRule>
  </conditionalFormatting>
  <conditionalFormatting sqref="I44">
    <cfRule type="colorScale" priority="10">
      <colorScale>
        <cfvo type="num" val="0"/>
        <cfvo type="num" val="0.5"/>
        <color theme="0"/>
        <color theme="5"/>
      </colorScale>
    </cfRule>
  </conditionalFormatting>
  <conditionalFormatting sqref="I46">
    <cfRule type="colorScale" priority="4">
      <colorScale>
        <cfvo type="num" val="0"/>
        <cfvo type="num" val="0.5"/>
        <color theme="0"/>
        <color theme="5"/>
      </colorScale>
    </cfRule>
  </conditionalFormatting>
  <conditionalFormatting sqref="I58">
    <cfRule type="colorScale" priority="3">
      <colorScale>
        <cfvo type="num" val="0"/>
        <cfvo type="num" val="0.5"/>
        <color theme="0"/>
        <color theme="5"/>
      </colorScale>
    </cfRule>
  </conditionalFormatting>
  <conditionalFormatting sqref="I64">
    <cfRule type="colorScale" priority="2">
      <colorScale>
        <cfvo type="num" val="0"/>
        <cfvo type="num" val="0.5"/>
        <color theme="0"/>
        <color theme="5"/>
      </colorScale>
    </cfRule>
  </conditionalFormatting>
  <conditionalFormatting sqref="I66">
    <cfRule type="colorScale" priority="9">
      <colorScale>
        <cfvo type="num" val="0"/>
        <cfvo type="num" val="0.5"/>
        <color theme="0"/>
        <color theme="5"/>
      </colorScale>
    </cfRule>
  </conditionalFormatting>
  <conditionalFormatting sqref="I68">
    <cfRule type="colorScale" priority="1">
      <colorScale>
        <cfvo type="num" val="0"/>
        <cfvo type="num" val="0.5"/>
        <color theme="0"/>
        <color theme="5"/>
      </colorScale>
    </cfRule>
  </conditionalFormatting>
  <hyperlinks>
    <hyperlink ref="A1" location="Inhalt!A1" display="Zum Inhalt" xr:uid="{8DFFF39C-07B2-43DA-9CF7-946C95DCA38F}"/>
  </hyperlinks>
  <pageMargins left="0.7" right="0.7" top="0.78740157499999996" bottom="0.78740157499999996"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4CD7B-64BC-4AE7-AA0F-22603A5BFC42}">
  <sheetPr codeName="Tabelle5"/>
  <dimension ref="A1:P67"/>
  <sheetViews>
    <sheetView zoomScaleNormal="100" workbookViewId="0">
      <selection activeCell="E15" sqref="E15"/>
    </sheetView>
  </sheetViews>
  <sheetFormatPr baseColWidth="10" defaultColWidth="11.44140625" defaultRowHeight="14.4"/>
  <cols>
    <col min="2" max="2" width="35.33203125" bestFit="1" customWidth="1"/>
    <col min="3" max="3" width="12.33203125" bestFit="1" customWidth="1"/>
    <col min="13" max="13" width="13.5546875" bestFit="1" customWidth="1"/>
  </cols>
  <sheetData>
    <row r="1" spans="1:16" ht="28.2" thickBot="1">
      <c r="A1" s="99" t="s">
        <v>143</v>
      </c>
    </row>
    <row r="2" spans="1:16" ht="16.95" customHeight="1">
      <c r="F2" s="142" t="s">
        <v>212</v>
      </c>
      <c r="G2" s="143"/>
      <c r="H2" s="143"/>
      <c r="I2" s="143"/>
      <c r="J2" s="143"/>
      <c r="K2" s="144"/>
    </row>
    <row r="3" spans="1:16" ht="18.45" customHeight="1" thickBot="1">
      <c r="B3" s="4" t="s">
        <v>213</v>
      </c>
      <c r="C3" s="4" t="s">
        <v>40</v>
      </c>
      <c r="F3" s="145"/>
      <c r="G3" s="146"/>
      <c r="H3" s="146"/>
      <c r="I3" s="146"/>
      <c r="J3" s="146"/>
      <c r="K3" s="147"/>
    </row>
    <row r="4" spans="1:16">
      <c r="B4" s="4" t="s">
        <v>214</v>
      </c>
      <c r="C4" s="4">
        <v>2023</v>
      </c>
    </row>
    <row r="5" spans="1:16" ht="15" thickBot="1">
      <c r="B5" s="1" t="s">
        <v>215</v>
      </c>
      <c r="C5" s="2" t="s">
        <v>216</v>
      </c>
      <c r="D5" s="1"/>
      <c r="E5" s="2"/>
      <c r="F5" s="1"/>
      <c r="G5" s="1"/>
      <c r="H5" s="1"/>
      <c r="I5" s="1" t="s">
        <v>217</v>
      </c>
      <c r="J5" s="1" t="s">
        <v>147</v>
      </c>
      <c r="K5" s="1" t="s">
        <v>148</v>
      </c>
      <c r="M5" s="4" t="s">
        <v>218</v>
      </c>
      <c r="N5" s="12" t="s">
        <v>271</v>
      </c>
    </row>
    <row r="6" spans="1:16" ht="15" thickBot="1">
      <c r="B6" s="3" t="s">
        <v>220</v>
      </c>
      <c r="C6" s="30" t="s">
        <v>221</v>
      </c>
      <c r="D6" s="3">
        <v>20</v>
      </c>
      <c r="E6" s="31">
        <v>30</v>
      </c>
      <c r="F6" s="3">
        <v>40</v>
      </c>
      <c r="G6" s="3">
        <v>60</v>
      </c>
      <c r="H6" s="3">
        <v>110</v>
      </c>
      <c r="I6" s="3"/>
      <c r="J6" s="3"/>
      <c r="K6" s="3"/>
      <c r="M6" s="4" t="s">
        <v>214</v>
      </c>
      <c r="N6" s="4">
        <v>2023</v>
      </c>
      <c r="O6" s="4">
        <v>2030</v>
      </c>
      <c r="P6" s="4">
        <v>2040</v>
      </c>
    </row>
    <row r="7" spans="1:16" ht="15" thickBot="1">
      <c r="B7" s="3" t="s">
        <v>222</v>
      </c>
      <c r="C7" s="5" t="s">
        <v>223</v>
      </c>
      <c r="D7" s="13">
        <v>94</v>
      </c>
      <c r="E7" s="26">
        <v>94</v>
      </c>
      <c r="F7" s="13">
        <v>94</v>
      </c>
      <c r="G7" s="13">
        <v>94</v>
      </c>
      <c r="H7" s="13">
        <v>94</v>
      </c>
      <c r="I7" s="33"/>
      <c r="J7" s="3" t="s">
        <v>151</v>
      </c>
      <c r="K7" s="3" t="s">
        <v>224</v>
      </c>
      <c r="M7" s="12" t="s">
        <v>225</v>
      </c>
      <c r="N7" s="12">
        <v>32340</v>
      </c>
      <c r="O7" s="12">
        <v>32340</v>
      </c>
      <c r="P7" s="12">
        <v>32340</v>
      </c>
    </row>
    <row r="8" spans="1:16" ht="15" thickBot="1">
      <c r="B8" s="3" t="s">
        <v>226</v>
      </c>
      <c r="C8" s="5" t="s">
        <v>227</v>
      </c>
      <c r="D8" s="3">
        <v>20</v>
      </c>
      <c r="E8" s="3">
        <v>20</v>
      </c>
      <c r="F8" s="3">
        <v>20</v>
      </c>
      <c r="G8" s="3">
        <v>20</v>
      </c>
      <c r="H8" s="3">
        <v>20</v>
      </c>
      <c r="I8" s="3"/>
      <c r="J8" s="3" t="s">
        <v>151</v>
      </c>
      <c r="K8" s="3"/>
      <c r="M8" s="12" t="s">
        <v>228</v>
      </c>
      <c r="N8" s="12">
        <v>-0.92300000000000004</v>
      </c>
      <c r="O8" s="12">
        <v>-0.92300000000000004</v>
      </c>
      <c r="P8" s="12">
        <v>-0.92300000000000004</v>
      </c>
    </row>
    <row r="9" spans="1:16" ht="15" thickBot="1">
      <c r="B9" s="1" t="s">
        <v>229</v>
      </c>
      <c r="C9" s="2" t="s">
        <v>216</v>
      </c>
      <c r="D9" s="1"/>
      <c r="E9" s="1"/>
      <c r="F9" s="1"/>
      <c r="G9" s="1"/>
      <c r="H9" s="1"/>
      <c r="I9" s="1"/>
      <c r="J9" s="1"/>
      <c r="K9" s="1"/>
      <c r="M9" s="12"/>
      <c r="N9" s="12"/>
      <c r="O9" s="12"/>
    </row>
    <row r="10" spans="1:16" ht="15" thickBot="1">
      <c r="B10" s="3" t="s">
        <v>230</v>
      </c>
      <c r="C10" s="3" t="s">
        <v>231</v>
      </c>
      <c r="D10" s="41">
        <v>1891</v>
      </c>
      <c r="E10" s="41">
        <v>1520</v>
      </c>
      <c r="F10" s="41">
        <v>1109</v>
      </c>
      <c r="G10" s="41">
        <v>726</v>
      </c>
      <c r="H10" s="41">
        <v>414</v>
      </c>
      <c r="I10" s="35">
        <v>0.15</v>
      </c>
      <c r="J10" s="3" t="s">
        <v>272</v>
      </c>
      <c r="K10" s="3" t="s">
        <v>273</v>
      </c>
      <c r="M10" s="4" t="s">
        <v>234</v>
      </c>
      <c r="N10" s="12" t="s">
        <v>274</v>
      </c>
    </row>
    <row r="11" spans="1:16" ht="15" thickBot="1">
      <c r="B11" s="36" t="s">
        <v>236</v>
      </c>
      <c r="C11" s="3" t="s">
        <v>223</v>
      </c>
      <c r="D11" s="3">
        <v>60</v>
      </c>
      <c r="E11" s="3">
        <v>60</v>
      </c>
      <c r="F11" s="3">
        <v>60</v>
      </c>
      <c r="G11" s="3">
        <v>60</v>
      </c>
      <c r="H11" s="3">
        <v>60</v>
      </c>
      <c r="I11" s="3"/>
      <c r="J11" s="3" t="s">
        <v>151</v>
      </c>
      <c r="K11" s="3"/>
    </row>
    <row r="12" spans="1:16" ht="15" thickBot="1">
      <c r="B12" s="36" t="s">
        <v>237</v>
      </c>
      <c r="C12" s="3" t="s">
        <v>223</v>
      </c>
      <c r="D12" s="3">
        <v>40</v>
      </c>
      <c r="E12" s="3">
        <v>40</v>
      </c>
      <c r="F12" s="3">
        <v>40</v>
      </c>
      <c r="G12" s="3">
        <v>40</v>
      </c>
      <c r="H12" s="3">
        <v>40</v>
      </c>
      <c r="I12" s="3"/>
      <c r="J12" s="3" t="s">
        <v>151</v>
      </c>
      <c r="K12" s="3"/>
      <c r="M12" s="12"/>
    </row>
    <row r="13" spans="1:16" ht="15" thickBot="1">
      <c r="B13" s="30" t="s">
        <v>238</v>
      </c>
      <c r="C13" s="3" t="s">
        <v>239</v>
      </c>
      <c r="D13" s="34">
        <v>37800</v>
      </c>
      <c r="E13" s="34">
        <v>45600</v>
      </c>
      <c r="F13" s="34">
        <v>44300</v>
      </c>
      <c r="G13" s="34">
        <v>43500</v>
      </c>
      <c r="H13" s="34">
        <v>45500</v>
      </c>
      <c r="I13" s="35">
        <v>0.15</v>
      </c>
      <c r="J13" s="3" t="s">
        <v>151</v>
      </c>
      <c r="K13" s="3" t="s">
        <v>273</v>
      </c>
      <c r="M13" s="4" t="s">
        <v>148</v>
      </c>
    </row>
    <row r="14" spans="1:16" ht="15" thickBot="1">
      <c r="B14" s="3" t="s">
        <v>242</v>
      </c>
      <c r="C14" s="3" t="s">
        <v>231</v>
      </c>
      <c r="D14" s="41">
        <v>123</v>
      </c>
      <c r="E14" s="41">
        <v>99</v>
      </c>
      <c r="F14" s="41">
        <v>72</v>
      </c>
      <c r="G14" s="41">
        <v>47</v>
      </c>
      <c r="H14" s="41">
        <v>27</v>
      </c>
      <c r="I14" s="3"/>
      <c r="J14" s="3" t="s">
        <v>151</v>
      </c>
      <c r="K14" s="3" t="s">
        <v>249</v>
      </c>
      <c r="M14" s="12" t="s">
        <v>240</v>
      </c>
      <c r="N14" s="12" t="s">
        <v>275</v>
      </c>
    </row>
    <row r="15" spans="1:16" ht="15" thickBot="1">
      <c r="B15" s="1" t="s">
        <v>246</v>
      </c>
      <c r="C15" s="2" t="s">
        <v>216</v>
      </c>
      <c r="D15" s="1"/>
      <c r="E15" s="1"/>
      <c r="F15" s="1"/>
      <c r="G15" s="1"/>
      <c r="H15" s="1"/>
      <c r="I15" s="1"/>
      <c r="J15" s="1"/>
      <c r="K15" s="1"/>
      <c r="M15" s="12" t="s">
        <v>244</v>
      </c>
      <c r="N15" s="12" t="s">
        <v>276</v>
      </c>
    </row>
    <row r="16" spans="1:16" ht="15" thickBot="1">
      <c r="B16" s="3" t="s">
        <v>248</v>
      </c>
      <c r="C16" s="3" t="s">
        <v>231</v>
      </c>
      <c r="D16" s="41">
        <v>131</v>
      </c>
      <c r="E16" s="41">
        <v>115</v>
      </c>
      <c r="F16" s="41">
        <v>105</v>
      </c>
      <c r="G16" s="41">
        <v>93</v>
      </c>
      <c r="H16" s="41">
        <v>77</v>
      </c>
      <c r="I16" s="13"/>
      <c r="J16" s="13" t="s">
        <v>184</v>
      </c>
      <c r="K16" s="13" t="s">
        <v>252</v>
      </c>
      <c r="M16" s="12" t="s">
        <v>224</v>
      </c>
      <c r="N16" s="12" t="s">
        <v>251</v>
      </c>
    </row>
    <row r="17" spans="2:14" ht="15" thickBot="1">
      <c r="B17" s="3" t="s">
        <v>248</v>
      </c>
      <c r="C17" s="3" t="s">
        <v>239</v>
      </c>
      <c r="D17" s="41">
        <v>2616</v>
      </c>
      <c r="E17" s="41">
        <v>3461</v>
      </c>
      <c r="F17" s="41">
        <v>4218</v>
      </c>
      <c r="G17" s="41">
        <v>5575</v>
      </c>
      <c r="H17" s="41">
        <v>8460</v>
      </c>
      <c r="I17" s="13"/>
      <c r="J17" s="13"/>
      <c r="K17" s="13"/>
      <c r="M17" s="12" t="s">
        <v>250</v>
      </c>
      <c r="N17" s="12" t="s">
        <v>253</v>
      </c>
    </row>
    <row r="18" spans="2:14" ht="15" thickBot="1">
      <c r="B18" s="3" t="s">
        <v>254</v>
      </c>
      <c r="C18" s="3" t="s">
        <v>231</v>
      </c>
      <c r="D18" s="41">
        <v>111</v>
      </c>
      <c r="E18" s="41">
        <v>82</v>
      </c>
      <c r="F18" s="41">
        <v>67</v>
      </c>
      <c r="G18" s="41">
        <v>49</v>
      </c>
      <c r="H18" s="41">
        <v>32</v>
      </c>
      <c r="I18" s="13"/>
      <c r="J18" s="13" t="s">
        <v>184</v>
      </c>
      <c r="K18" s="13"/>
      <c r="M18" s="12" t="s">
        <v>252</v>
      </c>
      <c r="N18" s="12" t="s">
        <v>255</v>
      </c>
    </row>
    <row r="19" spans="2:14" ht="15" thickBot="1">
      <c r="B19" s="30" t="s">
        <v>277</v>
      </c>
      <c r="C19" s="3" t="s">
        <v>231</v>
      </c>
      <c r="D19" s="41">
        <v>473</v>
      </c>
      <c r="E19" s="41">
        <v>380</v>
      </c>
      <c r="F19" s="41">
        <v>277</v>
      </c>
      <c r="G19" s="41">
        <v>181</v>
      </c>
      <c r="H19" s="41">
        <v>103</v>
      </c>
      <c r="I19" s="35">
        <v>0.15</v>
      </c>
      <c r="J19" s="13" t="s">
        <v>151</v>
      </c>
      <c r="K19" s="13" t="s">
        <v>244</v>
      </c>
      <c r="M19" s="12" t="s">
        <v>249</v>
      </c>
      <c r="N19" s="12" t="s">
        <v>278</v>
      </c>
    </row>
    <row r="20" spans="2:14" ht="15" thickBot="1">
      <c r="B20" s="3" t="s">
        <v>258</v>
      </c>
      <c r="C20" s="30" t="s">
        <v>239</v>
      </c>
      <c r="D20" s="41">
        <v>1726</v>
      </c>
      <c r="E20" s="41">
        <v>1726</v>
      </c>
      <c r="F20" s="41">
        <v>11445</v>
      </c>
      <c r="G20" s="41">
        <v>15260</v>
      </c>
      <c r="H20" s="41">
        <v>15260</v>
      </c>
      <c r="I20" s="3"/>
      <c r="J20" s="3" t="s">
        <v>151</v>
      </c>
      <c r="K20" s="3" t="s">
        <v>250</v>
      </c>
    </row>
    <row r="21" spans="2:14" ht="15" thickBot="1">
      <c r="B21" s="36" t="s">
        <v>259</v>
      </c>
      <c r="C21" s="30" t="s">
        <v>260</v>
      </c>
      <c r="D21" s="41">
        <v>1000</v>
      </c>
      <c r="E21" s="41">
        <v>1000</v>
      </c>
      <c r="F21" s="41">
        <v>1500</v>
      </c>
      <c r="G21" s="41">
        <v>2000</v>
      </c>
      <c r="H21" s="41">
        <v>2000</v>
      </c>
      <c r="I21" s="3"/>
      <c r="J21" s="3"/>
      <c r="K21" s="3"/>
      <c r="M21" s="4" t="s">
        <v>147</v>
      </c>
    </row>
    <row r="22" spans="2:14" ht="15" thickBot="1">
      <c r="B22" s="36" t="s">
        <v>261</v>
      </c>
      <c r="C22" s="30" t="s">
        <v>262</v>
      </c>
      <c r="D22" s="42">
        <v>1.7</v>
      </c>
      <c r="E22" s="42">
        <v>1.7</v>
      </c>
      <c r="F22" s="42">
        <v>7.6</v>
      </c>
      <c r="G22" s="42">
        <v>7.6</v>
      </c>
      <c r="H22" s="42">
        <v>7.6</v>
      </c>
      <c r="I22" s="3"/>
      <c r="J22" s="3"/>
      <c r="K22" s="3"/>
      <c r="M22" s="12" t="s">
        <v>151</v>
      </c>
      <c r="N22" s="12" t="s">
        <v>185</v>
      </c>
    </row>
    <row r="23" spans="2:14" ht="15" thickBot="1">
      <c r="B23" s="38" t="s">
        <v>263</v>
      </c>
      <c r="C23" s="39" t="s">
        <v>239</v>
      </c>
      <c r="D23" s="40">
        <v>53800</v>
      </c>
      <c r="E23" s="40">
        <v>64700</v>
      </c>
      <c r="F23" s="40">
        <v>73700</v>
      </c>
      <c r="G23" s="40">
        <v>78200</v>
      </c>
      <c r="H23" s="40">
        <v>84100</v>
      </c>
      <c r="I23" s="35">
        <v>0.15</v>
      </c>
      <c r="J23" s="40"/>
      <c r="K23" s="40"/>
      <c r="M23" s="12" t="s">
        <v>184</v>
      </c>
      <c r="N23" s="12" t="s">
        <v>267</v>
      </c>
    </row>
    <row r="24" spans="2:14">
      <c r="I24" s="12"/>
      <c r="M24" s="12" t="s">
        <v>186</v>
      </c>
      <c r="N24" s="12" t="s">
        <v>264</v>
      </c>
    </row>
    <row r="25" spans="2:14">
      <c r="M25" s="12" t="s">
        <v>188</v>
      </c>
      <c r="N25" s="12" t="s">
        <v>265</v>
      </c>
    </row>
    <row r="26" spans="2:14">
      <c r="B26" s="4" t="s">
        <v>214</v>
      </c>
      <c r="C26" s="4">
        <v>2030</v>
      </c>
      <c r="M26" s="12" t="s">
        <v>192</v>
      </c>
      <c r="N26" s="12" t="s">
        <v>266</v>
      </c>
    </row>
    <row r="27" spans="2:14" ht="15" thickBot="1">
      <c r="B27" s="1" t="s">
        <v>215</v>
      </c>
      <c r="C27" s="2" t="s">
        <v>216</v>
      </c>
      <c r="D27" s="1"/>
      <c r="E27" s="2"/>
      <c r="F27" s="1"/>
      <c r="G27" s="1"/>
      <c r="H27" s="1"/>
      <c r="I27" s="1"/>
      <c r="J27" s="1"/>
      <c r="K27" s="1"/>
      <c r="M27" s="12"/>
      <c r="N27" s="12"/>
    </row>
    <row r="28" spans="2:14" ht="15" thickBot="1">
      <c r="B28" s="3" t="s">
        <v>220</v>
      </c>
      <c r="C28" s="30" t="s">
        <v>221</v>
      </c>
      <c r="D28" s="3">
        <v>20</v>
      </c>
      <c r="E28" s="31">
        <v>30</v>
      </c>
      <c r="F28" s="3">
        <v>40</v>
      </c>
      <c r="G28" s="3">
        <v>60</v>
      </c>
      <c r="H28" s="3">
        <v>110</v>
      </c>
      <c r="I28" s="3"/>
      <c r="J28" s="3"/>
      <c r="K28" s="3"/>
    </row>
    <row r="29" spans="2:14" ht="15" thickBot="1">
      <c r="B29" s="3" t="s">
        <v>222</v>
      </c>
      <c r="C29" s="5" t="s">
        <v>223</v>
      </c>
      <c r="D29" s="13">
        <v>94</v>
      </c>
      <c r="E29" s="13">
        <v>94</v>
      </c>
      <c r="F29" s="13">
        <v>94</v>
      </c>
      <c r="G29" s="13">
        <v>94</v>
      </c>
      <c r="H29" s="13">
        <v>94</v>
      </c>
      <c r="I29" s="33"/>
      <c r="J29" s="3" t="s">
        <v>151</v>
      </c>
      <c r="K29" s="3" t="s">
        <v>224</v>
      </c>
    </row>
    <row r="30" spans="2:14" ht="15" thickBot="1">
      <c r="B30" s="3" t="s">
        <v>226</v>
      </c>
      <c r="C30" s="5" t="s">
        <v>227</v>
      </c>
      <c r="D30" s="3">
        <v>20</v>
      </c>
      <c r="E30" s="3">
        <v>20</v>
      </c>
      <c r="F30" s="3">
        <v>20</v>
      </c>
      <c r="G30" s="3">
        <v>20</v>
      </c>
      <c r="H30" s="3">
        <v>20</v>
      </c>
      <c r="I30" s="3"/>
      <c r="J30" s="3" t="s">
        <v>151</v>
      </c>
      <c r="K30" s="3"/>
    </row>
    <row r="31" spans="2:14" ht="15" thickBot="1">
      <c r="B31" s="1" t="s">
        <v>229</v>
      </c>
      <c r="C31" s="2" t="s">
        <v>216</v>
      </c>
      <c r="D31" s="1"/>
      <c r="E31" s="1"/>
      <c r="F31" s="1"/>
      <c r="G31" s="1"/>
      <c r="H31" s="1"/>
      <c r="I31" s="1"/>
      <c r="J31" s="1"/>
      <c r="K31" s="1"/>
    </row>
    <row r="32" spans="2:14" ht="15" thickBot="1">
      <c r="B32" s="3" t="s">
        <v>230</v>
      </c>
      <c r="C32" s="3" t="s">
        <v>231</v>
      </c>
      <c r="D32" s="41">
        <v>1891</v>
      </c>
      <c r="E32" s="41">
        <v>1520</v>
      </c>
      <c r="F32" s="41">
        <v>1109</v>
      </c>
      <c r="G32" s="41">
        <v>726</v>
      </c>
      <c r="H32" s="41">
        <v>414</v>
      </c>
      <c r="I32" s="35">
        <v>0.2</v>
      </c>
      <c r="J32" s="3" t="s">
        <v>272</v>
      </c>
      <c r="K32" s="3" t="s">
        <v>273</v>
      </c>
    </row>
    <row r="33" spans="2:14" ht="15" thickBot="1">
      <c r="B33" s="36" t="s">
        <v>236</v>
      </c>
      <c r="C33" s="3" t="s">
        <v>223</v>
      </c>
      <c r="D33" s="3">
        <v>60</v>
      </c>
      <c r="E33" s="3">
        <v>60</v>
      </c>
      <c r="F33" s="3">
        <v>60</v>
      </c>
      <c r="G33" s="3">
        <v>60</v>
      </c>
      <c r="H33" s="3">
        <v>60</v>
      </c>
      <c r="I33" s="3"/>
      <c r="J33" s="3" t="s">
        <v>151</v>
      </c>
      <c r="K33" s="3"/>
    </row>
    <row r="34" spans="2:14" ht="15" thickBot="1">
      <c r="B34" s="36" t="s">
        <v>237</v>
      </c>
      <c r="C34" s="3" t="s">
        <v>223</v>
      </c>
      <c r="D34" s="3">
        <v>40</v>
      </c>
      <c r="E34" s="3">
        <v>40</v>
      </c>
      <c r="F34" s="3">
        <v>40</v>
      </c>
      <c r="G34" s="3">
        <v>40</v>
      </c>
      <c r="H34" s="3">
        <v>40</v>
      </c>
      <c r="I34" s="3"/>
      <c r="J34" s="3" t="s">
        <v>151</v>
      </c>
      <c r="K34" s="3"/>
      <c r="M34" s="4"/>
      <c r="N34" s="12"/>
    </row>
    <row r="35" spans="2:14" ht="15" thickBot="1">
      <c r="B35" s="30" t="s">
        <v>238</v>
      </c>
      <c r="C35" s="3" t="s">
        <v>239</v>
      </c>
      <c r="D35" s="34">
        <v>37800</v>
      </c>
      <c r="E35" s="34">
        <v>45600</v>
      </c>
      <c r="F35" s="34">
        <v>44300</v>
      </c>
      <c r="G35" s="34">
        <v>43500</v>
      </c>
      <c r="H35" s="34">
        <v>45500</v>
      </c>
      <c r="I35" s="35">
        <v>0.2</v>
      </c>
      <c r="J35" s="3" t="s">
        <v>151</v>
      </c>
      <c r="K35" s="3" t="s">
        <v>273</v>
      </c>
      <c r="M35" s="12"/>
      <c r="N35" s="12"/>
    </row>
    <row r="36" spans="2:14" ht="15" thickBot="1">
      <c r="B36" s="3" t="s">
        <v>242</v>
      </c>
      <c r="C36" s="3" t="s">
        <v>231</v>
      </c>
      <c r="D36" s="41">
        <v>123</v>
      </c>
      <c r="E36" s="41">
        <v>99</v>
      </c>
      <c r="F36" s="41">
        <v>72</v>
      </c>
      <c r="G36" s="41">
        <v>47</v>
      </c>
      <c r="H36" s="41">
        <v>27</v>
      </c>
      <c r="I36" s="3"/>
      <c r="J36" s="3" t="s">
        <v>151</v>
      </c>
      <c r="K36" s="3" t="s">
        <v>249</v>
      </c>
    </row>
    <row r="37" spans="2:14" ht="15" thickBot="1">
      <c r="B37" s="1" t="s">
        <v>246</v>
      </c>
      <c r="C37" s="2" t="s">
        <v>216</v>
      </c>
      <c r="D37" s="1"/>
      <c r="E37" s="1"/>
      <c r="F37" s="1"/>
      <c r="G37" s="1"/>
      <c r="H37" s="1"/>
      <c r="I37" s="1"/>
      <c r="J37" s="1"/>
      <c r="K37" s="1"/>
    </row>
    <row r="38" spans="2:14" ht="15" thickBot="1">
      <c r="B38" s="3" t="s">
        <v>248</v>
      </c>
      <c r="C38" s="3" t="s">
        <v>231</v>
      </c>
      <c r="D38" s="41">
        <v>131</v>
      </c>
      <c r="E38" s="41">
        <v>115</v>
      </c>
      <c r="F38" s="41">
        <v>105</v>
      </c>
      <c r="G38" s="41">
        <v>93</v>
      </c>
      <c r="H38" s="41">
        <v>77</v>
      </c>
      <c r="I38" s="13"/>
      <c r="J38" s="13" t="s">
        <v>184</v>
      </c>
      <c r="K38" s="13" t="s">
        <v>252</v>
      </c>
    </row>
    <row r="39" spans="2:14" ht="15" thickBot="1">
      <c r="B39" s="3" t="s">
        <v>248</v>
      </c>
      <c r="C39" s="3" t="s">
        <v>239</v>
      </c>
      <c r="D39" s="41">
        <v>2616</v>
      </c>
      <c r="E39" s="41">
        <v>3461</v>
      </c>
      <c r="F39" s="41">
        <v>4218</v>
      </c>
      <c r="G39" s="41">
        <v>5575</v>
      </c>
      <c r="H39" s="41">
        <v>8460</v>
      </c>
      <c r="I39" s="13"/>
      <c r="J39" s="13"/>
      <c r="K39" s="13"/>
    </row>
    <row r="40" spans="2:14" ht="15" thickBot="1">
      <c r="B40" s="3" t="s">
        <v>254</v>
      </c>
      <c r="C40" s="3" t="s">
        <v>231</v>
      </c>
      <c r="D40" s="41">
        <v>111</v>
      </c>
      <c r="E40" s="41">
        <v>82</v>
      </c>
      <c r="F40" s="41">
        <v>67</v>
      </c>
      <c r="G40" s="41">
        <v>49</v>
      </c>
      <c r="H40" s="41">
        <v>32</v>
      </c>
      <c r="I40" s="13"/>
      <c r="J40" s="13" t="s">
        <v>184</v>
      </c>
      <c r="K40" s="13"/>
    </row>
    <row r="41" spans="2:14" ht="15" thickBot="1">
      <c r="B41" s="30" t="s">
        <v>277</v>
      </c>
      <c r="C41" s="3" t="s">
        <v>231</v>
      </c>
      <c r="D41" s="41">
        <v>473</v>
      </c>
      <c r="E41" s="41">
        <v>380</v>
      </c>
      <c r="F41" s="41">
        <v>277</v>
      </c>
      <c r="G41" s="41">
        <v>181</v>
      </c>
      <c r="H41" s="41">
        <v>103</v>
      </c>
      <c r="I41" s="35">
        <v>0.2</v>
      </c>
      <c r="J41" s="13" t="s">
        <v>151</v>
      </c>
      <c r="K41" s="13" t="s">
        <v>244</v>
      </c>
    </row>
    <row r="42" spans="2:14" ht="15" thickBot="1">
      <c r="B42" s="3" t="s">
        <v>258</v>
      </c>
      <c r="C42" s="30" t="s">
        <v>239</v>
      </c>
      <c r="D42" s="41">
        <v>1726</v>
      </c>
      <c r="E42" s="41">
        <v>1726</v>
      </c>
      <c r="F42" s="41">
        <v>11445</v>
      </c>
      <c r="G42" s="41">
        <v>15260</v>
      </c>
      <c r="H42" s="41">
        <v>15260</v>
      </c>
      <c r="I42" s="3"/>
      <c r="J42" s="3" t="s">
        <v>151</v>
      </c>
      <c r="K42" s="3" t="s">
        <v>250</v>
      </c>
    </row>
    <row r="43" spans="2:14" ht="15" thickBot="1">
      <c r="B43" s="36" t="s">
        <v>259</v>
      </c>
      <c r="C43" s="30" t="s">
        <v>260</v>
      </c>
      <c r="D43" s="41">
        <v>1000</v>
      </c>
      <c r="E43" s="41">
        <v>1000</v>
      </c>
      <c r="F43" s="41">
        <v>1500</v>
      </c>
      <c r="G43" s="41">
        <v>2000</v>
      </c>
      <c r="H43" s="41">
        <v>2000</v>
      </c>
      <c r="I43" s="3"/>
      <c r="J43" s="3"/>
      <c r="K43" s="3"/>
    </row>
    <row r="44" spans="2:14" ht="15" thickBot="1">
      <c r="B44" s="36" t="s">
        <v>261</v>
      </c>
      <c r="C44" s="30" t="s">
        <v>262</v>
      </c>
      <c r="D44" s="42">
        <v>1.7</v>
      </c>
      <c r="E44" s="42">
        <v>1.7</v>
      </c>
      <c r="F44" s="42">
        <v>7.6</v>
      </c>
      <c r="G44" s="42">
        <v>7.6</v>
      </c>
      <c r="H44" s="42">
        <v>7.6</v>
      </c>
      <c r="I44" s="3"/>
      <c r="J44" s="3"/>
      <c r="K44" s="3"/>
    </row>
    <row r="45" spans="2:14" ht="15" thickBot="1">
      <c r="B45" s="38" t="s">
        <v>263</v>
      </c>
      <c r="C45" s="39" t="s">
        <v>239</v>
      </c>
      <c r="D45" s="40">
        <v>53800</v>
      </c>
      <c r="E45" s="40">
        <v>64700</v>
      </c>
      <c r="F45" s="40">
        <v>73700</v>
      </c>
      <c r="G45" s="40">
        <v>78200</v>
      </c>
      <c r="H45" s="40">
        <v>84100</v>
      </c>
      <c r="I45" s="35">
        <v>0.2</v>
      </c>
      <c r="J45" s="40"/>
      <c r="K45" s="40"/>
    </row>
    <row r="48" spans="2:14">
      <c r="B48" s="4" t="s">
        <v>214</v>
      </c>
      <c r="C48" s="4">
        <v>2040</v>
      </c>
    </row>
    <row r="49" spans="2:11" ht="15" thickBot="1">
      <c r="B49" s="1" t="s">
        <v>215</v>
      </c>
      <c r="C49" s="2" t="s">
        <v>216</v>
      </c>
      <c r="D49" s="1"/>
      <c r="E49" s="2"/>
      <c r="F49" s="1"/>
      <c r="G49" s="1"/>
      <c r="H49" s="1"/>
      <c r="I49" s="1"/>
      <c r="J49" s="1"/>
      <c r="K49" s="1"/>
    </row>
    <row r="50" spans="2:11" ht="15" thickBot="1">
      <c r="B50" s="3" t="s">
        <v>220</v>
      </c>
      <c r="C50" s="30" t="s">
        <v>221</v>
      </c>
      <c r="D50" s="3">
        <v>20</v>
      </c>
      <c r="E50" s="31">
        <v>30</v>
      </c>
      <c r="F50" s="3">
        <v>40</v>
      </c>
      <c r="G50" s="3">
        <v>60</v>
      </c>
      <c r="H50" s="3">
        <v>110</v>
      </c>
      <c r="I50" s="3"/>
      <c r="J50" s="3"/>
      <c r="K50" s="3"/>
    </row>
    <row r="51" spans="2:11" ht="15" thickBot="1">
      <c r="B51" s="3" t="s">
        <v>222</v>
      </c>
      <c r="C51" s="5" t="s">
        <v>223</v>
      </c>
      <c r="D51" s="13">
        <v>94</v>
      </c>
      <c r="E51" s="13">
        <v>94</v>
      </c>
      <c r="F51" s="13">
        <v>94</v>
      </c>
      <c r="G51" s="13">
        <v>94</v>
      </c>
      <c r="H51" s="13">
        <v>94</v>
      </c>
      <c r="I51" s="33"/>
      <c r="J51" s="3" t="s">
        <v>151</v>
      </c>
      <c r="K51" s="3" t="s">
        <v>224</v>
      </c>
    </row>
    <row r="52" spans="2:11" ht="15" thickBot="1">
      <c r="B52" s="3" t="s">
        <v>226</v>
      </c>
      <c r="C52" s="5" t="s">
        <v>227</v>
      </c>
      <c r="D52" s="3">
        <v>20</v>
      </c>
      <c r="E52" s="3">
        <v>20</v>
      </c>
      <c r="F52" s="3">
        <v>20</v>
      </c>
      <c r="G52" s="3">
        <v>20</v>
      </c>
      <c r="H52" s="3">
        <v>20</v>
      </c>
      <c r="I52" s="3"/>
      <c r="J52" s="3" t="s">
        <v>151</v>
      </c>
      <c r="K52" s="3"/>
    </row>
    <row r="53" spans="2:11" ht="15" thickBot="1">
      <c r="B53" s="1" t="s">
        <v>229</v>
      </c>
      <c r="C53" s="2" t="s">
        <v>216</v>
      </c>
      <c r="D53" s="1"/>
      <c r="E53" s="1"/>
      <c r="F53" s="1"/>
      <c r="G53" s="1"/>
      <c r="H53" s="1"/>
      <c r="I53" s="1"/>
      <c r="J53" s="1"/>
      <c r="K53" s="1"/>
    </row>
    <row r="54" spans="2:11" ht="15" thickBot="1">
      <c r="B54" s="3" t="s">
        <v>230</v>
      </c>
      <c r="C54" s="3" t="s">
        <v>231</v>
      </c>
      <c r="D54" s="41">
        <v>1891</v>
      </c>
      <c r="E54" s="41">
        <v>1520</v>
      </c>
      <c r="F54" s="41">
        <v>1109</v>
      </c>
      <c r="G54" s="41">
        <v>726</v>
      </c>
      <c r="H54" s="41">
        <v>414</v>
      </c>
      <c r="I54" s="35">
        <v>0.25</v>
      </c>
      <c r="J54" s="3" t="s">
        <v>272</v>
      </c>
      <c r="K54" s="3" t="s">
        <v>273</v>
      </c>
    </row>
    <row r="55" spans="2:11" ht="15" thickBot="1">
      <c r="B55" s="36" t="s">
        <v>236</v>
      </c>
      <c r="C55" s="3" t="s">
        <v>223</v>
      </c>
      <c r="D55" s="3">
        <v>60</v>
      </c>
      <c r="E55" s="3">
        <v>60</v>
      </c>
      <c r="F55" s="3">
        <v>60</v>
      </c>
      <c r="G55" s="3">
        <v>60</v>
      </c>
      <c r="H55" s="3">
        <v>60</v>
      </c>
      <c r="I55" s="3"/>
      <c r="J55" s="3" t="s">
        <v>151</v>
      </c>
      <c r="K55" s="3"/>
    </row>
    <row r="56" spans="2:11" ht="15" thickBot="1">
      <c r="B56" s="36" t="s">
        <v>237</v>
      </c>
      <c r="C56" s="3" t="s">
        <v>223</v>
      </c>
      <c r="D56" s="3">
        <v>40</v>
      </c>
      <c r="E56" s="3">
        <v>40</v>
      </c>
      <c r="F56" s="3">
        <v>40</v>
      </c>
      <c r="G56" s="3">
        <v>40</v>
      </c>
      <c r="H56" s="3">
        <v>40</v>
      </c>
      <c r="I56" s="3"/>
      <c r="J56" s="3" t="s">
        <v>151</v>
      </c>
      <c r="K56" s="3"/>
    </row>
    <row r="57" spans="2:11" ht="15" thickBot="1">
      <c r="B57" s="30" t="s">
        <v>238</v>
      </c>
      <c r="C57" s="3" t="s">
        <v>239</v>
      </c>
      <c r="D57" s="34">
        <v>37800</v>
      </c>
      <c r="E57" s="34">
        <v>45600</v>
      </c>
      <c r="F57" s="34">
        <v>44300</v>
      </c>
      <c r="G57" s="34">
        <v>43500</v>
      </c>
      <c r="H57" s="34">
        <v>45500</v>
      </c>
      <c r="I57" s="35">
        <v>0.25</v>
      </c>
      <c r="J57" s="3" t="s">
        <v>151</v>
      </c>
      <c r="K57" s="3" t="s">
        <v>273</v>
      </c>
    </row>
    <row r="58" spans="2:11" ht="15" thickBot="1">
      <c r="B58" s="3" t="s">
        <v>242</v>
      </c>
      <c r="C58" s="3" t="s">
        <v>231</v>
      </c>
      <c r="D58" s="41">
        <v>123</v>
      </c>
      <c r="E58" s="41">
        <v>99</v>
      </c>
      <c r="F58" s="41">
        <v>72</v>
      </c>
      <c r="G58" s="41">
        <v>47</v>
      </c>
      <c r="H58" s="41">
        <v>27</v>
      </c>
      <c r="I58" s="3"/>
      <c r="J58" s="3" t="s">
        <v>151</v>
      </c>
      <c r="K58" s="3" t="s">
        <v>249</v>
      </c>
    </row>
    <row r="59" spans="2:11" ht="15" thickBot="1">
      <c r="B59" s="1" t="s">
        <v>246</v>
      </c>
      <c r="C59" s="2" t="s">
        <v>216</v>
      </c>
      <c r="D59" s="1"/>
      <c r="E59" s="1"/>
      <c r="F59" s="1"/>
      <c r="G59" s="1"/>
      <c r="H59" s="1"/>
      <c r="I59" s="1"/>
      <c r="J59" s="1"/>
      <c r="K59" s="1"/>
    </row>
    <row r="60" spans="2:11" ht="15" thickBot="1">
      <c r="B60" s="3" t="s">
        <v>248</v>
      </c>
      <c r="C60" s="3" t="s">
        <v>231</v>
      </c>
      <c r="D60" s="41">
        <v>131</v>
      </c>
      <c r="E60" s="41">
        <v>115</v>
      </c>
      <c r="F60" s="41">
        <v>105</v>
      </c>
      <c r="G60" s="41">
        <v>93</v>
      </c>
      <c r="H60" s="41">
        <v>77</v>
      </c>
      <c r="I60" s="13"/>
      <c r="J60" s="13" t="s">
        <v>184</v>
      </c>
      <c r="K60" s="13" t="s">
        <v>252</v>
      </c>
    </row>
    <row r="61" spans="2:11" ht="15" thickBot="1">
      <c r="B61" s="3" t="s">
        <v>248</v>
      </c>
      <c r="C61" s="3" t="s">
        <v>239</v>
      </c>
      <c r="D61" s="41">
        <v>2616</v>
      </c>
      <c r="E61" s="41">
        <v>3461</v>
      </c>
      <c r="F61" s="41">
        <v>4218</v>
      </c>
      <c r="G61" s="41">
        <v>5575</v>
      </c>
      <c r="H61" s="41">
        <v>8460</v>
      </c>
      <c r="I61" s="13"/>
      <c r="J61" s="13"/>
      <c r="K61" s="13"/>
    </row>
    <row r="62" spans="2:11" ht="15" thickBot="1">
      <c r="B62" s="3" t="s">
        <v>254</v>
      </c>
      <c r="C62" s="3" t="s">
        <v>231</v>
      </c>
      <c r="D62" s="41">
        <v>111</v>
      </c>
      <c r="E62" s="41">
        <v>82</v>
      </c>
      <c r="F62" s="41">
        <v>67</v>
      </c>
      <c r="G62" s="41">
        <v>49</v>
      </c>
      <c r="H62" s="41">
        <v>32</v>
      </c>
      <c r="I62" s="13"/>
      <c r="J62" s="13" t="s">
        <v>184</v>
      </c>
      <c r="K62" s="13"/>
    </row>
    <row r="63" spans="2:11" ht="15" thickBot="1">
      <c r="B63" s="30" t="s">
        <v>277</v>
      </c>
      <c r="C63" s="3" t="s">
        <v>231</v>
      </c>
      <c r="D63" s="41">
        <v>473</v>
      </c>
      <c r="E63" s="41">
        <v>380</v>
      </c>
      <c r="F63" s="41">
        <v>277</v>
      </c>
      <c r="G63" s="41">
        <v>181</v>
      </c>
      <c r="H63" s="41">
        <v>103</v>
      </c>
      <c r="I63" s="35">
        <v>0.25</v>
      </c>
      <c r="J63" s="13" t="s">
        <v>151</v>
      </c>
      <c r="K63" s="13" t="s">
        <v>244</v>
      </c>
    </row>
    <row r="64" spans="2:11" ht="15" thickBot="1">
      <c r="B64" s="3" t="s">
        <v>258</v>
      </c>
      <c r="C64" s="30" t="s">
        <v>239</v>
      </c>
      <c r="D64" s="41">
        <v>1726</v>
      </c>
      <c r="E64" s="41">
        <v>1726</v>
      </c>
      <c r="F64" s="41">
        <v>11445</v>
      </c>
      <c r="G64" s="41">
        <v>15260</v>
      </c>
      <c r="H64" s="41">
        <v>15260</v>
      </c>
      <c r="I64" s="3"/>
      <c r="J64" s="3" t="s">
        <v>151</v>
      </c>
      <c r="K64" s="3" t="s">
        <v>250</v>
      </c>
    </row>
    <row r="65" spans="2:11" ht="15" thickBot="1">
      <c r="B65" s="36" t="s">
        <v>259</v>
      </c>
      <c r="C65" s="30" t="s">
        <v>260</v>
      </c>
      <c r="D65" s="41">
        <v>1000</v>
      </c>
      <c r="E65" s="41">
        <v>1000</v>
      </c>
      <c r="F65" s="41">
        <v>1500</v>
      </c>
      <c r="G65" s="41">
        <v>2000</v>
      </c>
      <c r="H65" s="41">
        <v>2000</v>
      </c>
      <c r="I65" s="3"/>
      <c r="J65" s="3"/>
      <c r="K65" s="3"/>
    </row>
    <row r="66" spans="2:11" ht="15" thickBot="1">
      <c r="B66" s="36" t="s">
        <v>261</v>
      </c>
      <c r="C66" s="30" t="s">
        <v>262</v>
      </c>
      <c r="D66" s="42">
        <v>1.7</v>
      </c>
      <c r="E66" s="42">
        <v>1.7</v>
      </c>
      <c r="F66" s="42">
        <v>7.6</v>
      </c>
      <c r="G66" s="42">
        <v>7.6</v>
      </c>
      <c r="H66" s="42">
        <v>7.6</v>
      </c>
      <c r="I66" s="3"/>
      <c r="J66" s="3"/>
      <c r="K66" s="3"/>
    </row>
    <row r="67" spans="2:11" ht="15" thickBot="1">
      <c r="B67" s="38" t="s">
        <v>263</v>
      </c>
      <c r="C67" s="39" t="s">
        <v>239</v>
      </c>
      <c r="D67" s="40">
        <v>53800</v>
      </c>
      <c r="E67" s="40">
        <v>64700</v>
      </c>
      <c r="F67" s="40">
        <v>73700</v>
      </c>
      <c r="G67" s="40">
        <v>78200</v>
      </c>
      <c r="H67" s="40">
        <v>84100</v>
      </c>
      <c r="I67" s="35">
        <v>0.25</v>
      </c>
      <c r="J67" s="40"/>
      <c r="K67" s="40"/>
    </row>
  </sheetData>
  <mergeCells count="1">
    <mergeCell ref="F2:K3"/>
  </mergeCells>
  <conditionalFormatting sqref="I7 I10 I29 I32 I51 I54">
    <cfRule type="colorScale" priority="13">
      <colorScale>
        <cfvo type="num" val="0"/>
        <cfvo type="num" val="0.5"/>
        <color theme="0"/>
        <color theme="5"/>
      </colorScale>
    </cfRule>
  </conditionalFormatting>
  <conditionalFormatting sqref="I13">
    <cfRule type="colorScale" priority="8">
      <colorScale>
        <cfvo type="num" val="0"/>
        <cfvo type="num" val="0.5"/>
        <color theme="0"/>
        <color theme="5"/>
      </colorScale>
    </cfRule>
  </conditionalFormatting>
  <conditionalFormatting sqref="I19">
    <cfRule type="colorScale" priority="12">
      <colorScale>
        <cfvo type="num" val="0"/>
        <cfvo type="num" val="0.5"/>
        <color theme="0"/>
        <color theme="5"/>
      </colorScale>
    </cfRule>
  </conditionalFormatting>
  <conditionalFormatting sqref="I21">
    <cfRule type="colorScale" priority="11">
      <colorScale>
        <cfvo type="num" val="0"/>
        <cfvo type="num" val="0.5"/>
        <color theme="0"/>
        <color theme="5"/>
      </colorScale>
    </cfRule>
  </conditionalFormatting>
  <conditionalFormatting sqref="I23">
    <cfRule type="colorScale" priority="7">
      <colorScale>
        <cfvo type="num" val="0"/>
        <cfvo type="num" val="0.5"/>
        <color theme="0"/>
        <color theme="5"/>
      </colorScale>
    </cfRule>
  </conditionalFormatting>
  <conditionalFormatting sqref="I35">
    <cfRule type="colorScale" priority="6">
      <colorScale>
        <cfvo type="num" val="0"/>
        <cfvo type="num" val="0.5"/>
        <color theme="0"/>
        <color theme="5"/>
      </colorScale>
    </cfRule>
  </conditionalFormatting>
  <conditionalFormatting sqref="I41">
    <cfRule type="colorScale" priority="5">
      <colorScale>
        <cfvo type="num" val="0"/>
        <cfvo type="num" val="0.5"/>
        <color theme="0"/>
        <color theme="5"/>
      </colorScale>
    </cfRule>
  </conditionalFormatting>
  <conditionalFormatting sqref="I43">
    <cfRule type="colorScale" priority="10">
      <colorScale>
        <cfvo type="num" val="0"/>
        <cfvo type="num" val="0.5"/>
        <color theme="0"/>
        <color theme="5"/>
      </colorScale>
    </cfRule>
  </conditionalFormatting>
  <conditionalFormatting sqref="I45">
    <cfRule type="colorScale" priority="4">
      <colorScale>
        <cfvo type="num" val="0"/>
        <cfvo type="num" val="0.5"/>
        <color theme="0"/>
        <color theme="5"/>
      </colorScale>
    </cfRule>
  </conditionalFormatting>
  <conditionalFormatting sqref="I57">
    <cfRule type="colorScale" priority="3">
      <colorScale>
        <cfvo type="num" val="0"/>
        <cfvo type="num" val="0.5"/>
        <color theme="0"/>
        <color theme="5"/>
      </colorScale>
    </cfRule>
  </conditionalFormatting>
  <conditionalFormatting sqref="I63">
    <cfRule type="colorScale" priority="2">
      <colorScale>
        <cfvo type="num" val="0"/>
        <cfvo type="num" val="0.5"/>
        <color theme="0"/>
        <color theme="5"/>
      </colorScale>
    </cfRule>
  </conditionalFormatting>
  <conditionalFormatting sqref="I65">
    <cfRule type="colorScale" priority="9">
      <colorScale>
        <cfvo type="num" val="0"/>
        <cfvo type="num" val="0.5"/>
        <color theme="0"/>
        <color theme="5"/>
      </colorScale>
    </cfRule>
  </conditionalFormatting>
  <conditionalFormatting sqref="I67">
    <cfRule type="colorScale" priority="1">
      <colorScale>
        <cfvo type="num" val="0"/>
        <cfvo type="num" val="0.5"/>
        <color theme="0"/>
        <color theme="5"/>
      </colorScale>
    </cfRule>
  </conditionalFormatting>
  <hyperlinks>
    <hyperlink ref="A1" location="Inhalt!A1" display="Zum Inhalt" xr:uid="{46EBCCE8-9BC8-47A6-88CE-C5B6FCCCA0ED}"/>
  </hyperlinks>
  <pageMargins left="0.7" right="0.7" top="0.78740157499999996" bottom="0.78740157499999996"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71BF-A233-4CDD-8A8A-CB91B51EEB79}">
  <sheetPr codeName="Tabelle6"/>
  <dimension ref="A1:P67"/>
  <sheetViews>
    <sheetView zoomScaleNormal="100" workbookViewId="0">
      <selection activeCell="E12" sqref="E12"/>
    </sheetView>
  </sheetViews>
  <sheetFormatPr baseColWidth="10" defaultColWidth="11.44140625" defaultRowHeight="14.4"/>
  <cols>
    <col min="2" max="2" width="33.5546875" bestFit="1" customWidth="1"/>
    <col min="3" max="3" width="15" bestFit="1" customWidth="1"/>
    <col min="13" max="13" width="13.33203125" customWidth="1"/>
  </cols>
  <sheetData>
    <row r="1" spans="1:16" ht="28.2" thickBot="1">
      <c r="A1" s="99" t="s">
        <v>143</v>
      </c>
    </row>
    <row r="2" spans="1:16">
      <c r="F2" s="142" t="s">
        <v>212</v>
      </c>
      <c r="G2" s="143"/>
      <c r="H2" s="143"/>
      <c r="I2" s="143"/>
      <c r="J2" s="143"/>
      <c r="K2" s="144"/>
    </row>
    <row r="3" spans="1:16" ht="22.5" customHeight="1" thickBot="1">
      <c r="B3" s="4" t="s">
        <v>213</v>
      </c>
      <c r="C3" s="4" t="s">
        <v>44</v>
      </c>
      <c r="F3" s="145"/>
      <c r="G3" s="146"/>
      <c r="H3" s="146"/>
      <c r="I3" s="146"/>
      <c r="J3" s="146"/>
      <c r="K3" s="147"/>
    </row>
    <row r="4" spans="1:16">
      <c r="B4" s="4" t="s">
        <v>214</v>
      </c>
      <c r="C4" s="4">
        <v>2023</v>
      </c>
    </row>
    <row r="5" spans="1:16" ht="15" thickBot="1">
      <c r="B5" s="1" t="s">
        <v>215</v>
      </c>
      <c r="C5" s="2" t="s">
        <v>216</v>
      </c>
      <c r="D5" s="2"/>
      <c r="E5" s="1"/>
      <c r="F5" s="1"/>
      <c r="G5" s="1"/>
      <c r="H5" s="1"/>
      <c r="I5" s="1" t="s">
        <v>217</v>
      </c>
      <c r="J5" s="1" t="s">
        <v>147</v>
      </c>
      <c r="K5" s="1" t="s">
        <v>148</v>
      </c>
      <c r="M5" s="4" t="s">
        <v>218</v>
      </c>
      <c r="N5" s="12" t="s">
        <v>271</v>
      </c>
    </row>
    <row r="6" spans="1:16" ht="15" thickBot="1">
      <c r="B6" s="3" t="s">
        <v>220</v>
      </c>
      <c r="C6" s="30" t="s">
        <v>221</v>
      </c>
      <c r="D6" s="31">
        <v>10</v>
      </c>
      <c r="E6" s="3">
        <v>20</v>
      </c>
      <c r="F6" s="3">
        <v>30</v>
      </c>
      <c r="G6" s="3">
        <v>60</v>
      </c>
      <c r="H6" s="3">
        <v>110</v>
      </c>
      <c r="I6" s="3"/>
      <c r="J6" s="3" t="s">
        <v>151</v>
      </c>
      <c r="K6" s="3" t="s">
        <v>240</v>
      </c>
      <c r="M6" s="4" t="s">
        <v>214</v>
      </c>
      <c r="N6" s="4">
        <v>2023</v>
      </c>
      <c r="O6" s="4">
        <v>2030</v>
      </c>
      <c r="P6" s="4">
        <v>2040</v>
      </c>
    </row>
    <row r="7" spans="1:16" ht="15" thickBot="1">
      <c r="B7" s="3" t="s">
        <v>222</v>
      </c>
      <c r="C7" s="5" t="s">
        <v>223</v>
      </c>
      <c r="D7" s="32">
        <v>93</v>
      </c>
      <c r="E7" s="3">
        <v>95</v>
      </c>
      <c r="F7" s="3">
        <v>95</v>
      </c>
      <c r="G7" s="3">
        <v>95</v>
      </c>
      <c r="H7" s="3">
        <v>95</v>
      </c>
      <c r="I7" s="33">
        <v>0.05</v>
      </c>
      <c r="J7" s="3" t="s">
        <v>279</v>
      </c>
      <c r="K7" s="3"/>
      <c r="M7" s="12" t="s">
        <v>225</v>
      </c>
      <c r="N7" s="12">
        <v>4361.2</v>
      </c>
      <c r="O7" s="12">
        <v>4361.2</v>
      </c>
      <c r="P7" s="12">
        <v>4361.2</v>
      </c>
    </row>
    <row r="8" spans="1:16" ht="15" thickBot="1">
      <c r="B8" s="3" t="s">
        <v>280</v>
      </c>
      <c r="C8" s="5" t="s">
        <v>223</v>
      </c>
      <c r="D8" s="32">
        <v>99</v>
      </c>
      <c r="E8" s="3">
        <v>99.4</v>
      </c>
      <c r="F8" s="3">
        <v>99.4</v>
      </c>
      <c r="G8" s="3">
        <v>99.4</v>
      </c>
      <c r="H8" s="3">
        <v>99.4</v>
      </c>
      <c r="I8" s="33">
        <v>0.05</v>
      </c>
      <c r="J8" s="3" t="s">
        <v>279</v>
      </c>
      <c r="K8" s="3" t="s">
        <v>244</v>
      </c>
      <c r="M8" s="12" t="s">
        <v>228</v>
      </c>
      <c r="N8" s="12">
        <v>-0.81899999999999995</v>
      </c>
      <c r="O8" s="12">
        <v>-0.81899999999999995</v>
      </c>
      <c r="P8" s="12">
        <v>-0.81899999999999995</v>
      </c>
    </row>
    <row r="9" spans="1:16" ht="15" thickBot="1">
      <c r="B9" s="3" t="s">
        <v>226</v>
      </c>
      <c r="C9" s="5" t="s">
        <v>227</v>
      </c>
      <c r="D9" s="32">
        <v>20</v>
      </c>
      <c r="E9" s="3">
        <v>20</v>
      </c>
      <c r="F9" s="3">
        <v>20</v>
      </c>
      <c r="G9" s="3">
        <v>20</v>
      </c>
      <c r="H9" s="3">
        <v>20</v>
      </c>
      <c r="I9" s="3"/>
      <c r="J9" s="3" t="s">
        <v>281</v>
      </c>
      <c r="K9" s="3"/>
      <c r="M9" s="12" t="s">
        <v>23</v>
      </c>
      <c r="N9" s="43" t="s">
        <v>282</v>
      </c>
      <c r="O9" s="43" t="s">
        <v>282</v>
      </c>
      <c r="P9" s="43" t="s">
        <v>282</v>
      </c>
    </row>
    <row r="10" spans="1:16" ht="15" thickBot="1">
      <c r="B10" s="1" t="s">
        <v>229</v>
      </c>
      <c r="C10" s="2" t="s">
        <v>216</v>
      </c>
      <c r="D10" s="1"/>
      <c r="E10" s="1"/>
      <c r="F10" s="1"/>
      <c r="G10" s="1"/>
      <c r="H10" s="1"/>
      <c r="I10" s="1"/>
      <c r="J10" s="1"/>
      <c r="K10" s="1"/>
    </row>
    <row r="11" spans="1:16" ht="15" thickBot="1">
      <c r="B11" s="3" t="s">
        <v>230</v>
      </c>
      <c r="C11" s="3" t="s">
        <v>231</v>
      </c>
      <c r="D11" s="13">
        <v>709</v>
      </c>
      <c r="E11" s="13">
        <v>354</v>
      </c>
      <c r="F11" s="13">
        <v>245</v>
      </c>
      <c r="G11" s="13">
        <v>165</v>
      </c>
      <c r="H11" s="13">
        <v>161</v>
      </c>
      <c r="I11" s="33">
        <v>0.15</v>
      </c>
      <c r="J11" s="3" t="s">
        <v>272</v>
      </c>
      <c r="K11" s="3" t="s">
        <v>240</v>
      </c>
      <c r="M11" s="4" t="s">
        <v>234</v>
      </c>
      <c r="N11" s="12" t="s">
        <v>235</v>
      </c>
    </row>
    <row r="12" spans="1:16" ht="15" thickBot="1">
      <c r="B12" s="36" t="s">
        <v>236</v>
      </c>
      <c r="C12" s="3" t="s">
        <v>223</v>
      </c>
      <c r="D12" s="3">
        <v>70</v>
      </c>
      <c r="E12" s="3">
        <v>70</v>
      </c>
      <c r="F12" s="3">
        <v>70</v>
      </c>
      <c r="G12" s="3">
        <v>70</v>
      </c>
      <c r="H12" s="3">
        <v>70</v>
      </c>
      <c r="I12" s="3"/>
      <c r="J12" s="3"/>
      <c r="K12" s="3"/>
    </row>
    <row r="13" spans="1:16" ht="15" thickBot="1">
      <c r="B13" s="36" t="s">
        <v>237</v>
      </c>
      <c r="C13" s="3" t="s">
        <v>223</v>
      </c>
      <c r="D13" s="3">
        <v>30</v>
      </c>
      <c r="E13" s="3">
        <v>30</v>
      </c>
      <c r="F13" s="3">
        <v>30</v>
      </c>
      <c r="G13" s="3">
        <v>30</v>
      </c>
      <c r="H13" s="3">
        <v>30</v>
      </c>
      <c r="I13" s="3"/>
      <c r="J13" s="3"/>
      <c r="K13" s="3"/>
    </row>
    <row r="14" spans="1:16" ht="15" thickBot="1">
      <c r="B14" s="30" t="s">
        <v>263</v>
      </c>
      <c r="C14" s="3" t="s">
        <v>239</v>
      </c>
      <c r="D14" s="34">
        <v>7100</v>
      </c>
      <c r="E14" s="34">
        <v>7100</v>
      </c>
      <c r="F14" s="34">
        <v>7400</v>
      </c>
      <c r="G14" s="34">
        <v>9900</v>
      </c>
      <c r="H14" s="34">
        <v>17800</v>
      </c>
      <c r="I14" s="33">
        <v>0.15</v>
      </c>
      <c r="J14" s="3"/>
      <c r="K14" s="3"/>
      <c r="M14" s="4" t="s">
        <v>148</v>
      </c>
    </row>
    <row r="15" spans="1:16" ht="15" thickBot="1">
      <c r="B15" s="3" t="s">
        <v>242</v>
      </c>
      <c r="C15" s="3" t="s">
        <v>231</v>
      </c>
      <c r="D15" s="13">
        <v>21</v>
      </c>
      <c r="E15" s="13">
        <v>11</v>
      </c>
      <c r="F15" s="13">
        <v>7</v>
      </c>
      <c r="G15" s="13">
        <v>5</v>
      </c>
      <c r="H15" s="13">
        <v>5</v>
      </c>
      <c r="I15" s="33"/>
      <c r="J15" s="3" t="s">
        <v>172</v>
      </c>
      <c r="K15" s="3"/>
      <c r="M15" s="12" t="s">
        <v>240</v>
      </c>
      <c r="N15" s="12" t="s">
        <v>283</v>
      </c>
    </row>
    <row r="16" spans="1:16" ht="15" thickBot="1">
      <c r="B16" s="1" t="s">
        <v>246</v>
      </c>
      <c r="C16" s="2" t="s">
        <v>216</v>
      </c>
      <c r="D16" s="1"/>
      <c r="E16" s="1"/>
      <c r="F16" s="1"/>
      <c r="G16" s="1"/>
      <c r="H16" s="1"/>
      <c r="I16" s="1"/>
      <c r="J16" s="1"/>
      <c r="K16" s="1"/>
      <c r="M16" s="12" t="s">
        <v>244</v>
      </c>
      <c r="N16" s="12" t="s">
        <v>284</v>
      </c>
    </row>
    <row r="17" spans="2:14" ht="15" thickBot="1">
      <c r="B17" s="3" t="s">
        <v>248</v>
      </c>
      <c r="C17" s="3" t="s">
        <v>231</v>
      </c>
      <c r="D17" s="13">
        <v>162</v>
      </c>
      <c r="E17" s="13">
        <v>131</v>
      </c>
      <c r="F17" s="13">
        <v>115</v>
      </c>
      <c r="G17" s="13">
        <v>93</v>
      </c>
      <c r="H17" s="13">
        <v>77</v>
      </c>
      <c r="I17" s="13"/>
      <c r="J17" s="13" t="s">
        <v>188</v>
      </c>
      <c r="K17" s="13" t="s">
        <v>250</v>
      </c>
      <c r="M17" s="12" t="s">
        <v>224</v>
      </c>
      <c r="N17" s="12" t="s">
        <v>285</v>
      </c>
    </row>
    <row r="18" spans="2:14" ht="15" thickBot="1">
      <c r="B18" s="3" t="s">
        <v>248</v>
      </c>
      <c r="C18" s="3" t="s">
        <v>239</v>
      </c>
      <c r="D18" s="34">
        <v>1620</v>
      </c>
      <c r="E18" s="34">
        <v>2620</v>
      </c>
      <c r="F18" s="34">
        <v>3460</v>
      </c>
      <c r="G18" s="34">
        <v>5580</v>
      </c>
      <c r="H18" s="34">
        <v>8460</v>
      </c>
      <c r="I18" s="13"/>
      <c r="J18" s="13"/>
      <c r="K18" s="13"/>
      <c r="M18" s="12" t="s">
        <v>250</v>
      </c>
      <c r="N18" s="12" t="s">
        <v>253</v>
      </c>
    </row>
    <row r="19" spans="2:14" ht="15" thickBot="1">
      <c r="B19" s="3" t="s">
        <v>254</v>
      </c>
      <c r="C19" s="3" t="s">
        <v>231</v>
      </c>
      <c r="D19" s="13">
        <v>97</v>
      </c>
      <c r="E19" s="13">
        <v>49</v>
      </c>
      <c r="F19" s="13">
        <v>32</v>
      </c>
      <c r="G19" s="13">
        <v>16</v>
      </c>
      <c r="H19" s="13">
        <v>9</v>
      </c>
      <c r="I19" s="13"/>
      <c r="J19" s="13" t="s">
        <v>188</v>
      </c>
      <c r="K19" s="13"/>
      <c r="M19" s="12" t="s">
        <v>252</v>
      </c>
      <c r="N19" s="12" t="s">
        <v>255</v>
      </c>
    </row>
    <row r="20" spans="2:14" ht="15" thickBot="1">
      <c r="B20" s="3" t="s">
        <v>258</v>
      </c>
      <c r="C20" s="30" t="s">
        <v>239</v>
      </c>
      <c r="D20" s="13">
        <v>1025</v>
      </c>
      <c r="E20" s="13">
        <v>1726</v>
      </c>
      <c r="F20" s="13">
        <v>1726</v>
      </c>
      <c r="G20" s="13">
        <v>11445</v>
      </c>
      <c r="H20" s="13">
        <v>15260</v>
      </c>
      <c r="I20" s="13"/>
      <c r="J20" s="3" t="s">
        <v>151</v>
      </c>
      <c r="K20" s="3" t="s">
        <v>250</v>
      </c>
      <c r="M20" s="12" t="s">
        <v>249</v>
      </c>
      <c r="N20" s="12" t="s">
        <v>286</v>
      </c>
    </row>
    <row r="21" spans="2:14" ht="15" thickBot="1">
      <c r="B21" s="36" t="s">
        <v>259</v>
      </c>
      <c r="C21" s="30" t="s">
        <v>260</v>
      </c>
      <c r="D21" s="3">
        <v>500</v>
      </c>
      <c r="E21" s="3">
        <v>1000</v>
      </c>
      <c r="F21" s="3">
        <v>1000</v>
      </c>
      <c r="G21" s="3">
        <v>1500</v>
      </c>
      <c r="H21" s="3">
        <v>2000</v>
      </c>
      <c r="I21" s="3"/>
      <c r="J21" s="3"/>
      <c r="K21" s="3"/>
    </row>
    <row r="22" spans="2:14" ht="15" thickBot="1">
      <c r="B22" s="36" t="s">
        <v>261</v>
      </c>
      <c r="C22" s="30" t="s">
        <v>262</v>
      </c>
      <c r="D22" s="37">
        <v>2</v>
      </c>
      <c r="E22" s="37">
        <v>1.7</v>
      </c>
      <c r="F22" s="37">
        <v>1.7</v>
      </c>
      <c r="G22" s="37">
        <v>7.6</v>
      </c>
      <c r="H22" s="37">
        <v>7.6</v>
      </c>
      <c r="I22" s="3"/>
      <c r="J22" s="3"/>
      <c r="K22" s="3"/>
      <c r="M22" s="4" t="s">
        <v>147</v>
      </c>
      <c r="N22" s="12"/>
    </row>
    <row r="23" spans="2:14" ht="15" thickBot="1">
      <c r="B23" s="38" t="s">
        <v>263</v>
      </c>
      <c r="C23" s="39" t="s">
        <v>239</v>
      </c>
      <c r="D23" s="40">
        <v>10700</v>
      </c>
      <c r="E23" s="40">
        <v>12400</v>
      </c>
      <c r="F23" s="40">
        <v>13600</v>
      </c>
      <c r="G23" s="40">
        <v>27900</v>
      </c>
      <c r="H23" s="40">
        <v>42500</v>
      </c>
      <c r="I23" s="33">
        <v>0.15</v>
      </c>
      <c r="J23" s="40"/>
      <c r="K23" s="40"/>
      <c r="M23" s="12" t="s">
        <v>151</v>
      </c>
      <c r="N23" s="12" t="s">
        <v>287</v>
      </c>
    </row>
    <row r="24" spans="2:14">
      <c r="M24" s="12" t="s">
        <v>184</v>
      </c>
      <c r="N24" s="12" t="s">
        <v>264</v>
      </c>
    </row>
    <row r="25" spans="2:14">
      <c r="M25" s="12" t="s">
        <v>186</v>
      </c>
      <c r="N25" s="12" t="s">
        <v>266</v>
      </c>
    </row>
    <row r="26" spans="2:14">
      <c r="B26" s="4" t="s">
        <v>214</v>
      </c>
      <c r="C26" s="4">
        <v>2030</v>
      </c>
      <c r="M26" s="12" t="s">
        <v>188</v>
      </c>
      <c r="N26" s="12" t="s">
        <v>267</v>
      </c>
    </row>
    <row r="27" spans="2:14" ht="15" thickBot="1">
      <c r="B27" s="1" t="s">
        <v>215</v>
      </c>
      <c r="C27" s="2" t="s">
        <v>216</v>
      </c>
      <c r="D27" s="2"/>
      <c r="E27" s="1"/>
      <c r="F27" s="1"/>
      <c r="G27" s="1"/>
      <c r="H27" s="1"/>
      <c r="I27" s="1" t="s">
        <v>217</v>
      </c>
      <c r="J27" s="1" t="s">
        <v>147</v>
      </c>
      <c r="K27" s="1" t="s">
        <v>148</v>
      </c>
      <c r="M27" s="12" t="s">
        <v>192</v>
      </c>
      <c r="N27" s="12" t="s">
        <v>265</v>
      </c>
    </row>
    <row r="28" spans="2:14" ht="15" thickBot="1">
      <c r="B28" s="3" t="s">
        <v>220</v>
      </c>
      <c r="C28" s="30" t="s">
        <v>221</v>
      </c>
      <c r="D28" s="31">
        <v>10</v>
      </c>
      <c r="E28" s="3">
        <v>20</v>
      </c>
      <c r="F28" s="3">
        <v>30</v>
      </c>
      <c r="G28" s="3">
        <v>60</v>
      </c>
      <c r="H28" s="3">
        <v>110</v>
      </c>
      <c r="I28" s="3"/>
      <c r="J28" s="3"/>
      <c r="K28" s="3"/>
      <c r="M28" s="12" t="s">
        <v>172</v>
      </c>
      <c r="N28" s="12" t="s">
        <v>268</v>
      </c>
    </row>
    <row r="29" spans="2:14" ht="15" thickBot="1">
      <c r="B29" s="3" t="s">
        <v>222</v>
      </c>
      <c r="C29" s="5" t="s">
        <v>223</v>
      </c>
      <c r="D29" s="32">
        <v>93</v>
      </c>
      <c r="E29" s="3">
        <v>95</v>
      </c>
      <c r="F29" s="3">
        <v>95</v>
      </c>
      <c r="G29" s="3">
        <v>95</v>
      </c>
      <c r="H29" s="3">
        <v>95</v>
      </c>
      <c r="I29" s="33">
        <v>0.05</v>
      </c>
      <c r="J29" s="3" t="s">
        <v>279</v>
      </c>
      <c r="K29" s="3"/>
      <c r="M29" s="12" t="s">
        <v>179</v>
      </c>
      <c r="N29" s="12" t="s">
        <v>288</v>
      </c>
    </row>
    <row r="30" spans="2:14" ht="15" thickBot="1">
      <c r="B30" s="3" t="s">
        <v>280</v>
      </c>
      <c r="C30" s="5" t="s">
        <v>223</v>
      </c>
      <c r="D30" s="32">
        <v>99</v>
      </c>
      <c r="E30" s="3">
        <v>99.4</v>
      </c>
      <c r="F30" s="3">
        <v>99.4</v>
      </c>
      <c r="G30" s="3">
        <v>99.4</v>
      </c>
      <c r="H30" s="3">
        <v>99.4</v>
      </c>
      <c r="I30" s="33">
        <v>0.05</v>
      </c>
      <c r="J30" s="3" t="s">
        <v>279</v>
      </c>
      <c r="K30" s="3" t="s">
        <v>244</v>
      </c>
    </row>
    <row r="31" spans="2:14" ht="15" thickBot="1">
      <c r="B31" s="3" t="s">
        <v>226</v>
      </c>
      <c r="C31" s="5" t="s">
        <v>227</v>
      </c>
      <c r="D31" s="32">
        <v>20</v>
      </c>
      <c r="E31" s="3">
        <v>20</v>
      </c>
      <c r="F31" s="3">
        <v>20</v>
      </c>
      <c r="G31" s="3">
        <v>20</v>
      </c>
      <c r="H31" s="3">
        <v>20</v>
      </c>
      <c r="I31" s="3"/>
      <c r="J31" s="3" t="s">
        <v>172</v>
      </c>
      <c r="K31" s="3"/>
    </row>
    <row r="32" spans="2:14" ht="15" thickBot="1">
      <c r="B32" s="1" t="s">
        <v>229</v>
      </c>
      <c r="C32" s="2" t="s">
        <v>216</v>
      </c>
      <c r="D32" s="1"/>
      <c r="E32" s="1"/>
      <c r="F32" s="1"/>
      <c r="G32" s="1"/>
      <c r="H32" s="1"/>
      <c r="I32" s="1"/>
      <c r="J32" s="1"/>
      <c r="K32" s="1"/>
    </row>
    <row r="33" spans="2:16" ht="15" thickBot="1">
      <c r="B33" s="3" t="s">
        <v>230</v>
      </c>
      <c r="C33" s="3" t="s">
        <v>231</v>
      </c>
      <c r="D33" s="13">
        <v>709</v>
      </c>
      <c r="E33" s="13">
        <v>354</v>
      </c>
      <c r="F33" s="13">
        <v>245</v>
      </c>
      <c r="G33" s="13">
        <v>165</v>
      </c>
      <c r="H33" s="13">
        <v>161</v>
      </c>
      <c r="I33" s="33">
        <v>0.2</v>
      </c>
      <c r="J33" s="3" t="s">
        <v>272</v>
      </c>
      <c r="K33" s="3" t="s">
        <v>240</v>
      </c>
    </row>
    <row r="34" spans="2:16" ht="15" thickBot="1">
      <c r="B34" s="36" t="s">
        <v>236</v>
      </c>
      <c r="C34" s="3" t="s">
        <v>223</v>
      </c>
      <c r="D34" s="3">
        <v>70</v>
      </c>
      <c r="E34" s="3">
        <v>70</v>
      </c>
      <c r="F34" s="3">
        <v>70</v>
      </c>
      <c r="G34" s="3">
        <v>70</v>
      </c>
      <c r="H34" s="3">
        <v>70</v>
      </c>
      <c r="I34" s="3"/>
      <c r="J34" s="3"/>
      <c r="K34" s="3"/>
    </row>
    <row r="35" spans="2:16" ht="15" thickBot="1">
      <c r="B35" s="36" t="s">
        <v>237</v>
      </c>
      <c r="C35" s="3" t="s">
        <v>223</v>
      </c>
      <c r="D35" s="3">
        <v>30</v>
      </c>
      <c r="E35" s="3">
        <v>30</v>
      </c>
      <c r="F35" s="3">
        <v>30</v>
      </c>
      <c r="G35" s="3">
        <v>30</v>
      </c>
      <c r="H35" s="3">
        <v>30</v>
      </c>
      <c r="I35" s="3"/>
      <c r="J35" s="3"/>
      <c r="K35" s="3"/>
    </row>
    <row r="36" spans="2:16" ht="15" thickBot="1">
      <c r="B36" s="30" t="s">
        <v>263</v>
      </c>
      <c r="C36" s="3" t="s">
        <v>239</v>
      </c>
      <c r="D36" s="34">
        <v>7100</v>
      </c>
      <c r="E36" s="34">
        <v>7100</v>
      </c>
      <c r="F36" s="34">
        <v>7400</v>
      </c>
      <c r="G36" s="34">
        <v>9900</v>
      </c>
      <c r="H36" s="34">
        <v>17800</v>
      </c>
      <c r="I36" s="33">
        <v>0.2</v>
      </c>
      <c r="J36" s="3"/>
      <c r="K36" s="3"/>
      <c r="O36" s="10"/>
    </row>
    <row r="37" spans="2:16" ht="15" thickBot="1">
      <c r="B37" s="3" t="s">
        <v>242</v>
      </c>
      <c r="C37" s="3" t="s">
        <v>289</v>
      </c>
      <c r="D37" s="13">
        <v>21</v>
      </c>
      <c r="E37" s="13">
        <v>11</v>
      </c>
      <c r="F37" s="13">
        <v>7</v>
      </c>
      <c r="G37" s="13">
        <v>5</v>
      </c>
      <c r="H37" s="13">
        <v>5</v>
      </c>
      <c r="I37" s="33"/>
      <c r="J37" s="3" t="s">
        <v>172</v>
      </c>
      <c r="K37" s="3"/>
      <c r="M37" s="10"/>
      <c r="N37" s="10"/>
    </row>
    <row r="38" spans="2:16" ht="15" thickBot="1">
      <c r="B38" s="1" t="s">
        <v>246</v>
      </c>
      <c r="C38" s="2" t="s">
        <v>216</v>
      </c>
      <c r="D38" s="1"/>
      <c r="E38" s="1"/>
      <c r="F38" s="1"/>
      <c r="G38" s="1"/>
      <c r="H38" s="1"/>
      <c r="I38" s="1"/>
      <c r="J38" s="1"/>
      <c r="K38" s="1"/>
    </row>
    <row r="39" spans="2:16" ht="15" thickBot="1">
      <c r="B39" s="3" t="s">
        <v>248</v>
      </c>
      <c r="C39" s="3" t="s">
        <v>231</v>
      </c>
      <c r="D39" s="13">
        <v>162</v>
      </c>
      <c r="E39" s="13">
        <v>131</v>
      </c>
      <c r="F39" s="13">
        <v>115</v>
      </c>
      <c r="G39" s="13">
        <v>93</v>
      </c>
      <c r="H39" s="13">
        <v>77</v>
      </c>
      <c r="I39" s="13"/>
      <c r="J39" s="13" t="s">
        <v>188</v>
      </c>
      <c r="K39" s="13" t="s">
        <v>252</v>
      </c>
      <c r="P39" s="10"/>
    </row>
    <row r="40" spans="2:16" ht="15" thickBot="1">
      <c r="B40" s="3" t="s">
        <v>248</v>
      </c>
      <c r="C40" s="3" t="s">
        <v>239</v>
      </c>
      <c r="D40" s="34">
        <v>1620</v>
      </c>
      <c r="E40" s="34">
        <v>2620</v>
      </c>
      <c r="F40" s="34">
        <v>3460</v>
      </c>
      <c r="G40" s="34">
        <v>5580</v>
      </c>
      <c r="H40" s="34">
        <v>8460</v>
      </c>
      <c r="I40" s="13"/>
      <c r="J40" s="13"/>
      <c r="K40" s="13"/>
    </row>
    <row r="41" spans="2:16" ht="15" thickBot="1">
      <c r="B41" s="3" t="s">
        <v>254</v>
      </c>
      <c r="C41" s="3" t="s">
        <v>231</v>
      </c>
      <c r="D41" s="13">
        <v>97</v>
      </c>
      <c r="E41" s="13">
        <v>49</v>
      </c>
      <c r="F41" s="13">
        <v>32</v>
      </c>
      <c r="G41" s="13">
        <v>16</v>
      </c>
      <c r="H41" s="13">
        <v>9</v>
      </c>
      <c r="I41" s="13"/>
      <c r="J41" s="13" t="s">
        <v>188</v>
      </c>
      <c r="K41" s="13"/>
    </row>
    <row r="42" spans="2:16" ht="15" thickBot="1">
      <c r="B42" s="3" t="s">
        <v>258</v>
      </c>
      <c r="C42" s="30" t="s">
        <v>239</v>
      </c>
      <c r="D42" s="34">
        <v>1025</v>
      </c>
      <c r="E42" s="34">
        <v>1726</v>
      </c>
      <c r="F42" s="34">
        <v>1726</v>
      </c>
      <c r="G42" s="34">
        <v>11445</v>
      </c>
      <c r="H42" s="34">
        <v>15260</v>
      </c>
      <c r="I42" s="13"/>
      <c r="J42" s="3" t="s">
        <v>151</v>
      </c>
      <c r="K42" s="3" t="s">
        <v>250</v>
      </c>
    </row>
    <row r="43" spans="2:16" ht="15" thickBot="1">
      <c r="B43" s="36" t="s">
        <v>259</v>
      </c>
      <c r="C43" s="30" t="s">
        <v>260</v>
      </c>
      <c r="D43" s="34">
        <v>500</v>
      </c>
      <c r="E43" s="34">
        <v>1000</v>
      </c>
      <c r="F43" s="34">
        <v>1000</v>
      </c>
      <c r="G43" s="34">
        <v>1500</v>
      </c>
      <c r="H43" s="34">
        <v>2000</v>
      </c>
      <c r="I43" s="3"/>
      <c r="J43" s="3"/>
      <c r="K43" s="3"/>
    </row>
    <row r="44" spans="2:16" ht="15" thickBot="1">
      <c r="B44" s="36" t="s">
        <v>261</v>
      </c>
      <c r="C44" s="30" t="s">
        <v>262</v>
      </c>
      <c r="D44" s="37">
        <v>2</v>
      </c>
      <c r="E44" s="37">
        <v>1.7</v>
      </c>
      <c r="F44" s="37">
        <v>1.7</v>
      </c>
      <c r="G44" s="37">
        <v>7.6</v>
      </c>
      <c r="H44" s="37">
        <v>7.6</v>
      </c>
      <c r="I44" s="3"/>
      <c r="J44" s="3"/>
      <c r="K44" s="3"/>
    </row>
    <row r="45" spans="2:16" ht="15" thickBot="1">
      <c r="B45" s="38" t="s">
        <v>263</v>
      </c>
      <c r="C45" s="39" t="s">
        <v>239</v>
      </c>
      <c r="D45" s="40">
        <v>10700</v>
      </c>
      <c r="E45" s="40">
        <v>12400</v>
      </c>
      <c r="F45" s="40">
        <v>13600</v>
      </c>
      <c r="G45" s="40">
        <v>27900</v>
      </c>
      <c r="H45" s="40">
        <v>42500</v>
      </c>
      <c r="I45" s="33">
        <v>0.2</v>
      </c>
      <c r="J45" s="40"/>
      <c r="K45" s="40"/>
    </row>
    <row r="48" spans="2:16">
      <c r="B48" s="4" t="s">
        <v>214</v>
      </c>
      <c r="C48" s="4">
        <v>2040</v>
      </c>
    </row>
    <row r="49" spans="2:11" ht="15" thickBot="1">
      <c r="B49" s="1" t="s">
        <v>215</v>
      </c>
      <c r="C49" s="2" t="s">
        <v>216</v>
      </c>
      <c r="D49" s="2"/>
      <c r="E49" s="1"/>
      <c r="F49" s="1"/>
      <c r="G49" s="1"/>
      <c r="H49" s="1"/>
      <c r="I49" s="1" t="s">
        <v>217</v>
      </c>
      <c r="J49" s="1" t="s">
        <v>147</v>
      </c>
      <c r="K49" s="1" t="s">
        <v>148</v>
      </c>
    </row>
    <row r="50" spans="2:11" ht="15" thickBot="1">
      <c r="B50" s="3" t="s">
        <v>220</v>
      </c>
      <c r="C50" s="30" t="s">
        <v>221</v>
      </c>
      <c r="D50" s="31">
        <v>10</v>
      </c>
      <c r="E50" s="3">
        <v>20</v>
      </c>
      <c r="F50" s="3">
        <v>30</v>
      </c>
      <c r="G50" s="3">
        <v>60</v>
      </c>
      <c r="H50" s="3">
        <v>110</v>
      </c>
      <c r="I50" s="3"/>
      <c r="J50" s="3"/>
      <c r="K50" s="3"/>
    </row>
    <row r="51" spans="2:11" ht="15" thickBot="1">
      <c r="B51" s="3" t="s">
        <v>222</v>
      </c>
      <c r="C51" s="5" t="s">
        <v>223</v>
      </c>
      <c r="D51" s="32">
        <v>93</v>
      </c>
      <c r="E51" s="3">
        <v>95</v>
      </c>
      <c r="F51" s="3">
        <v>95</v>
      </c>
      <c r="G51" s="3">
        <v>95</v>
      </c>
      <c r="H51" s="3">
        <v>95</v>
      </c>
      <c r="I51" s="33">
        <v>0.05</v>
      </c>
      <c r="J51" s="3" t="s">
        <v>279</v>
      </c>
      <c r="K51" s="3"/>
    </row>
    <row r="52" spans="2:11" ht="15" thickBot="1">
      <c r="B52" s="3" t="s">
        <v>280</v>
      </c>
      <c r="C52" s="5" t="s">
        <v>223</v>
      </c>
      <c r="D52" s="32">
        <v>99</v>
      </c>
      <c r="E52" s="3">
        <v>99.4</v>
      </c>
      <c r="F52" s="3">
        <v>99.4</v>
      </c>
      <c r="G52" s="3">
        <v>99.4</v>
      </c>
      <c r="H52" s="3">
        <v>99.4</v>
      </c>
      <c r="I52" s="33">
        <v>0.05</v>
      </c>
      <c r="J52" s="3" t="s">
        <v>279</v>
      </c>
      <c r="K52" s="3" t="s">
        <v>244</v>
      </c>
    </row>
    <row r="53" spans="2:11" ht="15" thickBot="1">
      <c r="B53" s="3" t="s">
        <v>226</v>
      </c>
      <c r="C53" s="5" t="s">
        <v>227</v>
      </c>
      <c r="D53" s="32">
        <v>20</v>
      </c>
      <c r="E53" s="3">
        <v>20</v>
      </c>
      <c r="F53" s="3">
        <v>20</v>
      </c>
      <c r="G53" s="3">
        <v>20</v>
      </c>
      <c r="H53" s="3">
        <v>20</v>
      </c>
      <c r="I53" s="3"/>
      <c r="J53" s="3" t="s">
        <v>281</v>
      </c>
      <c r="K53" s="3"/>
    </row>
    <row r="54" spans="2:11" ht="15" thickBot="1">
      <c r="B54" s="1" t="s">
        <v>229</v>
      </c>
      <c r="C54" s="2" t="s">
        <v>216</v>
      </c>
      <c r="D54" s="1"/>
      <c r="E54" s="1"/>
      <c r="F54" s="1"/>
      <c r="G54" s="1"/>
      <c r="H54" s="1"/>
      <c r="I54" s="1"/>
      <c r="J54" s="1"/>
      <c r="K54" s="1"/>
    </row>
    <row r="55" spans="2:11" ht="15" thickBot="1">
      <c r="B55" s="3" t="s">
        <v>230</v>
      </c>
      <c r="C55" s="3" t="s">
        <v>231</v>
      </c>
      <c r="D55" s="13">
        <v>709</v>
      </c>
      <c r="E55" s="13">
        <v>354</v>
      </c>
      <c r="F55" s="13">
        <v>245</v>
      </c>
      <c r="G55" s="13">
        <v>165</v>
      </c>
      <c r="H55" s="13">
        <v>161</v>
      </c>
      <c r="I55" s="33">
        <v>0.3</v>
      </c>
      <c r="J55" s="3" t="s">
        <v>272</v>
      </c>
      <c r="K55" s="3" t="s">
        <v>224</v>
      </c>
    </row>
    <row r="56" spans="2:11" ht="15" thickBot="1">
      <c r="B56" s="36" t="s">
        <v>236</v>
      </c>
      <c r="C56" s="3" t="s">
        <v>223</v>
      </c>
      <c r="D56" s="3">
        <v>70</v>
      </c>
      <c r="E56" s="3">
        <v>70</v>
      </c>
      <c r="F56" s="3">
        <v>70</v>
      </c>
      <c r="G56" s="3">
        <v>70</v>
      </c>
      <c r="H56" s="3">
        <v>70</v>
      </c>
      <c r="I56" s="3"/>
      <c r="J56" s="3"/>
      <c r="K56" s="3"/>
    </row>
    <row r="57" spans="2:11" ht="15" thickBot="1">
      <c r="B57" s="36" t="s">
        <v>237</v>
      </c>
      <c r="C57" s="3" t="s">
        <v>223</v>
      </c>
      <c r="D57" s="3">
        <v>30</v>
      </c>
      <c r="E57" s="3">
        <v>30</v>
      </c>
      <c r="F57" s="3">
        <v>30</v>
      </c>
      <c r="G57" s="3">
        <v>30</v>
      </c>
      <c r="H57" s="3">
        <v>30</v>
      </c>
      <c r="I57" s="3"/>
      <c r="J57" s="3"/>
      <c r="K57" s="3"/>
    </row>
    <row r="58" spans="2:11" ht="15" thickBot="1">
      <c r="B58" s="30" t="s">
        <v>263</v>
      </c>
      <c r="C58" s="3" t="s">
        <v>239</v>
      </c>
      <c r="D58" s="34">
        <v>7800</v>
      </c>
      <c r="E58" s="34">
        <v>7800</v>
      </c>
      <c r="F58" s="34">
        <v>8100</v>
      </c>
      <c r="G58" s="34">
        <v>10900</v>
      </c>
      <c r="H58" s="34">
        <v>19500</v>
      </c>
      <c r="I58" s="33">
        <v>0.3</v>
      </c>
      <c r="J58" s="3"/>
      <c r="K58" s="3"/>
    </row>
    <row r="59" spans="2:11" ht="15" thickBot="1">
      <c r="B59" s="3" t="s">
        <v>242</v>
      </c>
      <c r="C59" s="3" t="s">
        <v>289</v>
      </c>
      <c r="D59" s="13">
        <v>23</v>
      </c>
      <c r="E59" s="13">
        <v>12</v>
      </c>
      <c r="F59" s="13">
        <v>8</v>
      </c>
      <c r="G59" s="13">
        <v>5</v>
      </c>
      <c r="H59" s="13">
        <v>5</v>
      </c>
      <c r="I59" s="33"/>
      <c r="J59" s="3" t="s">
        <v>172</v>
      </c>
      <c r="K59" s="3"/>
    </row>
    <row r="60" spans="2:11" ht="15" thickBot="1">
      <c r="B60" s="1" t="s">
        <v>246</v>
      </c>
      <c r="C60" s="2" t="s">
        <v>216</v>
      </c>
      <c r="D60" s="1"/>
      <c r="E60" s="1"/>
      <c r="F60" s="1"/>
      <c r="G60" s="1"/>
      <c r="H60" s="1"/>
      <c r="I60" s="1"/>
      <c r="J60" s="1"/>
      <c r="K60" s="1"/>
    </row>
    <row r="61" spans="2:11" ht="15" thickBot="1">
      <c r="B61" s="3" t="s">
        <v>248</v>
      </c>
      <c r="C61" s="3" t="s">
        <v>231</v>
      </c>
      <c r="D61" s="13">
        <v>162</v>
      </c>
      <c r="E61" s="13">
        <v>131</v>
      </c>
      <c r="F61" s="13">
        <v>115</v>
      </c>
      <c r="G61" s="13">
        <v>93</v>
      </c>
      <c r="H61" s="13">
        <v>77</v>
      </c>
      <c r="I61" s="13"/>
      <c r="J61" s="13" t="s">
        <v>188</v>
      </c>
      <c r="K61" s="13" t="s">
        <v>252</v>
      </c>
    </row>
    <row r="62" spans="2:11" ht="15" thickBot="1">
      <c r="B62" s="3" t="s">
        <v>248</v>
      </c>
      <c r="C62" s="3" t="s">
        <v>239</v>
      </c>
      <c r="D62" s="34">
        <v>1620</v>
      </c>
      <c r="E62" s="34">
        <v>2620</v>
      </c>
      <c r="F62" s="34">
        <v>3460</v>
      </c>
      <c r="G62" s="34">
        <v>5580</v>
      </c>
      <c r="H62" s="34">
        <v>8460</v>
      </c>
      <c r="I62" s="13"/>
      <c r="J62" s="13"/>
      <c r="K62" s="13"/>
    </row>
    <row r="63" spans="2:11" ht="15" thickBot="1">
      <c r="B63" s="3" t="s">
        <v>254</v>
      </c>
      <c r="C63" s="3" t="s">
        <v>231</v>
      </c>
      <c r="D63" s="13">
        <v>97</v>
      </c>
      <c r="E63" s="13">
        <v>49</v>
      </c>
      <c r="F63" s="13">
        <v>32</v>
      </c>
      <c r="G63" s="13">
        <v>16</v>
      </c>
      <c r="H63" s="13">
        <v>9</v>
      </c>
      <c r="I63" s="13"/>
      <c r="J63" s="13" t="s">
        <v>188</v>
      </c>
      <c r="K63" s="13"/>
    </row>
    <row r="64" spans="2:11" ht="15" thickBot="1">
      <c r="B64" s="3" t="s">
        <v>258</v>
      </c>
      <c r="C64" s="30" t="s">
        <v>239</v>
      </c>
      <c r="D64" s="34">
        <v>1025</v>
      </c>
      <c r="E64" s="34">
        <v>1726</v>
      </c>
      <c r="F64" s="34">
        <v>1726</v>
      </c>
      <c r="G64" s="34">
        <v>11445</v>
      </c>
      <c r="H64" s="34">
        <v>15260</v>
      </c>
      <c r="I64" s="13"/>
      <c r="J64" s="3" t="s">
        <v>151</v>
      </c>
      <c r="K64" s="3" t="s">
        <v>250</v>
      </c>
    </row>
    <row r="65" spans="2:11" ht="15" thickBot="1">
      <c r="B65" s="36" t="s">
        <v>259</v>
      </c>
      <c r="C65" s="30" t="s">
        <v>260</v>
      </c>
      <c r="D65" s="34">
        <v>500</v>
      </c>
      <c r="E65" s="34">
        <v>1000</v>
      </c>
      <c r="F65" s="34">
        <v>1000</v>
      </c>
      <c r="G65" s="34">
        <v>1500</v>
      </c>
      <c r="H65" s="34">
        <v>2000</v>
      </c>
      <c r="I65" s="3"/>
      <c r="J65" s="3"/>
      <c r="K65" s="3"/>
    </row>
    <row r="66" spans="2:11" ht="15" thickBot="1">
      <c r="B66" s="36" t="s">
        <v>261</v>
      </c>
      <c r="C66" s="30" t="s">
        <v>262</v>
      </c>
      <c r="D66" s="37">
        <v>2</v>
      </c>
      <c r="E66" s="37">
        <v>1.7</v>
      </c>
      <c r="F66" s="37">
        <v>1.7</v>
      </c>
      <c r="G66" s="37">
        <v>7.6</v>
      </c>
      <c r="H66" s="37">
        <v>7.6</v>
      </c>
      <c r="I66" s="3"/>
      <c r="J66" s="3"/>
      <c r="K66" s="3"/>
    </row>
    <row r="67" spans="2:11" ht="15" thickBot="1">
      <c r="B67" s="38" t="s">
        <v>263</v>
      </c>
      <c r="C67" s="39" t="s">
        <v>239</v>
      </c>
      <c r="D67" s="40">
        <v>11400</v>
      </c>
      <c r="E67" s="40">
        <v>13100</v>
      </c>
      <c r="F67" s="40">
        <v>14300</v>
      </c>
      <c r="G67" s="40">
        <v>28900</v>
      </c>
      <c r="H67" s="40">
        <v>44200</v>
      </c>
      <c r="I67" s="33">
        <v>0.3</v>
      </c>
      <c r="J67" s="40"/>
      <c r="K67" s="40"/>
    </row>
  </sheetData>
  <mergeCells count="1">
    <mergeCell ref="F2:K3"/>
  </mergeCells>
  <conditionalFormatting sqref="I7:I8 I11 I29:I30 I51:I52 I33 I55 I14:I15 I36:I37 I58:I59">
    <cfRule type="colorScale" priority="7">
      <colorScale>
        <cfvo type="num" val="0"/>
        <cfvo type="num" val="0.5"/>
        <color theme="0"/>
        <color theme="5"/>
      </colorScale>
    </cfRule>
  </conditionalFormatting>
  <conditionalFormatting sqref="I21">
    <cfRule type="colorScale" priority="6">
      <colorScale>
        <cfvo type="num" val="0"/>
        <cfvo type="num" val="0.5"/>
        <color theme="0"/>
        <color theme="5"/>
      </colorScale>
    </cfRule>
  </conditionalFormatting>
  <conditionalFormatting sqref="I23">
    <cfRule type="colorScale" priority="3">
      <colorScale>
        <cfvo type="num" val="0"/>
        <cfvo type="num" val="0.5"/>
        <color theme="0"/>
        <color theme="5"/>
      </colorScale>
    </cfRule>
  </conditionalFormatting>
  <conditionalFormatting sqref="I43">
    <cfRule type="colorScale" priority="5">
      <colorScale>
        <cfvo type="num" val="0"/>
        <cfvo type="num" val="0.5"/>
        <color theme="0"/>
        <color theme="5"/>
      </colorScale>
    </cfRule>
  </conditionalFormatting>
  <conditionalFormatting sqref="I45">
    <cfRule type="colorScale" priority="2">
      <colorScale>
        <cfvo type="num" val="0"/>
        <cfvo type="num" val="0.5"/>
        <color theme="0"/>
        <color theme="5"/>
      </colorScale>
    </cfRule>
  </conditionalFormatting>
  <conditionalFormatting sqref="I65">
    <cfRule type="colorScale" priority="4">
      <colorScale>
        <cfvo type="num" val="0"/>
        <cfvo type="num" val="0.5"/>
        <color theme="0"/>
        <color theme="5"/>
      </colorScale>
    </cfRule>
  </conditionalFormatting>
  <conditionalFormatting sqref="I67">
    <cfRule type="colorScale" priority="1">
      <colorScale>
        <cfvo type="num" val="0"/>
        <cfvo type="num" val="0.5"/>
        <color theme="0"/>
        <color theme="5"/>
      </colorScale>
    </cfRule>
  </conditionalFormatting>
  <hyperlinks>
    <hyperlink ref="A1" location="Inhalt!A1" display="Zum Inhalt" xr:uid="{51CA0591-15EE-4E20-8F8E-AC4FA43754B0}"/>
  </hyperlinks>
  <pageMargins left="0.7" right="0.7" top="0.78740157499999996" bottom="0.78740157499999996"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9B44F-CA7E-448E-84B9-493B17A41396}">
  <sheetPr codeName="Tabelle7"/>
  <dimension ref="A1:Y66"/>
  <sheetViews>
    <sheetView zoomScaleNormal="100" workbookViewId="0">
      <selection activeCell="D3" sqref="D3"/>
    </sheetView>
  </sheetViews>
  <sheetFormatPr baseColWidth="10" defaultColWidth="11.44140625" defaultRowHeight="14.4"/>
  <cols>
    <col min="2" max="2" width="29.5546875" bestFit="1" customWidth="1"/>
    <col min="3" max="3" width="12.33203125" bestFit="1" customWidth="1"/>
    <col min="4" max="4" width="12.33203125" customWidth="1"/>
    <col min="13" max="13" width="12.6640625" customWidth="1"/>
  </cols>
  <sheetData>
    <row r="1" spans="1:25" ht="28.2" thickBot="1">
      <c r="A1" s="99" t="s">
        <v>143</v>
      </c>
    </row>
    <row r="2" spans="1:25">
      <c r="F2" s="142" t="s">
        <v>212</v>
      </c>
      <c r="G2" s="143"/>
      <c r="H2" s="143"/>
      <c r="I2" s="143"/>
      <c r="J2" s="143"/>
      <c r="K2" s="144"/>
    </row>
    <row r="3" spans="1:25" ht="20.7" customHeight="1" thickBot="1">
      <c r="B3" s="4" t="s">
        <v>213</v>
      </c>
      <c r="C3" s="4" t="s">
        <v>48</v>
      </c>
      <c r="D3" s="4"/>
      <c r="F3" s="145"/>
      <c r="G3" s="146"/>
      <c r="H3" s="146"/>
      <c r="I3" s="146"/>
      <c r="J3" s="146"/>
      <c r="K3" s="147"/>
    </row>
    <row r="4" spans="1:25">
      <c r="B4" s="4" t="s">
        <v>214</v>
      </c>
      <c r="C4" s="4">
        <v>2023</v>
      </c>
      <c r="D4" s="4"/>
    </row>
    <row r="5" spans="1:25" ht="15" thickBot="1">
      <c r="B5" s="1" t="s">
        <v>215</v>
      </c>
      <c r="C5" s="2" t="s">
        <v>216</v>
      </c>
      <c r="D5" s="2"/>
      <c r="E5" s="1"/>
      <c r="F5" s="1"/>
      <c r="G5" s="1"/>
      <c r="H5" s="1"/>
      <c r="I5" s="1" t="s">
        <v>217</v>
      </c>
      <c r="J5" s="1" t="s">
        <v>147</v>
      </c>
      <c r="K5" s="1" t="s">
        <v>148</v>
      </c>
      <c r="M5" s="4" t="s">
        <v>218</v>
      </c>
      <c r="N5" s="12" t="s">
        <v>271</v>
      </c>
    </row>
    <row r="6" spans="1:25" ht="15" thickBot="1">
      <c r="B6" s="3" t="s">
        <v>220</v>
      </c>
      <c r="C6" s="30" t="s">
        <v>221</v>
      </c>
      <c r="D6" s="31">
        <v>10</v>
      </c>
      <c r="E6" s="3">
        <v>20</v>
      </c>
      <c r="F6" s="3">
        <v>30</v>
      </c>
      <c r="G6" s="3">
        <v>60</v>
      </c>
      <c r="H6" s="3">
        <v>110</v>
      </c>
      <c r="I6" s="3"/>
      <c r="J6" s="3"/>
      <c r="K6" s="3"/>
      <c r="M6" s="4" t="s">
        <v>214</v>
      </c>
      <c r="N6" s="4">
        <v>2023</v>
      </c>
      <c r="O6" s="4">
        <v>2030</v>
      </c>
      <c r="P6" s="4">
        <v>2040</v>
      </c>
    </row>
    <row r="7" spans="1:25" ht="15" thickBot="1">
      <c r="B7" s="3" t="s">
        <v>222</v>
      </c>
      <c r="C7" s="5" t="s">
        <v>223</v>
      </c>
      <c r="D7" s="32">
        <v>92</v>
      </c>
      <c r="E7" s="3">
        <v>93</v>
      </c>
      <c r="F7" s="3">
        <v>93</v>
      </c>
      <c r="G7" s="3">
        <v>93</v>
      </c>
      <c r="H7" s="3">
        <v>93</v>
      </c>
      <c r="I7" s="33"/>
      <c r="J7" s="3" t="s">
        <v>151</v>
      </c>
      <c r="K7" s="3" t="s">
        <v>240</v>
      </c>
      <c r="M7" s="12" t="s">
        <v>225</v>
      </c>
      <c r="N7" s="12">
        <v>2746.4</v>
      </c>
      <c r="O7" s="12">
        <v>2746.4</v>
      </c>
      <c r="P7" s="12">
        <v>2746.4</v>
      </c>
    </row>
    <row r="8" spans="1:25" ht="15" thickBot="1">
      <c r="B8" s="3" t="s">
        <v>226</v>
      </c>
      <c r="C8" s="5" t="s">
        <v>227</v>
      </c>
      <c r="D8" s="32">
        <v>20</v>
      </c>
      <c r="E8" s="32">
        <v>20</v>
      </c>
      <c r="F8" s="32">
        <v>20</v>
      </c>
      <c r="G8" s="32">
        <v>20</v>
      </c>
      <c r="H8" s="32">
        <v>20</v>
      </c>
      <c r="I8" s="3"/>
      <c r="J8" s="3" t="s">
        <v>188</v>
      </c>
      <c r="K8" s="3"/>
      <c r="M8" s="12" t="s">
        <v>228</v>
      </c>
      <c r="N8" s="12">
        <v>-0.628</v>
      </c>
      <c r="O8" s="12">
        <v>-0.628</v>
      </c>
      <c r="P8" s="12">
        <v>-0.628</v>
      </c>
      <c r="Y8" s="44"/>
    </row>
    <row r="9" spans="1:25" ht="15" thickBot="1">
      <c r="B9" s="1" t="s">
        <v>229</v>
      </c>
      <c r="C9" s="2" t="s">
        <v>216</v>
      </c>
      <c r="D9" s="2"/>
      <c r="E9" s="1"/>
      <c r="F9" s="1"/>
      <c r="G9" s="1"/>
      <c r="H9" s="1"/>
      <c r="I9" s="1"/>
      <c r="J9" s="1"/>
      <c r="K9" s="1"/>
      <c r="Y9" s="44"/>
    </row>
    <row r="10" spans="1:25" ht="15" thickBot="1">
      <c r="B10" s="3" t="s">
        <v>230</v>
      </c>
      <c r="C10" s="3" t="s">
        <v>231</v>
      </c>
      <c r="D10" s="13">
        <v>779</v>
      </c>
      <c r="E10" s="13">
        <v>390</v>
      </c>
      <c r="F10" s="13">
        <v>270</v>
      </c>
      <c r="G10" s="13">
        <v>181</v>
      </c>
      <c r="H10" s="13">
        <v>178</v>
      </c>
      <c r="I10" s="33">
        <v>0.1</v>
      </c>
      <c r="J10" s="3" t="s">
        <v>290</v>
      </c>
      <c r="K10" s="3" t="s">
        <v>240</v>
      </c>
      <c r="M10" s="4" t="s">
        <v>234</v>
      </c>
      <c r="N10" s="12" t="s">
        <v>291</v>
      </c>
    </row>
    <row r="11" spans="1:25" ht="15" thickBot="1">
      <c r="B11" s="36" t="s">
        <v>236</v>
      </c>
      <c r="C11" s="3" t="s">
        <v>223</v>
      </c>
      <c r="D11" s="3">
        <v>70</v>
      </c>
      <c r="E11" s="3">
        <v>70</v>
      </c>
      <c r="F11" s="3">
        <v>70</v>
      </c>
      <c r="G11" s="3">
        <v>70</v>
      </c>
      <c r="H11" s="3">
        <v>70</v>
      </c>
      <c r="I11" s="3"/>
      <c r="J11" s="3"/>
      <c r="K11" s="3"/>
    </row>
    <row r="12" spans="1:25" ht="15" thickBot="1">
      <c r="B12" s="36" t="s">
        <v>237</v>
      </c>
      <c r="C12" s="3" t="s">
        <v>223</v>
      </c>
      <c r="D12" s="3">
        <v>30</v>
      </c>
      <c r="E12" s="3">
        <v>30</v>
      </c>
      <c r="F12" s="3">
        <v>30</v>
      </c>
      <c r="G12" s="3">
        <v>30</v>
      </c>
      <c r="H12" s="3">
        <v>30</v>
      </c>
      <c r="I12" s="3"/>
      <c r="J12" s="3"/>
      <c r="K12" s="3"/>
      <c r="M12" s="4" t="s">
        <v>148</v>
      </c>
    </row>
    <row r="13" spans="1:25" ht="15" thickBot="1">
      <c r="B13" s="30" t="s">
        <v>263</v>
      </c>
      <c r="C13" s="3" t="s">
        <v>239</v>
      </c>
      <c r="D13" s="34">
        <v>7794</v>
      </c>
      <c r="E13" s="34">
        <v>7800</v>
      </c>
      <c r="F13" s="34">
        <v>8100</v>
      </c>
      <c r="G13" s="34">
        <v>10900</v>
      </c>
      <c r="H13" s="34">
        <v>19500</v>
      </c>
      <c r="I13" s="33">
        <v>0.1</v>
      </c>
      <c r="J13" s="3" t="s">
        <v>290</v>
      </c>
      <c r="K13" s="3"/>
      <c r="M13" s="12" t="s">
        <v>240</v>
      </c>
      <c r="N13" s="12" t="s">
        <v>292</v>
      </c>
    </row>
    <row r="14" spans="1:25" ht="15" thickBot="1">
      <c r="B14" s="3" t="s">
        <v>242</v>
      </c>
      <c r="C14" s="3" t="s">
        <v>231</v>
      </c>
      <c r="D14" s="13">
        <v>27</v>
      </c>
      <c r="E14" s="13">
        <v>14</v>
      </c>
      <c r="F14" s="13">
        <v>9</v>
      </c>
      <c r="G14" s="13">
        <v>6</v>
      </c>
      <c r="H14" s="13">
        <v>6</v>
      </c>
      <c r="I14" s="3"/>
      <c r="J14" s="3" t="s">
        <v>188</v>
      </c>
      <c r="K14" s="3" t="s">
        <v>252</v>
      </c>
      <c r="M14" s="12" t="s">
        <v>244</v>
      </c>
      <c r="N14" s="12" t="s">
        <v>285</v>
      </c>
    </row>
    <row r="15" spans="1:25" ht="15" thickBot="1">
      <c r="B15" s="1" t="s">
        <v>246</v>
      </c>
      <c r="C15" s="2" t="s">
        <v>216</v>
      </c>
      <c r="D15" s="2"/>
      <c r="E15" s="1"/>
      <c r="F15" s="1"/>
      <c r="G15" s="1"/>
      <c r="H15" s="1"/>
      <c r="I15" s="1"/>
      <c r="J15" s="1"/>
      <c r="K15" s="1"/>
      <c r="M15" s="12" t="s">
        <v>224</v>
      </c>
      <c r="N15" s="12" t="s">
        <v>253</v>
      </c>
    </row>
    <row r="16" spans="1:25" ht="15" thickBot="1">
      <c r="B16" s="3" t="s">
        <v>248</v>
      </c>
      <c r="C16" s="3" t="s">
        <v>231</v>
      </c>
      <c r="D16" s="13">
        <v>162</v>
      </c>
      <c r="E16" s="13">
        <v>131</v>
      </c>
      <c r="F16" s="13">
        <v>115</v>
      </c>
      <c r="G16" s="13">
        <v>93</v>
      </c>
      <c r="H16" s="13">
        <v>77</v>
      </c>
      <c r="I16" s="13"/>
      <c r="J16" s="13" t="s">
        <v>188</v>
      </c>
      <c r="K16" s="13" t="s">
        <v>250</v>
      </c>
      <c r="M16" s="12" t="s">
        <v>250</v>
      </c>
      <c r="N16" s="12" t="s">
        <v>255</v>
      </c>
    </row>
    <row r="17" spans="2:15" ht="15" thickBot="1">
      <c r="B17" s="3" t="s">
        <v>248</v>
      </c>
      <c r="C17" s="3" t="s">
        <v>239</v>
      </c>
      <c r="D17" s="34">
        <v>1620</v>
      </c>
      <c r="E17" s="34">
        <v>2620</v>
      </c>
      <c r="F17" s="34">
        <v>3460</v>
      </c>
      <c r="G17" s="34">
        <v>5580</v>
      </c>
      <c r="H17" s="34">
        <v>8460</v>
      </c>
      <c r="I17" s="13"/>
      <c r="J17" s="13"/>
      <c r="K17" s="13"/>
      <c r="M17" s="12" t="s">
        <v>252</v>
      </c>
      <c r="N17" s="12" t="s">
        <v>293</v>
      </c>
    </row>
    <row r="18" spans="2:15" ht="15" thickBot="1">
      <c r="B18" s="3" t="s">
        <v>254</v>
      </c>
      <c r="C18" s="3" t="s">
        <v>231</v>
      </c>
      <c r="D18" s="34">
        <v>97</v>
      </c>
      <c r="E18" s="34">
        <v>49</v>
      </c>
      <c r="F18" s="34">
        <v>32</v>
      </c>
      <c r="G18" s="34">
        <v>16</v>
      </c>
      <c r="H18" s="34">
        <v>9</v>
      </c>
      <c r="I18" s="13"/>
      <c r="J18" s="13" t="s">
        <v>188</v>
      </c>
      <c r="K18" s="13"/>
      <c r="M18" s="12" t="s">
        <v>249</v>
      </c>
      <c r="N18" s="12" t="s">
        <v>294</v>
      </c>
      <c r="O18" s="12"/>
    </row>
    <row r="19" spans="2:15" ht="15" thickBot="1">
      <c r="B19" s="3" t="s">
        <v>295</v>
      </c>
      <c r="C19" s="3" t="s">
        <v>231</v>
      </c>
      <c r="D19" s="34">
        <v>283</v>
      </c>
      <c r="E19" s="34">
        <v>142</v>
      </c>
      <c r="F19" s="34">
        <v>98</v>
      </c>
      <c r="G19" s="34">
        <v>66</v>
      </c>
      <c r="H19" s="34">
        <v>65</v>
      </c>
      <c r="I19" s="13"/>
      <c r="J19" s="13"/>
      <c r="K19" s="13" t="s">
        <v>249</v>
      </c>
    </row>
    <row r="20" spans="2:15" ht="15" thickBot="1">
      <c r="B20" s="3" t="s">
        <v>258</v>
      </c>
      <c r="C20" s="30" t="s">
        <v>239</v>
      </c>
      <c r="D20" s="34">
        <v>1025</v>
      </c>
      <c r="E20" s="34">
        <v>1726</v>
      </c>
      <c r="F20" s="34">
        <v>1726</v>
      </c>
      <c r="G20" s="34">
        <v>11445</v>
      </c>
      <c r="H20" s="34">
        <v>15260</v>
      </c>
      <c r="I20" s="13"/>
      <c r="J20" s="3" t="s">
        <v>151</v>
      </c>
      <c r="K20" s="3" t="s">
        <v>224</v>
      </c>
      <c r="M20" s="4" t="s">
        <v>147</v>
      </c>
    </row>
    <row r="21" spans="2:15" ht="15" thickBot="1">
      <c r="B21" s="36" t="s">
        <v>259</v>
      </c>
      <c r="C21" s="30" t="s">
        <v>260</v>
      </c>
      <c r="D21" s="34">
        <v>500</v>
      </c>
      <c r="E21" s="34">
        <v>1000</v>
      </c>
      <c r="F21" s="34">
        <v>1000</v>
      </c>
      <c r="G21" s="34">
        <v>1500</v>
      </c>
      <c r="H21" s="34">
        <v>2000</v>
      </c>
      <c r="I21" s="3"/>
      <c r="J21" s="3"/>
      <c r="K21" s="3"/>
      <c r="M21" s="12" t="s">
        <v>151</v>
      </c>
      <c r="N21" s="12" t="s">
        <v>185</v>
      </c>
    </row>
    <row r="22" spans="2:15" ht="15" thickBot="1">
      <c r="B22" s="36" t="s">
        <v>261</v>
      </c>
      <c r="C22" s="30" t="s">
        <v>262</v>
      </c>
      <c r="D22" s="37">
        <v>2</v>
      </c>
      <c r="E22" s="37">
        <v>1.7</v>
      </c>
      <c r="F22" s="37">
        <v>1.7</v>
      </c>
      <c r="G22" s="37">
        <v>7.6</v>
      </c>
      <c r="H22" s="37">
        <v>7.6</v>
      </c>
      <c r="I22" s="3"/>
      <c r="J22" s="3"/>
      <c r="K22" s="3"/>
      <c r="M22" s="12" t="s">
        <v>184</v>
      </c>
      <c r="N22" s="12" t="s">
        <v>265</v>
      </c>
    </row>
    <row r="23" spans="2:15" ht="15" thickBot="1">
      <c r="B23" s="38" t="s">
        <v>263</v>
      </c>
      <c r="C23" s="39" t="s">
        <v>239</v>
      </c>
      <c r="D23" s="40">
        <v>11400</v>
      </c>
      <c r="E23" s="40">
        <v>13100</v>
      </c>
      <c r="F23" s="40">
        <v>14300</v>
      </c>
      <c r="G23" s="40">
        <v>28900</v>
      </c>
      <c r="H23" s="40">
        <v>44200</v>
      </c>
      <c r="I23" s="33">
        <v>0.1</v>
      </c>
      <c r="J23" s="40"/>
      <c r="K23" s="40"/>
      <c r="M23" s="12" t="s">
        <v>186</v>
      </c>
      <c r="N23" s="12" t="s">
        <v>264</v>
      </c>
    </row>
    <row r="24" spans="2:15">
      <c r="M24" s="12" t="s">
        <v>188</v>
      </c>
      <c r="N24" s="12" t="s">
        <v>296</v>
      </c>
    </row>
    <row r="25" spans="2:15">
      <c r="B25" s="4" t="s">
        <v>214</v>
      </c>
      <c r="C25" s="4">
        <v>2030</v>
      </c>
      <c r="D25" s="4"/>
      <c r="M25" s="12" t="s">
        <v>192</v>
      </c>
      <c r="N25" s="12" t="s">
        <v>267</v>
      </c>
    </row>
    <row r="26" spans="2:15" ht="15" thickBot="1">
      <c r="B26" s="1" t="s">
        <v>215</v>
      </c>
      <c r="C26" s="2" t="s">
        <v>216</v>
      </c>
      <c r="D26" s="2"/>
      <c r="E26" s="1"/>
      <c r="F26" s="1"/>
      <c r="G26" s="1"/>
      <c r="H26" s="1"/>
      <c r="I26" s="1" t="s">
        <v>217</v>
      </c>
      <c r="J26" s="1" t="s">
        <v>147</v>
      </c>
      <c r="K26" s="1" t="s">
        <v>148</v>
      </c>
    </row>
    <row r="27" spans="2:15" ht="15" thickBot="1">
      <c r="B27" s="3" t="s">
        <v>220</v>
      </c>
      <c r="C27" s="30" t="s">
        <v>221</v>
      </c>
      <c r="D27" s="31">
        <v>10</v>
      </c>
      <c r="E27" s="3">
        <v>20</v>
      </c>
      <c r="F27" s="3">
        <v>30</v>
      </c>
      <c r="G27" s="3">
        <v>60</v>
      </c>
      <c r="H27" s="3">
        <v>110</v>
      </c>
      <c r="I27" s="3"/>
      <c r="J27" s="3"/>
      <c r="K27" s="3"/>
    </row>
    <row r="28" spans="2:15" ht="15" thickBot="1">
      <c r="B28" s="3" t="s">
        <v>222</v>
      </c>
      <c r="C28" s="5" t="s">
        <v>223</v>
      </c>
      <c r="D28" s="32">
        <v>92</v>
      </c>
      <c r="E28" s="3">
        <v>93</v>
      </c>
      <c r="F28" s="3">
        <v>93</v>
      </c>
      <c r="G28" s="3">
        <v>93</v>
      </c>
      <c r="H28" s="3">
        <v>93</v>
      </c>
      <c r="I28" s="3"/>
      <c r="J28" s="3" t="s">
        <v>151</v>
      </c>
      <c r="K28" s="3"/>
    </row>
    <row r="29" spans="2:15" ht="15" thickBot="1">
      <c r="B29" s="3" t="s">
        <v>226</v>
      </c>
      <c r="C29" s="5" t="s">
        <v>227</v>
      </c>
      <c r="D29" s="32">
        <v>20</v>
      </c>
      <c r="E29" s="32">
        <v>20</v>
      </c>
      <c r="F29" s="32">
        <v>20</v>
      </c>
      <c r="G29" s="32">
        <v>20</v>
      </c>
      <c r="H29" s="32">
        <v>20</v>
      </c>
      <c r="I29" s="3"/>
      <c r="J29" s="3" t="s">
        <v>188</v>
      </c>
      <c r="K29" s="3"/>
    </row>
    <row r="30" spans="2:15" ht="15" thickBot="1">
      <c r="B30" s="1" t="s">
        <v>229</v>
      </c>
      <c r="C30" s="2" t="s">
        <v>216</v>
      </c>
      <c r="D30" s="2"/>
      <c r="E30" s="1"/>
      <c r="F30" s="1"/>
      <c r="G30" s="1"/>
      <c r="H30" s="1"/>
      <c r="I30" s="1"/>
      <c r="J30" s="1"/>
      <c r="K30" s="1"/>
    </row>
    <row r="31" spans="2:15" ht="15" thickBot="1">
      <c r="B31" s="3" t="s">
        <v>230</v>
      </c>
      <c r="C31" s="3" t="s">
        <v>231</v>
      </c>
      <c r="D31" s="13">
        <v>779</v>
      </c>
      <c r="E31" s="13">
        <v>390</v>
      </c>
      <c r="F31" s="13">
        <v>270</v>
      </c>
      <c r="G31" s="13">
        <v>181</v>
      </c>
      <c r="H31" s="13">
        <v>178</v>
      </c>
      <c r="I31" s="33">
        <v>0.2</v>
      </c>
      <c r="J31" s="3" t="s">
        <v>151</v>
      </c>
      <c r="K31" s="3" t="s">
        <v>244</v>
      </c>
      <c r="M31" s="12"/>
    </row>
    <row r="32" spans="2:15" ht="15" thickBot="1">
      <c r="B32" s="36" t="s">
        <v>236</v>
      </c>
      <c r="C32" s="3" t="s">
        <v>223</v>
      </c>
      <c r="D32" s="3">
        <v>70</v>
      </c>
      <c r="E32" s="3">
        <v>70</v>
      </c>
      <c r="F32" s="3">
        <v>70</v>
      </c>
      <c r="G32" s="3">
        <v>70</v>
      </c>
      <c r="H32" s="3">
        <v>70</v>
      </c>
      <c r="I32" s="3"/>
      <c r="J32" s="3"/>
      <c r="K32" s="3"/>
      <c r="M32" s="12"/>
    </row>
    <row r="33" spans="2:14" ht="15" thickBot="1">
      <c r="B33" s="36" t="s">
        <v>237</v>
      </c>
      <c r="C33" s="3" t="s">
        <v>223</v>
      </c>
      <c r="D33" s="3">
        <v>30</v>
      </c>
      <c r="E33" s="3">
        <v>30</v>
      </c>
      <c r="F33" s="3">
        <v>30</v>
      </c>
      <c r="G33" s="3">
        <v>30</v>
      </c>
      <c r="H33" s="3">
        <v>30</v>
      </c>
      <c r="I33" s="3"/>
      <c r="J33" s="3"/>
      <c r="K33" s="3"/>
      <c r="M33" s="12"/>
    </row>
    <row r="34" spans="2:14" ht="15" thickBot="1">
      <c r="B34" s="30" t="s">
        <v>263</v>
      </c>
      <c r="C34" s="3" t="s">
        <v>239</v>
      </c>
      <c r="D34" s="34">
        <v>7794</v>
      </c>
      <c r="E34" s="34">
        <v>7800</v>
      </c>
      <c r="F34" s="34">
        <v>8100</v>
      </c>
      <c r="G34" s="34">
        <v>10900</v>
      </c>
      <c r="H34" s="34">
        <v>19500</v>
      </c>
      <c r="I34" s="33">
        <v>0.2</v>
      </c>
      <c r="J34" s="3"/>
      <c r="K34" s="3" t="s">
        <v>244</v>
      </c>
    </row>
    <row r="35" spans="2:14" ht="15" thickBot="1">
      <c r="B35" s="3" t="s">
        <v>242</v>
      </c>
      <c r="C35" s="3" t="s">
        <v>231</v>
      </c>
      <c r="D35" s="13">
        <v>27</v>
      </c>
      <c r="E35" s="13">
        <v>14</v>
      </c>
      <c r="F35" s="13">
        <v>9</v>
      </c>
      <c r="G35" s="13">
        <v>6</v>
      </c>
      <c r="H35" s="13">
        <v>6</v>
      </c>
      <c r="I35" s="3"/>
      <c r="J35" s="3" t="s">
        <v>188</v>
      </c>
      <c r="K35" s="3" t="s">
        <v>252</v>
      </c>
      <c r="M35" s="4"/>
      <c r="N35" s="12"/>
    </row>
    <row r="36" spans="2:14" ht="15" thickBot="1">
      <c r="B36" s="1" t="s">
        <v>246</v>
      </c>
      <c r="C36" s="2" t="s">
        <v>216</v>
      </c>
      <c r="D36" s="2"/>
      <c r="E36" s="1"/>
      <c r="F36" s="1"/>
      <c r="G36" s="1"/>
      <c r="H36" s="1"/>
      <c r="I36" s="1"/>
      <c r="J36" s="1"/>
      <c r="K36" s="1"/>
      <c r="M36" s="12"/>
    </row>
    <row r="37" spans="2:14" ht="15" thickBot="1">
      <c r="B37" s="3" t="s">
        <v>248</v>
      </c>
      <c r="C37" s="3" t="s">
        <v>231</v>
      </c>
      <c r="D37" s="34">
        <v>162</v>
      </c>
      <c r="E37" s="34">
        <v>131</v>
      </c>
      <c r="F37" s="34">
        <v>115</v>
      </c>
      <c r="G37" s="34">
        <v>93</v>
      </c>
      <c r="H37" s="34">
        <v>77</v>
      </c>
      <c r="I37" s="13"/>
      <c r="J37" s="13" t="s">
        <v>188</v>
      </c>
      <c r="K37" s="13" t="s">
        <v>250</v>
      </c>
    </row>
    <row r="38" spans="2:14" ht="15" thickBot="1">
      <c r="B38" s="3" t="s">
        <v>248</v>
      </c>
      <c r="C38" s="3" t="s">
        <v>239</v>
      </c>
      <c r="D38" s="34">
        <v>1620</v>
      </c>
      <c r="E38" s="34">
        <v>2620</v>
      </c>
      <c r="F38" s="34">
        <v>3460</v>
      </c>
      <c r="G38" s="34">
        <v>5580</v>
      </c>
      <c r="H38" s="34">
        <v>8460</v>
      </c>
      <c r="I38" s="13"/>
      <c r="J38" s="13"/>
      <c r="K38" s="13"/>
    </row>
    <row r="39" spans="2:14" ht="15" thickBot="1">
      <c r="B39" s="3" t="s">
        <v>254</v>
      </c>
      <c r="C39" s="3" t="s">
        <v>231</v>
      </c>
      <c r="D39" s="34">
        <v>97</v>
      </c>
      <c r="E39" s="34">
        <v>49</v>
      </c>
      <c r="F39" s="34">
        <v>32</v>
      </c>
      <c r="G39" s="34">
        <v>16</v>
      </c>
      <c r="H39" s="34">
        <v>9</v>
      </c>
      <c r="I39" s="13"/>
      <c r="J39" s="13" t="s">
        <v>188</v>
      </c>
      <c r="K39" s="13"/>
    </row>
    <row r="40" spans="2:14" ht="15" thickBot="1">
      <c r="B40" s="3" t="s">
        <v>295</v>
      </c>
      <c r="C40" s="3" t="s">
        <v>231</v>
      </c>
      <c r="D40" s="34">
        <v>283</v>
      </c>
      <c r="E40" s="34">
        <v>142</v>
      </c>
      <c r="F40" s="34">
        <v>98</v>
      </c>
      <c r="G40" s="34">
        <v>66</v>
      </c>
      <c r="H40" s="34">
        <v>65</v>
      </c>
      <c r="I40" s="13"/>
      <c r="J40" s="13"/>
      <c r="K40" s="13" t="s">
        <v>249</v>
      </c>
    </row>
    <row r="41" spans="2:14" ht="15" thickBot="1">
      <c r="B41" s="3" t="s">
        <v>258</v>
      </c>
      <c r="C41" s="30" t="s">
        <v>239</v>
      </c>
      <c r="D41" s="34">
        <v>1025</v>
      </c>
      <c r="E41" s="34">
        <v>1726</v>
      </c>
      <c r="F41" s="34">
        <v>1726</v>
      </c>
      <c r="G41" s="34">
        <v>11445</v>
      </c>
      <c r="H41" s="34">
        <v>15260</v>
      </c>
      <c r="I41" s="13"/>
      <c r="J41" s="3" t="s">
        <v>151</v>
      </c>
      <c r="K41" s="3" t="s">
        <v>224</v>
      </c>
    </row>
    <row r="42" spans="2:14" ht="15" thickBot="1">
      <c r="B42" s="36" t="s">
        <v>259</v>
      </c>
      <c r="C42" s="30" t="s">
        <v>260</v>
      </c>
      <c r="D42" s="34">
        <v>500</v>
      </c>
      <c r="E42" s="34">
        <v>1000</v>
      </c>
      <c r="F42" s="34">
        <v>1000</v>
      </c>
      <c r="G42" s="34">
        <v>1500</v>
      </c>
      <c r="H42" s="34">
        <v>2000</v>
      </c>
      <c r="I42" s="3"/>
      <c r="J42" s="3"/>
      <c r="K42" s="3"/>
    </row>
    <row r="43" spans="2:14" ht="15" thickBot="1">
      <c r="B43" s="36" t="s">
        <v>261</v>
      </c>
      <c r="C43" s="30" t="s">
        <v>262</v>
      </c>
      <c r="D43" s="37">
        <v>2</v>
      </c>
      <c r="E43" s="37">
        <v>1.7</v>
      </c>
      <c r="F43" s="37">
        <v>1.7</v>
      </c>
      <c r="G43" s="37">
        <v>7.6</v>
      </c>
      <c r="H43" s="37">
        <v>7.6</v>
      </c>
      <c r="I43" s="3"/>
      <c r="J43" s="3"/>
      <c r="K43" s="3"/>
    </row>
    <row r="44" spans="2:14" ht="15" thickBot="1">
      <c r="B44" s="38" t="s">
        <v>263</v>
      </c>
      <c r="C44" s="39" t="s">
        <v>239</v>
      </c>
      <c r="D44" s="40">
        <v>11400</v>
      </c>
      <c r="E44" s="40">
        <v>13100</v>
      </c>
      <c r="F44" s="40">
        <v>14300</v>
      </c>
      <c r="G44" s="40">
        <v>28900</v>
      </c>
      <c r="H44" s="40">
        <v>44200</v>
      </c>
      <c r="I44" s="33">
        <v>0.2</v>
      </c>
      <c r="J44" s="40"/>
      <c r="K44" s="40"/>
    </row>
    <row r="47" spans="2:14">
      <c r="B47" s="4" t="s">
        <v>214</v>
      </c>
      <c r="C47" s="4">
        <v>2040</v>
      </c>
      <c r="D47" s="4"/>
    </row>
    <row r="48" spans="2:14" ht="15" thickBot="1">
      <c r="B48" s="1" t="s">
        <v>215</v>
      </c>
      <c r="C48" s="2" t="s">
        <v>216</v>
      </c>
      <c r="D48" s="2"/>
      <c r="E48" s="1"/>
      <c r="F48" s="1"/>
      <c r="G48" s="1"/>
      <c r="H48" s="1"/>
      <c r="I48" s="1" t="s">
        <v>217</v>
      </c>
      <c r="J48" s="1" t="s">
        <v>147</v>
      </c>
      <c r="K48" s="1" t="s">
        <v>148</v>
      </c>
    </row>
    <row r="49" spans="2:11" ht="15" thickBot="1">
      <c r="B49" s="3" t="s">
        <v>220</v>
      </c>
      <c r="C49" s="30" t="s">
        <v>221</v>
      </c>
      <c r="D49" s="31">
        <v>10</v>
      </c>
      <c r="E49" s="3">
        <v>20</v>
      </c>
      <c r="F49" s="3">
        <v>30</v>
      </c>
      <c r="G49" s="3">
        <v>60</v>
      </c>
      <c r="H49" s="3">
        <v>110</v>
      </c>
      <c r="I49" s="3"/>
      <c r="J49" s="3"/>
      <c r="K49" s="3"/>
    </row>
    <row r="50" spans="2:11" ht="15" thickBot="1">
      <c r="B50" s="3" t="s">
        <v>222</v>
      </c>
      <c r="C50" s="5" t="s">
        <v>223</v>
      </c>
      <c r="D50" s="32">
        <v>92</v>
      </c>
      <c r="E50" s="3">
        <v>93</v>
      </c>
      <c r="F50" s="3">
        <v>93</v>
      </c>
      <c r="G50" s="3">
        <v>93</v>
      </c>
      <c r="H50" s="3">
        <v>93</v>
      </c>
      <c r="I50" s="3"/>
      <c r="J50" s="3" t="s">
        <v>151</v>
      </c>
      <c r="K50" s="3"/>
    </row>
    <row r="51" spans="2:11" ht="15" thickBot="1">
      <c r="B51" s="3" t="s">
        <v>226</v>
      </c>
      <c r="C51" s="5" t="s">
        <v>227</v>
      </c>
      <c r="D51" s="32">
        <v>20</v>
      </c>
      <c r="E51" s="32">
        <v>20</v>
      </c>
      <c r="F51" s="32">
        <v>20</v>
      </c>
      <c r="G51" s="32">
        <v>20</v>
      </c>
      <c r="H51" s="32">
        <v>20</v>
      </c>
      <c r="I51" s="3"/>
      <c r="J51" s="3" t="s">
        <v>188</v>
      </c>
      <c r="K51" s="3"/>
    </row>
    <row r="52" spans="2:11" ht="15" thickBot="1">
      <c r="B52" s="1" t="s">
        <v>229</v>
      </c>
      <c r="C52" s="2" t="s">
        <v>216</v>
      </c>
      <c r="D52" s="2"/>
      <c r="E52" s="1"/>
      <c r="F52" s="1"/>
      <c r="G52" s="1"/>
      <c r="H52" s="1"/>
      <c r="I52" s="1"/>
      <c r="J52" s="1"/>
      <c r="K52" s="1"/>
    </row>
    <row r="53" spans="2:11" ht="15" thickBot="1">
      <c r="B53" s="3" t="s">
        <v>230</v>
      </c>
      <c r="C53" s="3" t="s">
        <v>231</v>
      </c>
      <c r="D53" s="13">
        <v>779</v>
      </c>
      <c r="E53" s="13">
        <v>390</v>
      </c>
      <c r="F53" s="13">
        <v>270</v>
      </c>
      <c r="G53" s="13">
        <v>181</v>
      </c>
      <c r="H53" s="13">
        <v>178</v>
      </c>
      <c r="I53" s="33">
        <v>0.3</v>
      </c>
      <c r="J53" s="3" t="s">
        <v>151</v>
      </c>
      <c r="K53" s="3" t="s">
        <v>244</v>
      </c>
    </row>
    <row r="54" spans="2:11" ht="15" thickBot="1">
      <c r="B54" s="36" t="s">
        <v>236</v>
      </c>
      <c r="C54" s="3" t="s">
        <v>223</v>
      </c>
      <c r="D54" s="3">
        <v>70</v>
      </c>
      <c r="E54" s="3">
        <v>70</v>
      </c>
      <c r="F54" s="3">
        <v>70</v>
      </c>
      <c r="G54" s="3">
        <v>70</v>
      </c>
      <c r="H54" s="3">
        <v>70</v>
      </c>
      <c r="I54" s="3"/>
      <c r="J54" s="3"/>
      <c r="K54" s="3"/>
    </row>
    <row r="55" spans="2:11" ht="15" thickBot="1">
      <c r="B55" s="36" t="s">
        <v>237</v>
      </c>
      <c r="C55" s="3" t="s">
        <v>223</v>
      </c>
      <c r="D55" s="3">
        <v>30</v>
      </c>
      <c r="E55" s="3">
        <v>30</v>
      </c>
      <c r="F55" s="3">
        <v>30</v>
      </c>
      <c r="G55" s="3">
        <v>30</v>
      </c>
      <c r="H55" s="3">
        <v>30</v>
      </c>
      <c r="I55" s="3"/>
      <c r="J55" s="3"/>
      <c r="K55" s="3"/>
    </row>
    <row r="56" spans="2:11" ht="15" thickBot="1">
      <c r="B56" s="30" t="s">
        <v>263</v>
      </c>
      <c r="C56" s="3" t="s">
        <v>239</v>
      </c>
      <c r="D56" s="34">
        <v>7794</v>
      </c>
      <c r="E56" s="34">
        <v>7800</v>
      </c>
      <c r="F56" s="34">
        <v>8100</v>
      </c>
      <c r="G56" s="34">
        <v>10900</v>
      </c>
      <c r="H56" s="34">
        <v>19500</v>
      </c>
      <c r="I56" s="33">
        <v>0.3</v>
      </c>
      <c r="J56" s="3"/>
      <c r="K56" s="3" t="s">
        <v>244</v>
      </c>
    </row>
    <row r="57" spans="2:11" ht="15" thickBot="1">
      <c r="B57" s="3" t="s">
        <v>242</v>
      </c>
      <c r="C57" s="3" t="s">
        <v>231</v>
      </c>
      <c r="D57" s="13">
        <v>27</v>
      </c>
      <c r="E57" s="13">
        <v>14</v>
      </c>
      <c r="F57" s="13">
        <v>9</v>
      </c>
      <c r="G57" s="13">
        <v>6</v>
      </c>
      <c r="H57" s="13">
        <v>6</v>
      </c>
      <c r="I57" s="3"/>
      <c r="J57" s="3" t="s">
        <v>188</v>
      </c>
      <c r="K57" s="3" t="s">
        <v>252</v>
      </c>
    </row>
    <row r="58" spans="2:11" ht="15" thickBot="1">
      <c r="B58" s="1" t="s">
        <v>246</v>
      </c>
      <c r="C58" s="2" t="s">
        <v>216</v>
      </c>
      <c r="D58" s="2"/>
      <c r="E58" s="1"/>
      <c r="F58" s="1"/>
      <c r="G58" s="1"/>
      <c r="H58" s="1"/>
      <c r="I58" s="1"/>
      <c r="J58" s="1"/>
      <c r="K58" s="1"/>
    </row>
    <row r="59" spans="2:11" ht="15" thickBot="1">
      <c r="B59" s="3" t="s">
        <v>248</v>
      </c>
      <c r="C59" s="3" t="s">
        <v>231</v>
      </c>
      <c r="D59" s="34">
        <v>162</v>
      </c>
      <c r="E59" s="34">
        <v>131</v>
      </c>
      <c r="F59" s="34">
        <v>115</v>
      </c>
      <c r="G59" s="34">
        <v>93</v>
      </c>
      <c r="H59" s="34">
        <v>77</v>
      </c>
      <c r="I59" s="13"/>
      <c r="J59" s="13" t="s">
        <v>188</v>
      </c>
      <c r="K59" s="13" t="s">
        <v>250</v>
      </c>
    </row>
    <row r="60" spans="2:11" ht="15" thickBot="1">
      <c r="B60" s="3" t="s">
        <v>248</v>
      </c>
      <c r="C60" s="3" t="s">
        <v>239</v>
      </c>
      <c r="D60" s="34">
        <v>1620</v>
      </c>
      <c r="E60" s="34">
        <v>2620</v>
      </c>
      <c r="F60" s="34">
        <v>3460</v>
      </c>
      <c r="G60" s="34">
        <v>5580</v>
      </c>
      <c r="H60" s="34">
        <v>8460</v>
      </c>
      <c r="I60" s="13"/>
      <c r="J60" s="13"/>
      <c r="K60" s="13"/>
    </row>
    <row r="61" spans="2:11" ht="15" thickBot="1">
      <c r="B61" s="3" t="s">
        <v>254</v>
      </c>
      <c r="C61" s="3" t="s">
        <v>231</v>
      </c>
      <c r="D61" s="34">
        <v>97</v>
      </c>
      <c r="E61" s="34">
        <v>49</v>
      </c>
      <c r="F61" s="34">
        <v>32</v>
      </c>
      <c r="G61" s="34">
        <v>16</v>
      </c>
      <c r="H61" s="34">
        <v>9</v>
      </c>
      <c r="I61" s="13"/>
      <c r="J61" s="13" t="s">
        <v>188</v>
      </c>
      <c r="K61" s="13"/>
    </row>
    <row r="62" spans="2:11" ht="15" thickBot="1">
      <c r="B62" s="3" t="s">
        <v>295</v>
      </c>
      <c r="C62" s="3" t="s">
        <v>231</v>
      </c>
      <c r="D62" s="34">
        <v>283</v>
      </c>
      <c r="E62" s="34">
        <v>142</v>
      </c>
      <c r="F62" s="34">
        <v>98</v>
      </c>
      <c r="G62" s="34">
        <v>66</v>
      </c>
      <c r="H62" s="34">
        <v>65</v>
      </c>
      <c r="I62" s="13"/>
      <c r="J62" s="13"/>
      <c r="K62" s="13" t="s">
        <v>249</v>
      </c>
    </row>
    <row r="63" spans="2:11" ht="15" thickBot="1">
      <c r="B63" s="3" t="s">
        <v>258</v>
      </c>
      <c r="C63" s="30" t="s">
        <v>239</v>
      </c>
      <c r="D63" s="34">
        <v>1025</v>
      </c>
      <c r="E63" s="34">
        <v>1726</v>
      </c>
      <c r="F63" s="34">
        <v>1726</v>
      </c>
      <c r="G63" s="34">
        <v>11445</v>
      </c>
      <c r="H63" s="34">
        <v>15260</v>
      </c>
      <c r="I63" s="13"/>
      <c r="J63" s="3" t="s">
        <v>151</v>
      </c>
      <c r="K63" s="3" t="s">
        <v>224</v>
      </c>
    </row>
    <row r="64" spans="2:11" ht="15" thickBot="1">
      <c r="B64" s="36" t="s">
        <v>259</v>
      </c>
      <c r="C64" s="30" t="s">
        <v>260</v>
      </c>
      <c r="D64" s="34">
        <v>500</v>
      </c>
      <c r="E64" s="34">
        <v>1000</v>
      </c>
      <c r="F64" s="34">
        <v>1000</v>
      </c>
      <c r="G64" s="34">
        <v>1500</v>
      </c>
      <c r="H64" s="34">
        <v>2000</v>
      </c>
      <c r="I64" s="3"/>
      <c r="J64" s="3"/>
      <c r="K64" s="3"/>
    </row>
    <row r="65" spans="2:11" ht="15" thickBot="1">
      <c r="B65" s="36" t="s">
        <v>261</v>
      </c>
      <c r="C65" s="30" t="s">
        <v>262</v>
      </c>
      <c r="D65" s="37">
        <v>2</v>
      </c>
      <c r="E65" s="37">
        <v>1.7</v>
      </c>
      <c r="F65" s="37">
        <v>1.7</v>
      </c>
      <c r="G65" s="37">
        <v>7.6</v>
      </c>
      <c r="H65" s="37">
        <v>7.6</v>
      </c>
      <c r="I65" s="3"/>
      <c r="J65" s="3"/>
      <c r="K65" s="3"/>
    </row>
    <row r="66" spans="2:11" ht="15" thickBot="1">
      <c r="B66" s="38" t="s">
        <v>263</v>
      </c>
      <c r="C66" s="39" t="s">
        <v>239</v>
      </c>
      <c r="D66" s="40">
        <v>11400</v>
      </c>
      <c r="E66" s="40">
        <v>13100</v>
      </c>
      <c r="F66" s="40">
        <v>14300</v>
      </c>
      <c r="G66" s="40">
        <v>28900</v>
      </c>
      <c r="H66" s="40">
        <v>44200</v>
      </c>
      <c r="I66" s="33">
        <v>0.3</v>
      </c>
      <c r="J66" s="40"/>
      <c r="K66" s="40"/>
    </row>
  </sheetData>
  <mergeCells count="1">
    <mergeCell ref="F2:K3"/>
  </mergeCells>
  <conditionalFormatting sqref="I10 I7 I28 I31 I50 Y8:Y9 I53 I13:I14 I34:I35 I56:I57">
    <cfRule type="colorScale" priority="7">
      <colorScale>
        <cfvo type="num" val="0"/>
        <cfvo type="num" val="0.5"/>
        <color theme="0"/>
        <color theme="5"/>
      </colorScale>
    </cfRule>
  </conditionalFormatting>
  <conditionalFormatting sqref="I21">
    <cfRule type="colorScale" priority="6">
      <colorScale>
        <cfvo type="num" val="0"/>
        <cfvo type="num" val="0.5"/>
        <color theme="0"/>
        <color theme="5"/>
      </colorScale>
    </cfRule>
  </conditionalFormatting>
  <conditionalFormatting sqref="I23">
    <cfRule type="colorScale" priority="3">
      <colorScale>
        <cfvo type="num" val="0"/>
        <cfvo type="num" val="0.5"/>
        <color theme="0"/>
        <color theme="5"/>
      </colorScale>
    </cfRule>
  </conditionalFormatting>
  <conditionalFormatting sqref="I42">
    <cfRule type="colorScale" priority="5">
      <colorScale>
        <cfvo type="num" val="0"/>
        <cfvo type="num" val="0.5"/>
        <color theme="0"/>
        <color theme="5"/>
      </colorScale>
    </cfRule>
  </conditionalFormatting>
  <conditionalFormatting sqref="I44">
    <cfRule type="colorScale" priority="2">
      <colorScale>
        <cfvo type="num" val="0"/>
        <cfvo type="num" val="0.5"/>
        <color theme="0"/>
        <color theme="5"/>
      </colorScale>
    </cfRule>
  </conditionalFormatting>
  <conditionalFormatting sqref="I64">
    <cfRule type="colorScale" priority="4">
      <colorScale>
        <cfvo type="num" val="0"/>
        <cfvo type="num" val="0.5"/>
        <color theme="0"/>
        <color theme="5"/>
      </colorScale>
    </cfRule>
  </conditionalFormatting>
  <conditionalFormatting sqref="I66">
    <cfRule type="colorScale" priority="1">
      <colorScale>
        <cfvo type="num" val="0"/>
        <cfvo type="num" val="0.5"/>
        <color theme="0"/>
        <color theme="5"/>
      </colorScale>
    </cfRule>
  </conditionalFormatting>
  <conditionalFormatting sqref="Y8:Y9">
    <cfRule type="colorScale" priority="8">
      <colorScale>
        <cfvo type="min"/>
        <cfvo type="max"/>
        <color theme="0"/>
        <color theme="5"/>
      </colorScale>
    </cfRule>
  </conditionalFormatting>
  <hyperlinks>
    <hyperlink ref="A1" location="Inhalt!A1" display="Zum Inhalt" xr:uid="{C64378AF-1CA3-4FBA-BB13-A56778153C80}"/>
  </hyperlinks>
  <pageMargins left="0.7" right="0.7" top="0.78740157499999996" bottom="0.78740157499999996"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68EC-0C39-4027-BB48-03A1132E8085}">
  <sheetPr codeName="Tabelle8"/>
  <dimension ref="A1:P67"/>
  <sheetViews>
    <sheetView zoomScaleNormal="100" workbookViewId="0">
      <selection activeCell="G13" sqref="G13"/>
    </sheetView>
  </sheetViews>
  <sheetFormatPr baseColWidth="10" defaultColWidth="11.44140625" defaultRowHeight="14.4"/>
  <cols>
    <col min="2" max="2" width="33.5546875" bestFit="1" customWidth="1"/>
    <col min="3" max="3" width="15" bestFit="1" customWidth="1"/>
    <col min="13" max="13" width="13.33203125" customWidth="1"/>
  </cols>
  <sheetData>
    <row r="1" spans="1:16" ht="28.2" thickBot="1">
      <c r="A1" s="99" t="s">
        <v>143</v>
      </c>
    </row>
    <row r="2" spans="1:16">
      <c r="F2" s="142" t="s">
        <v>212</v>
      </c>
      <c r="G2" s="143"/>
      <c r="H2" s="143"/>
      <c r="I2" s="143"/>
      <c r="J2" s="143"/>
      <c r="K2" s="144"/>
    </row>
    <row r="3" spans="1:16" ht="22.2" customHeight="1" thickBot="1">
      <c r="B3" s="4" t="s">
        <v>213</v>
      </c>
      <c r="C3" s="4" t="s">
        <v>52</v>
      </c>
      <c r="F3" s="145"/>
      <c r="G3" s="146"/>
      <c r="H3" s="146"/>
      <c r="I3" s="146"/>
      <c r="J3" s="146"/>
      <c r="K3" s="147"/>
    </row>
    <row r="4" spans="1:16">
      <c r="B4" s="4" t="s">
        <v>214</v>
      </c>
      <c r="C4" s="4">
        <v>2023</v>
      </c>
    </row>
    <row r="5" spans="1:16" ht="15" thickBot="1">
      <c r="B5" s="1" t="s">
        <v>215</v>
      </c>
      <c r="C5" s="2" t="s">
        <v>216</v>
      </c>
      <c r="D5" s="2"/>
      <c r="E5" s="1"/>
      <c r="F5" s="1"/>
      <c r="G5" s="1"/>
      <c r="H5" s="1"/>
      <c r="I5" s="1" t="s">
        <v>217</v>
      </c>
      <c r="J5" s="1" t="s">
        <v>147</v>
      </c>
      <c r="K5" s="1" t="s">
        <v>148</v>
      </c>
      <c r="M5" s="4" t="s">
        <v>218</v>
      </c>
      <c r="N5" s="12" t="s">
        <v>271</v>
      </c>
    </row>
    <row r="6" spans="1:16" ht="15" thickBot="1">
      <c r="B6" s="3" t="s">
        <v>220</v>
      </c>
      <c r="C6" s="30" t="s">
        <v>221</v>
      </c>
      <c r="D6" s="31">
        <v>10</v>
      </c>
      <c r="E6" s="3">
        <v>20</v>
      </c>
      <c r="F6" s="3">
        <v>30</v>
      </c>
      <c r="G6" s="3">
        <v>60</v>
      </c>
      <c r="H6" s="3">
        <v>110</v>
      </c>
      <c r="I6" s="3"/>
      <c r="J6" s="3" t="s">
        <v>151</v>
      </c>
      <c r="K6" s="3" t="s">
        <v>240</v>
      </c>
      <c r="M6" s="4" t="s">
        <v>214</v>
      </c>
      <c r="N6" s="4">
        <v>2023</v>
      </c>
      <c r="O6" s="4">
        <v>2030</v>
      </c>
      <c r="P6" s="4">
        <v>2040</v>
      </c>
    </row>
    <row r="7" spans="1:16" ht="15" thickBot="1">
      <c r="B7" s="3" t="s">
        <v>222</v>
      </c>
      <c r="C7" s="5" t="s">
        <v>223</v>
      </c>
      <c r="D7" s="32">
        <v>93</v>
      </c>
      <c r="E7" s="3">
        <v>95</v>
      </c>
      <c r="F7" s="3">
        <v>95</v>
      </c>
      <c r="G7" s="3">
        <v>95</v>
      </c>
      <c r="H7" s="3">
        <v>95</v>
      </c>
      <c r="I7" s="33">
        <v>0.05</v>
      </c>
      <c r="J7" s="3" t="s">
        <v>279</v>
      </c>
      <c r="K7" s="3"/>
      <c r="M7" s="12" t="s">
        <v>225</v>
      </c>
      <c r="N7" s="12">
        <v>4793.3</v>
      </c>
      <c r="O7" s="12">
        <v>4793.3</v>
      </c>
      <c r="P7" s="12">
        <v>4793.3</v>
      </c>
    </row>
    <row r="8" spans="1:16" ht="15" thickBot="1">
      <c r="B8" s="3" t="s">
        <v>280</v>
      </c>
      <c r="C8" s="5" t="s">
        <v>223</v>
      </c>
      <c r="D8" s="32">
        <v>99</v>
      </c>
      <c r="E8" s="3">
        <v>99.4</v>
      </c>
      <c r="F8" s="3">
        <v>99.4</v>
      </c>
      <c r="G8" s="3">
        <v>99.4</v>
      </c>
      <c r="H8" s="3">
        <v>99.4</v>
      </c>
      <c r="I8" s="33">
        <v>0.05</v>
      </c>
      <c r="J8" s="3" t="s">
        <v>279</v>
      </c>
      <c r="K8" s="3" t="s">
        <v>244</v>
      </c>
      <c r="M8" s="12" t="s">
        <v>228</v>
      </c>
      <c r="N8" s="12">
        <v>-0.81899999999999995</v>
      </c>
      <c r="O8" s="12">
        <v>-0.81899999999999995</v>
      </c>
      <c r="P8" s="12">
        <v>-0.81899999999999995</v>
      </c>
    </row>
    <row r="9" spans="1:16" ht="15" thickBot="1">
      <c r="B9" s="3" t="s">
        <v>226</v>
      </c>
      <c r="C9" s="5" t="s">
        <v>227</v>
      </c>
      <c r="D9" s="32">
        <v>20</v>
      </c>
      <c r="E9" s="3">
        <v>20</v>
      </c>
      <c r="F9" s="3">
        <v>20</v>
      </c>
      <c r="G9" s="3">
        <v>20</v>
      </c>
      <c r="H9" s="3">
        <v>20</v>
      </c>
      <c r="I9" s="3"/>
      <c r="J9" s="3" t="s">
        <v>192</v>
      </c>
      <c r="K9" s="3"/>
      <c r="M9" s="12" t="s">
        <v>23</v>
      </c>
      <c r="N9" s="43" t="s">
        <v>282</v>
      </c>
      <c r="O9" s="43" t="s">
        <v>282</v>
      </c>
      <c r="P9" s="43" t="s">
        <v>282</v>
      </c>
    </row>
    <row r="10" spans="1:16" ht="15" thickBot="1">
      <c r="B10" s="1" t="s">
        <v>229</v>
      </c>
      <c r="C10" s="2" t="s">
        <v>216</v>
      </c>
      <c r="D10" s="1"/>
      <c r="E10" s="1"/>
      <c r="F10" s="1"/>
      <c r="G10" s="1"/>
      <c r="H10" s="1"/>
      <c r="I10" s="1"/>
      <c r="J10" s="1"/>
      <c r="K10" s="1"/>
    </row>
    <row r="11" spans="1:16" ht="15" thickBot="1">
      <c r="B11" s="3" t="s">
        <v>230</v>
      </c>
      <c r="C11" s="3" t="s">
        <v>231</v>
      </c>
      <c r="D11" s="13">
        <v>779</v>
      </c>
      <c r="E11" s="13">
        <v>390</v>
      </c>
      <c r="F11" s="13">
        <v>270</v>
      </c>
      <c r="G11" s="13">
        <v>181</v>
      </c>
      <c r="H11" s="13">
        <v>177</v>
      </c>
      <c r="I11" s="33">
        <v>0.2</v>
      </c>
      <c r="J11" s="3" t="s">
        <v>272</v>
      </c>
      <c r="K11" s="3" t="s">
        <v>240</v>
      </c>
      <c r="M11" s="4" t="s">
        <v>234</v>
      </c>
      <c r="N11" s="12" t="s">
        <v>274</v>
      </c>
    </row>
    <row r="12" spans="1:16" ht="15" thickBot="1">
      <c r="B12" s="36" t="s">
        <v>236</v>
      </c>
      <c r="C12" s="3" t="s">
        <v>223</v>
      </c>
      <c r="D12" s="3">
        <v>70</v>
      </c>
      <c r="E12" s="3">
        <v>70</v>
      </c>
      <c r="F12" s="3">
        <v>70</v>
      </c>
      <c r="G12" s="3">
        <v>70</v>
      </c>
      <c r="H12" s="3">
        <v>70</v>
      </c>
      <c r="I12" s="3"/>
      <c r="J12" s="3"/>
      <c r="K12" s="3"/>
    </row>
    <row r="13" spans="1:16" ht="15" thickBot="1">
      <c r="B13" s="36" t="s">
        <v>237</v>
      </c>
      <c r="C13" s="3" t="s">
        <v>223</v>
      </c>
      <c r="D13" s="3">
        <v>30</v>
      </c>
      <c r="E13" s="3">
        <v>30</v>
      </c>
      <c r="F13" s="3">
        <v>30</v>
      </c>
      <c r="G13" s="3">
        <v>30</v>
      </c>
      <c r="H13" s="3">
        <v>30</v>
      </c>
      <c r="I13" s="3"/>
      <c r="J13" s="3"/>
      <c r="K13" s="3"/>
    </row>
    <row r="14" spans="1:16" ht="15" thickBot="1">
      <c r="B14" s="30" t="s">
        <v>263</v>
      </c>
      <c r="C14" s="3" t="s">
        <v>239</v>
      </c>
      <c r="D14" s="34">
        <v>7800</v>
      </c>
      <c r="E14" s="34">
        <v>7800</v>
      </c>
      <c r="F14" s="34">
        <v>8100</v>
      </c>
      <c r="G14" s="34">
        <v>10900</v>
      </c>
      <c r="H14" s="34">
        <v>19500</v>
      </c>
      <c r="I14" s="33">
        <v>0.2</v>
      </c>
      <c r="J14" s="3"/>
      <c r="K14" s="3"/>
      <c r="M14" s="4" t="s">
        <v>148</v>
      </c>
    </row>
    <row r="15" spans="1:16" ht="15" thickBot="1">
      <c r="B15" s="3" t="s">
        <v>242</v>
      </c>
      <c r="C15" s="3" t="s">
        <v>231</v>
      </c>
      <c r="D15" s="13">
        <v>23</v>
      </c>
      <c r="E15" s="13">
        <v>12</v>
      </c>
      <c r="F15" s="13">
        <v>8</v>
      </c>
      <c r="G15" s="13">
        <v>5</v>
      </c>
      <c r="H15" s="13">
        <v>5</v>
      </c>
      <c r="I15" s="33"/>
      <c r="J15" s="3" t="s">
        <v>172</v>
      </c>
      <c r="K15" s="3"/>
      <c r="M15" s="12" t="s">
        <v>240</v>
      </c>
      <c r="N15" s="12" t="s">
        <v>297</v>
      </c>
    </row>
    <row r="16" spans="1:16" ht="15" thickBot="1">
      <c r="B16" s="1" t="s">
        <v>246</v>
      </c>
      <c r="C16" s="2" t="s">
        <v>216</v>
      </c>
      <c r="D16" s="1"/>
      <c r="E16" s="1"/>
      <c r="F16" s="1"/>
      <c r="G16" s="1"/>
      <c r="H16" s="1"/>
      <c r="I16" s="1"/>
      <c r="J16" s="1"/>
      <c r="K16" s="1"/>
      <c r="M16" s="12" t="s">
        <v>244</v>
      </c>
      <c r="N16" s="12" t="s">
        <v>284</v>
      </c>
    </row>
    <row r="17" spans="2:14" ht="15" thickBot="1">
      <c r="B17" s="3" t="s">
        <v>248</v>
      </c>
      <c r="C17" s="3" t="s">
        <v>231</v>
      </c>
      <c r="D17" s="13">
        <v>162</v>
      </c>
      <c r="E17" s="13">
        <v>131</v>
      </c>
      <c r="F17" s="13">
        <v>115</v>
      </c>
      <c r="G17" s="13">
        <v>93</v>
      </c>
      <c r="H17" s="13">
        <v>77</v>
      </c>
      <c r="I17" s="13"/>
      <c r="J17" s="13" t="s">
        <v>188</v>
      </c>
      <c r="K17" s="13" t="s">
        <v>250</v>
      </c>
      <c r="M17" s="12" t="s">
        <v>224</v>
      </c>
      <c r="N17" s="12" t="s">
        <v>253</v>
      </c>
    </row>
    <row r="18" spans="2:14" ht="15" thickBot="1">
      <c r="B18" s="3" t="s">
        <v>248</v>
      </c>
      <c r="C18" s="3" t="s">
        <v>239</v>
      </c>
      <c r="D18" s="34">
        <v>1620</v>
      </c>
      <c r="E18" s="34">
        <v>2620</v>
      </c>
      <c r="F18" s="34">
        <v>3460</v>
      </c>
      <c r="G18" s="34">
        <v>5580</v>
      </c>
      <c r="H18" s="34">
        <v>8460</v>
      </c>
      <c r="I18" s="13"/>
      <c r="J18" s="13"/>
      <c r="K18" s="13"/>
      <c r="M18" s="12" t="s">
        <v>250</v>
      </c>
      <c r="N18" s="12" t="s">
        <v>255</v>
      </c>
    </row>
    <row r="19" spans="2:14" ht="15" thickBot="1">
      <c r="B19" s="3" t="s">
        <v>254</v>
      </c>
      <c r="C19" s="3" t="s">
        <v>231</v>
      </c>
      <c r="D19" s="13">
        <v>97</v>
      </c>
      <c r="E19" s="13">
        <v>49</v>
      </c>
      <c r="F19" s="13">
        <v>32</v>
      </c>
      <c r="G19" s="13">
        <v>16</v>
      </c>
      <c r="H19" s="13">
        <v>9</v>
      </c>
      <c r="I19" s="13"/>
      <c r="J19" s="13" t="s">
        <v>188</v>
      </c>
      <c r="K19" s="13"/>
      <c r="M19" s="12" t="s">
        <v>252</v>
      </c>
      <c r="N19" s="12" t="s">
        <v>286</v>
      </c>
    </row>
    <row r="20" spans="2:14" ht="15" thickBot="1">
      <c r="B20" s="3" t="s">
        <v>258</v>
      </c>
      <c r="C20" s="30" t="s">
        <v>239</v>
      </c>
      <c r="D20" s="34">
        <v>1025</v>
      </c>
      <c r="E20" s="34">
        <v>1726</v>
      </c>
      <c r="F20" s="34">
        <v>1726</v>
      </c>
      <c r="G20" s="34">
        <v>11445</v>
      </c>
      <c r="H20" s="34">
        <v>15260</v>
      </c>
      <c r="I20" s="13"/>
      <c r="J20" s="3" t="s">
        <v>151</v>
      </c>
      <c r="K20" s="3" t="s">
        <v>224</v>
      </c>
    </row>
    <row r="21" spans="2:14" ht="15" thickBot="1">
      <c r="B21" s="36" t="s">
        <v>259</v>
      </c>
      <c r="C21" s="30" t="s">
        <v>260</v>
      </c>
      <c r="D21" s="34">
        <v>500</v>
      </c>
      <c r="E21" s="34">
        <v>1000</v>
      </c>
      <c r="F21" s="34">
        <v>1000</v>
      </c>
      <c r="G21" s="34">
        <v>1500</v>
      </c>
      <c r="H21" s="34">
        <v>2000</v>
      </c>
      <c r="I21" s="3"/>
      <c r="J21" s="3"/>
      <c r="K21" s="3"/>
      <c r="M21" s="4" t="s">
        <v>147</v>
      </c>
      <c r="N21" s="12"/>
    </row>
    <row r="22" spans="2:14" ht="15" thickBot="1">
      <c r="B22" s="36" t="s">
        <v>261</v>
      </c>
      <c r="C22" s="30" t="s">
        <v>262</v>
      </c>
      <c r="D22" s="37">
        <v>2</v>
      </c>
      <c r="E22" s="37">
        <v>1.7</v>
      </c>
      <c r="F22" s="37">
        <v>1.7</v>
      </c>
      <c r="G22" s="37">
        <v>7.6</v>
      </c>
      <c r="H22" s="37">
        <v>7.6</v>
      </c>
      <c r="I22" s="3"/>
      <c r="J22" s="3"/>
      <c r="K22" s="3"/>
      <c r="M22" s="12" t="s">
        <v>151</v>
      </c>
      <c r="N22" s="12" t="s">
        <v>287</v>
      </c>
    </row>
    <row r="23" spans="2:14" ht="15" thickBot="1">
      <c r="B23" s="38" t="s">
        <v>263</v>
      </c>
      <c r="C23" s="39" t="s">
        <v>239</v>
      </c>
      <c r="D23" s="40">
        <v>11400</v>
      </c>
      <c r="E23" s="40">
        <v>13100</v>
      </c>
      <c r="F23" s="40">
        <v>14300</v>
      </c>
      <c r="G23" s="40">
        <v>28900</v>
      </c>
      <c r="H23" s="40">
        <v>44200</v>
      </c>
      <c r="I23" s="33">
        <v>0.2</v>
      </c>
      <c r="J23" s="40"/>
      <c r="K23" s="40"/>
      <c r="M23" s="12" t="s">
        <v>184</v>
      </c>
      <c r="N23" s="12" t="s">
        <v>264</v>
      </c>
    </row>
    <row r="24" spans="2:14">
      <c r="M24" s="12" t="s">
        <v>186</v>
      </c>
      <c r="N24" s="12" t="s">
        <v>266</v>
      </c>
    </row>
    <row r="25" spans="2:14">
      <c r="M25" s="12" t="s">
        <v>188</v>
      </c>
      <c r="N25" s="12" t="s">
        <v>267</v>
      </c>
    </row>
    <row r="26" spans="2:14">
      <c r="B26" s="4" t="s">
        <v>214</v>
      </c>
      <c r="C26" s="4">
        <v>2030</v>
      </c>
      <c r="F26" s="45"/>
      <c r="G26" s="45"/>
      <c r="H26" s="45"/>
      <c r="M26" s="12" t="s">
        <v>192</v>
      </c>
      <c r="N26" s="12" t="s">
        <v>265</v>
      </c>
    </row>
    <row r="27" spans="2:14" ht="15" thickBot="1">
      <c r="B27" s="1" t="s">
        <v>215</v>
      </c>
      <c r="C27" s="2" t="s">
        <v>216</v>
      </c>
      <c r="D27" s="2"/>
      <c r="E27" s="1"/>
      <c r="F27" s="1"/>
      <c r="G27" s="1"/>
      <c r="H27" s="1"/>
      <c r="I27" s="1" t="s">
        <v>217</v>
      </c>
      <c r="J27" s="1" t="s">
        <v>147</v>
      </c>
      <c r="K27" s="1" t="s">
        <v>148</v>
      </c>
      <c r="M27" s="12" t="s">
        <v>172</v>
      </c>
      <c r="N27" s="12" t="s">
        <v>268</v>
      </c>
    </row>
    <row r="28" spans="2:14" ht="15" thickBot="1">
      <c r="B28" s="3" t="s">
        <v>220</v>
      </c>
      <c r="C28" s="30" t="s">
        <v>221</v>
      </c>
      <c r="D28" s="31">
        <v>10</v>
      </c>
      <c r="E28" s="3">
        <v>20</v>
      </c>
      <c r="F28" s="3">
        <v>30</v>
      </c>
      <c r="G28" s="3">
        <v>60</v>
      </c>
      <c r="H28" s="3">
        <v>110</v>
      </c>
      <c r="I28" s="3"/>
      <c r="J28" s="3"/>
      <c r="K28" s="3"/>
      <c r="M28" s="12" t="s">
        <v>179</v>
      </c>
      <c r="N28" s="12" t="s">
        <v>288</v>
      </c>
    </row>
    <row r="29" spans="2:14" ht="15" thickBot="1">
      <c r="B29" s="3" t="s">
        <v>222</v>
      </c>
      <c r="C29" s="5" t="s">
        <v>223</v>
      </c>
      <c r="D29" s="32">
        <v>93</v>
      </c>
      <c r="E29" s="3">
        <v>95</v>
      </c>
      <c r="F29" s="3">
        <v>95</v>
      </c>
      <c r="G29" s="3">
        <v>95</v>
      </c>
      <c r="H29" s="3">
        <v>95</v>
      </c>
      <c r="I29" s="33">
        <v>0.05</v>
      </c>
      <c r="J29" s="3" t="s">
        <v>279</v>
      </c>
      <c r="K29" s="3"/>
    </row>
    <row r="30" spans="2:14" ht="15" thickBot="1">
      <c r="B30" s="3" t="s">
        <v>280</v>
      </c>
      <c r="C30" s="5" t="s">
        <v>223</v>
      </c>
      <c r="D30" s="32">
        <v>99</v>
      </c>
      <c r="E30" s="3">
        <v>99.4</v>
      </c>
      <c r="F30" s="3">
        <v>99.4</v>
      </c>
      <c r="G30" s="3">
        <v>99.4</v>
      </c>
      <c r="H30" s="3">
        <v>99.4</v>
      </c>
      <c r="I30" s="33">
        <v>0.05</v>
      </c>
      <c r="J30" s="3" t="s">
        <v>279</v>
      </c>
      <c r="K30" s="3" t="s">
        <v>244</v>
      </c>
    </row>
    <row r="31" spans="2:14" ht="15" thickBot="1">
      <c r="B31" s="3" t="s">
        <v>226</v>
      </c>
      <c r="C31" s="5" t="s">
        <v>227</v>
      </c>
      <c r="D31" s="32">
        <v>20</v>
      </c>
      <c r="E31" s="3">
        <v>20</v>
      </c>
      <c r="F31" s="3">
        <v>20</v>
      </c>
      <c r="G31" s="3">
        <v>20</v>
      </c>
      <c r="H31" s="3">
        <v>20</v>
      </c>
      <c r="I31" s="3"/>
      <c r="J31" s="3" t="s">
        <v>172</v>
      </c>
      <c r="K31" s="3"/>
    </row>
    <row r="32" spans="2:14" ht="15" thickBot="1">
      <c r="B32" s="1" t="s">
        <v>229</v>
      </c>
      <c r="C32" s="2" t="s">
        <v>216</v>
      </c>
      <c r="D32" s="1"/>
      <c r="E32" s="1"/>
      <c r="F32" s="1"/>
      <c r="G32" s="1"/>
      <c r="H32" s="1"/>
      <c r="I32" s="1"/>
      <c r="J32" s="1"/>
      <c r="K32" s="1"/>
    </row>
    <row r="33" spans="2:16" ht="15" thickBot="1">
      <c r="B33" s="3" t="s">
        <v>230</v>
      </c>
      <c r="C33" s="3" t="s">
        <v>231</v>
      </c>
      <c r="D33" s="13">
        <v>779</v>
      </c>
      <c r="E33" s="13">
        <v>390</v>
      </c>
      <c r="F33" s="13">
        <v>270</v>
      </c>
      <c r="G33" s="13">
        <v>181</v>
      </c>
      <c r="H33" s="13">
        <v>177</v>
      </c>
      <c r="I33" s="33">
        <v>0.25</v>
      </c>
      <c r="J33" s="3" t="s">
        <v>272</v>
      </c>
      <c r="K33" s="3" t="s">
        <v>240</v>
      </c>
    </row>
    <row r="34" spans="2:16" ht="15" thickBot="1">
      <c r="B34" s="36" t="s">
        <v>236</v>
      </c>
      <c r="C34" s="3" t="s">
        <v>223</v>
      </c>
      <c r="D34" s="3">
        <v>70</v>
      </c>
      <c r="E34" s="3">
        <v>70</v>
      </c>
      <c r="F34" s="3">
        <v>70</v>
      </c>
      <c r="G34" s="3">
        <v>70</v>
      </c>
      <c r="H34" s="3">
        <v>70</v>
      </c>
      <c r="I34" s="3"/>
      <c r="J34" s="3"/>
      <c r="K34" s="3"/>
    </row>
    <row r="35" spans="2:16" ht="15" thickBot="1">
      <c r="B35" s="36" t="s">
        <v>237</v>
      </c>
      <c r="C35" s="3" t="s">
        <v>223</v>
      </c>
      <c r="D35" s="3">
        <v>30</v>
      </c>
      <c r="E35" s="3">
        <v>30</v>
      </c>
      <c r="F35" s="3">
        <v>30</v>
      </c>
      <c r="G35" s="3">
        <v>30</v>
      </c>
      <c r="H35" s="3">
        <v>30</v>
      </c>
      <c r="I35" s="3"/>
      <c r="J35" s="3"/>
      <c r="K35" s="3"/>
    </row>
    <row r="36" spans="2:16" ht="15" thickBot="1">
      <c r="B36" s="30" t="s">
        <v>263</v>
      </c>
      <c r="C36" s="3" t="s">
        <v>239</v>
      </c>
      <c r="D36" s="34">
        <v>7800</v>
      </c>
      <c r="E36" s="34">
        <v>7800</v>
      </c>
      <c r="F36" s="34">
        <v>8100</v>
      </c>
      <c r="G36" s="34">
        <v>10900</v>
      </c>
      <c r="H36" s="34">
        <v>19500</v>
      </c>
      <c r="I36" s="33">
        <v>0.25</v>
      </c>
      <c r="J36" s="3"/>
      <c r="K36" s="3"/>
      <c r="M36" s="10"/>
      <c r="N36" s="10"/>
      <c r="O36" s="10"/>
    </row>
    <row r="37" spans="2:16" ht="15" thickBot="1">
      <c r="B37" s="3" t="s">
        <v>242</v>
      </c>
      <c r="C37" s="3" t="s">
        <v>231</v>
      </c>
      <c r="D37" s="13">
        <v>23</v>
      </c>
      <c r="E37" s="13">
        <v>12</v>
      </c>
      <c r="F37" s="13">
        <v>8</v>
      </c>
      <c r="G37" s="13">
        <v>5</v>
      </c>
      <c r="H37" s="13">
        <v>5</v>
      </c>
      <c r="I37" s="33"/>
      <c r="J37" s="3" t="s">
        <v>172</v>
      </c>
      <c r="K37" s="3"/>
    </row>
    <row r="38" spans="2:16" ht="15" thickBot="1">
      <c r="B38" s="1" t="s">
        <v>246</v>
      </c>
      <c r="C38" s="2" t="s">
        <v>216</v>
      </c>
      <c r="D38" s="1"/>
      <c r="E38" s="1"/>
      <c r="F38" s="1"/>
      <c r="G38" s="1"/>
      <c r="H38" s="1"/>
      <c r="I38" s="1"/>
      <c r="J38" s="1"/>
      <c r="K38" s="1"/>
    </row>
    <row r="39" spans="2:16" ht="15" thickBot="1">
      <c r="B39" s="3" t="s">
        <v>248</v>
      </c>
      <c r="C39" s="3" t="s">
        <v>231</v>
      </c>
      <c r="D39" s="13">
        <v>162</v>
      </c>
      <c r="E39" s="13">
        <v>131</v>
      </c>
      <c r="F39" s="13">
        <v>115</v>
      </c>
      <c r="G39" s="13">
        <v>93</v>
      </c>
      <c r="H39" s="13">
        <v>77</v>
      </c>
      <c r="I39" s="13"/>
      <c r="J39" s="13" t="s">
        <v>188</v>
      </c>
      <c r="K39" s="13" t="s">
        <v>250</v>
      </c>
      <c r="P39" s="10"/>
    </row>
    <row r="40" spans="2:16" ht="15" thickBot="1">
      <c r="B40" s="3" t="s">
        <v>248</v>
      </c>
      <c r="C40" s="3" t="s">
        <v>239</v>
      </c>
      <c r="D40" s="34">
        <v>1620</v>
      </c>
      <c r="E40" s="34">
        <v>2620</v>
      </c>
      <c r="F40" s="34">
        <v>3460</v>
      </c>
      <c r="G40" s="34">
        <v>5580</v>
      </c>
      <c r="H40" s="34">
        <v>8460</v>
      </c>
      <c r="I40" s="13"/>
      <c r="J40" s="13"/>
      <c r="K40" s="13"/>
    </row>
    <row r="41" spans="2:16" ht="15" thickBot="1">
      <c r="B41" s="3" t="s">
        <v>254</v>
      </c>
      <c r="C41" s="3" t="s">
        <v>231</v>
      </c>
      <c r="D41" s="13">
        <v>97</v>
      </c>
      <c r="E41" s="13">
        <v>49</v>
      </c>
      <c r="F41" s="13">
        <v>32</v>
      </c>
      <c r="G41" s="13">
        <v>16</v>
      </c>
      <c r="H41" s="13">
        <v>9</v>
      </c>
      <c r="I41" s="13"/>
      <c r="J41" s="13" t="s">
        <v>188</v>
      </c>
      <c r="K41" s="13"/>
    </row>
    <row r="42" spans="2:16" ht="15" thickBot="1">
      <c r="B42" s="3" t="s">
        <v>258</v>
      </c>
      <c r="C42" s="30" t="s">
        <v>239</v>
      </c>
      <c r="D42" s="34">
        <v>1025</v>
      </c>
      <c r="E42" s="34">
        <v>1726</v>
      </c>
      <c r="F42" s="34">
        <v>1726</v>
      </c>
      <c r="G42" s="34">
        <v>11445</v>
      </c>
      <c r="H42" s="34">
        <v>15260</v>
      </c>
      <c r="I42" s="13"/>
      <c r="J42" s="3" t="s">
        <v>151</v>
      </c>
      <c r="K42" s="3" t="s">
        <v>224</v>
      </c>
    </row>
    <row r="43" spans="2:16" ht="15" thickBot="1">
      <c r="B43" s="36" t="s">
        <v>259</v>
      </c>
      <c r="C43" s="30" t="s">
        <v>260</v>
      </c>
      <c r="D43" s="34">
        <v>500</v>
      </c>
      <c r="E43" s="34">
        <v>1000</v>
      </c>
      <c r="F43" s="34">
        <v>1000</v>
      </c>
      <c r="G43" s="34">
        <v>1500</v>
      </c>
      <c r="H43" s="34">
        <v>2000</v>
      </c>
      <c r="I43" s="3"/>
      <c r="J43" s="3"/>
      <c r="K43" s="3"/>
    </row>
    <row r="44" spans="2:16" ht="15" thickBot="1">
      <c r="B44" s="36" t="s">
        <v>261</v>
      </c>
      <c r="C44" s="30" t="s">
        <v>262</v>
      </c>
      <c r="D44" s="37">
        <v>2</v>
      </c>
      <c r="E44" s="37">
        <v>1.7</v>
      </c>
      <c r="F44" s="37">
        <v>1.7</v>
      </c>
      <c r="G44" s="37">
        <v>7.6</v>
      </c>
      <c r="H44" s="37">
        <v>7.6</v>
      </c>
      <c r="I44" s="3"/>
      <c r="J44" s="3"/>
      <c r="K44" s="3"/>
    </row>
    <row r="45" spans="2:16" ht="15" thickBot="1">
      <c r="B45" s="38" t="s">
        <v>263</v>
      </c>
      <c r="C45" s="39" t="s">
        <v>239</v>
      </c>
      <c r="D45" s="40">
        <v>11400</v>
      </c>
      <c r="E45" s="40">
        <v>13100</v>
      </c>
      <c r="F45" s="40">
        <v>14300</v>
      </c>
      <c r="G45" s="40">
        <v>28900</v>
      </c>
      <c r="H45" s="40">
        <v>44200</v>
      </c>
      <c r="I45" s="33">
        <v>0.25</v>
      </c>
      <c r="J45" s="40"/>
      <c r="K45" s="40"/>
    </row>
    <row r="48" spans="2:16">
      <c r="B48" s="4" t="s">
        <v>214</v>
      </c>
      <c r="C48" s="4">
        <v>2040</v>
      </c>
    </row>
    <row r="49" spans="2:11" ht="15" thickBot="1">
      <c r="B49" s="1" t="s">
        <v>215</v>
      </c>
      <c r="C49" s="2" t="s">
        <v>216</v>
      </c>
      <c r="D49" s="2"/>
      <c r="E49" s="1"/>
      <c r="F49" s="1"/>
      <c r="G49" s="1"/>
      <c r="H49" s="1"/>
      <c r="I49" s="1" t="s">
        <v>217</v>
      </c>
      <c r="J49" s="1" t="s">
        <v>147</v>
      </c>
      <c r="K49" s="1" t="s">
        <v>148</v>
      </c>
    </row>
    <row r="50" spans="2:11" ht="15" thickBot="1">
      <c r="B50" s="3" t="s">
        <v>220</v>
      </c>
      <c r="C50" s="30" t="s">
        <v>221</v>
      </c>
      <c r="D50" s="31">
        <v>10</v>
      </c>
      <c r="E50" s="3">
        <v>20</v>
      </c>
      <c r="F50" s="3">
        <v>30</v>
      </c>
      <c r="G50" s="3">
        <v>60</v>
      </c>
      <c r="H50" s="3">
        <v>110</v>
      </c>
      <c r="I50" s="3"/>
      <c r="J50" s="3"/>
      <c r="K50" s="3"/>
    </row>
    <row r="51" spans="2:11" ht="15" thickBot="1">
      <c r="B51" s="3" t="s">
        <v>222</v>
      </c>
      <c r="C51" s="5" t="s">
        <v>223</v>
      </c>
      <c r="D51" s="32">
        <v>93</v>
      </c>
      <c r="E51" s="3">
        <v>95</v>
      </c>
      <c r="F51" s="3">
        <v>95</v>
      </c>
      <c r="G51" s="3">
        <v>95</v>
      </c>
      <c r="H51" s="3">
        <v>95</v>
      </c>
      <c r="I51" s="33">
        <v>0.05</v>
      </c>
      <c r="J51" s="3" t="s">
        <v>279</v>
      </c>
      <c r="K51" s="3"/>
    </row>
    <row r="52" spans="2:11" ht="15" thickBot="1">
      <c r="B52" s="3" t="s">
        <v>280</v>
      </c>
      <c r="C52" s="5" t="s">
        <v>223</v>
      </c>
      <c r="D52" s="32">
        <v>99</v>
      </c>
      <c r="E52" s="3">
        <v>99.4</v>
      </c>
      <c r="F52" s="3">
        <v>99.4</v>
      </c>
      <c r="G52" s="3">
        <v>99.4</v>
      </c>
      <c r="H52" s="3">
        <v>99.4</v>
      </c>
      <c r="I52" s="33">
        <v>0.05</v>
      </c>
      <c r="J52" s="3" t="s">
        <v>279</v>
      </c>
      <c r="K52" s="3" t="s">
        <v>244</v>
      </c>
    </row>
    <row r="53" spans="2:11" ht="15" thickBot="1">
      <c r="B53" s="3" t="s">
        <v>226</v>
      </c>
      <c r="C53" s="5" t="s">
        <v>227</v>
      </c>
      <c r="D53" s="32">
        <v>20</v>
      </c>
      <c r="E53" s="3">
        <v>20</v>
      </c>
      <c r="F53" s="3">
        <v>20</v>
      </c>
      <c r="G53" s="3">
        <v>20</v>
      </c>
      <c r="H53" s="3">
        <v>20</v>
      </c>
      <c r="I53" s="3"/>
      <c r="J53" s="3" t="s">
        <v>192</v>
      </c>
      <c r="K53" s="3"/>
    </row>
    <row r="54" spans="2:11" ht="15" thickBot="1">
      <c r="B54" s="1" t="s">
        <v>229</v>
      </c>
      <c r="C54" s="2" t="s">
        <v>216</v>
      </c>
      <c r="D54" s="1"/>
      <c r="E54" s="1"/>
      <c r="F54" s="1"/>
      <c r="G54" s="1"/>
      <c r="H54" s="1"/>
      <c r="I54" s="1"/>
      <c r="J54" s="1"/>
      <c r="K54" s="1"/>
    </row>
    <row r="55" spans="2:11" ht="15" thickBot="1">
      <c r="B55" s="3" t="s">
        <v>230</v>
      </c>
      <c r="C55" s="3" t="s">
        <v>231</v>
      </c>
      <c r="D55" s="13">
        <v>779</v>
      </c>
      <c r="E55" s="13">
        <v>390</v>
      </c>
      <c r="F55" s="13">
        <v>270</v>
      </c>
      <c r="G55" s="13">
        <v>181</v>
      </c>
      <c r="H55" s="13">
        <v>177</v>
      </c>
      <c r="I55" s="33">
        <v>0.35</v>
      </c>
      <c r="J55" s="3" t="s">
        <v>272</v>
      </c>
      <c r="K55" s="3" t="s">
        <v>224</v>
      </c>
    </row>
    <row r="56" spans="2:11" ht="15" thickBot="1">
      <c r="B56" s="36" t="s">
        <v>236</v>
      </c>
      <c r="C56" s="3" t="s">
        <v>223</v>
      </c>
      <c r="D56" s="3">
        <v>70</v>
      </c>
      <c r="E56" s="3">
        <v>70</v>
      </c>
      <c r="F56" s="3">
        <v>70</v>
      </c>
      <c r="G56" s="3">
        <v>70</v>
      </c>
      <c r="H56" s="3">
        <v>70</v>
      </c>
      <c r="I56" s="3"/>
      <c r="J56" s="3"/>
      <c r="K56" s="3"/>
    </row>
    <row r="57" spans="2:11" ht="15" thickBot="1">
      <c r="B57" s="36" t="s">
        <v>237</v>
      </c>
      <c r="C57" s="3" t="s">
        <v>223</v>
      </c>
      <c r="D57" s="3">
        <v>30</v>
      </c>
      <c r="E57" s="3">
        <v>30</v>
      </c>
      <c r="F57" s="3">
        <v>30</v>
      </c>
      <c r="G57" s="3">
        <v>30</v>
      </c>
      <c r="H57" s="3">
        <v>30</v>
      </c>
      <c r="I57" s="3"/>
      <c r="J57" s="3"/>
      <c r="K57" s="3"/>
    </row>
    <row r="58" spans="2:11" ht="15" thickBot="1">
      <c r="B58" s="30" t="s">
        <v>263</v>
      </c>
      <c r="C58" s="3" t="s">
        <v>239</v>
      </c>
      <c r="D58" s="34">
        <v>7800</v>
      </c>
      <c r="E58" s="34">
        <v>7800</v>
      </c>
      <c r="F58" s="34">
        <v>8100</v>
      </c>
      <c r="G58" s="34">
        <v>10900</v>
      </c>
      <c r="H58" s="34">
        <v>19500</v>
      </c>
      <c r="I58" s="33">
        <v>0.35</v>
      </c>
      <c r="J58" s="3"/>
      <c r="K58" s="3"/>
    </row>
    <row r="59" spans="2:11" ht="15" thickBot="1">
      <c r="B59" s="3" t="s">
        <v>242</v>
      </c>
      <c r="C59" s="3" t="s">
        <v>231</v>
      </c>
      <c r="D59" s="13">
        <v>23</v>
      </c>
      <c r="E59" s="13">
        <v>12</v>
      </c>
      <c r="F59" s="13">
        <v>8</v>
      </c>
      <c r="G59" s="13">
        <v>5</v>
      </c>
      <c r="H59" s="13">
        <v>5</v>
      </c>
      <c r="I59" s="33"/>
      <c r="J59" s="3" t="s">
        <v>172</v>
      </c>
      <c r="K59" s="3"/>
    </row>
    <row r="60" spans="2:11" ht="15" thickBot="1">
      <c r="B60" s="1" t="s">
        <v>246</v>
      </c>
      <c r="C60" s="2" t="s">
        <v>216</v>
      </c>
      <c r="D60" s="1"/>
      <c r="E60" s="1"/>
      <c r="F60" s="1"/>
      <c r="G60" s="1"/>
      <c r="H60" s="1"/>
      <c r="I60" s="1"/>
      <c r="J60" s="1"/>
      <c r="K60" s="1"/>
    </row>
    <row r="61" spans="2:11" ht="15" thickBot="1">
      <c r="B61" s="3" t="s">
        <v>248</v>
      </c>
      <c r="C61" s="3" t="s">
        <v>231</v>
      </c>
      <c r="D61" s="13">
        <v>162</v>
      </c>
      <c r="E61" s="13">
        <v>131</v>
      </c>
      <c r="F61" s="13">
        <v>115</v>
      </c>
      <c r="G61" s="13">
        <v>93</v>
      </c>
      <c r="H61" s="13">
        <v>77</v>
      </c>
      <c r="I61" s="13"/>
      <c r="J61" s="13" t="s">
        <v>188</v>
      </c>
      <c r="K61" s="13" t="s">
        <v>250</v>
      </c>
    </row>
    <row r="62" spans="2:11" ht="15" thickBot="1">
      <c r="B62" s="3" t="s">
        <v>248</v>
      </c>
      <c r="C62" s="3" t="s">
        <v>239</v>
      </c>
      <c r="D62" s="34">
        <v>1620</v>
      </c>
      <c r="E62" s="34">
        <v>2620</v>
      </c>
      <c r="F62" s="34">
        <v>3460</v>
      </c>
      <c r="G62" s="34">
        <v>5580</v>
      </c>
      <c r="H62" s="34">
        <v>8460</v>
      </c>
      <c r="I62" s="13"/>
      <c r="J62" s="13"/>
      <c r="K62" s="13"/>
    </row>
    <row r="63" spans="2:11" ht="15" thickBot="1">
      <c r="B63" s="3" t="s">
        <v>254</v>
      </c>
      <c r="C63" s="3" t="s">
        <v>231</v>
      </c>
      <c r="D63" s="13">
        <v>97</v>
      </c>
      <c r="E63" s="13">
        <v>49</v>
      </c>
      <c r="F63" s="13">
        <v>32</v>
      </c>
      <c r="G63" s="13">
        <v>16</v>
      </c>
      <c r="H63" s="13">
        <v>9</v>
      </c>
      <c r="I63" s="13"/>
      <c r="J63" s="13" t="s">
        <v>188</v>
      </c>
      <c r="K63" s="13"/>
    </row>
    <row r="64" spans="2:11" ht="15" thickBot="1">
      <c r="B64" s="3" t="s">
        <v>258</v>
      </c>
      <c r="C64" s="30" t="s">
        <v>239</v>
      </c>
      <c r="D64" s="34">
        <v>1025</v>
      </c>
      <c r="E64" s="34">
        <v>1726</v>
      </c>
      <c r="F64" s="34">
        <v>1726</v>
      </c>
      <c r="G64" s="34">
        <v>11445</v>
      </c>
      <c r="H64" s="34">
        <v>15260</v>
      </c>
      <c r="I64" s="13"/>
      <c r="J64" s="3" t="s">
        <v>151</v>
      </c>
      <c r="K64" s="3" t="s">
        <v>224</v>
      </c>
    </row>
    <row r="65" spans="2:11" ht="15" thickBot="1">
      <c r="B65" s="36" t="s">
        <v>259</v>
      </c>
      <c r="C65" s="30" t="s">
        <v>260</v>
      </c>
      <c r="D65" s="34">
        <v>500</v>
      </c>
      <c r="E65" s="34">
        <v>1000</v>
      </c>
      <c r="F65" s="34">
        <v>1000</v>
      </c>
      <c r="G65" s="34">
        <v>1500</v>
      </c>
      <c r="H65" s="34">
        <v>2000</v>
      </c>
      <c r="I65" s="3"/>
      <c r="J65" s="3"/>
      <c r="K65" s="3"/>
    </row>
    <row r="66" spans="2:11" ht="15" thickBot="1">
      <c r="B66" s="36" t="s">
        <v>261</v>
      </c>
      <c r="C66" s="30" t="s">
        <v>262</v>
      </c>
      <c r="D66" s="37">
        <v>2</v>
      </c>
      <c r="E66" s="37">
        <v>1.7</v>
      </c>
      <c r="F66" s="37">
        <v>1.7</v>
      </c>
      <c r="G66" s="37">
        <v>7.6</v>
      </c>
      <c r="H66" s="37">
        <v>7.6</v>
      </c>
      <c r="I66" s="3"/>
      <c r="J66" s="3"/>
      <c r="K66" s="3"/>
    </row>
    <row r="67" spans="2:11" ht="15" thickBot="1">
      <c r="B67" s="38" t="s">
        <v>263</v>
      </c>
      <c r="C67" s="39" t="s">
        <v>239</v>
      </c>
      <c r="D67" s="40">
        <v>11400</v>
      </c>
      <c r="E67" s="40">
        <v>13100</v>
      </c>
      <c r="F67" s="40">
        <v>14300</v>
      </c>
      <c r="G67" s="40">
        <v>28900</v>
      </c>
      <c r="H67" s="40">
        <v>44200</v>
      </c>
      <c r="I67" s="33">
        <v>0.35</v>
      </c>
      <c r="J67" s="40"/>
      <c r="K67" s="40"/>
    </row>
  </sheetData>
  <mergeCells count="1">
    <mergeCell ref="F2:K3"/>
  </mergeCells>
  <conditionalFormatting sqref="I7:I8 I11 I29:I30 I51:I52 I33 I14:I15 I36:I37 I59">
    <cfRule type="colorScale" priority="9">
      <colorScale>
        <cfvo type="num" val="0"/>
        <cfvo type="num" val="0.5"/>
        <color theme="0"/>
        <color theme="5"/>
      </colorScale>
    </cfRule>
  </conditionalFormatting>
  <conditionalFormatting sqref="I21">
    <cfRule type="colorScale" priority="8">
      <colorScale>
        <cfvo type="num" val="0"/>
        <cfvo type="num" val="0.5"/>
        <color theme="0"/>
        <color theme="5"/>
      </colorScale>
    </cfRule>
  </conditionalFormatting>
  <conditionalFormatting sqref="I23">
    <cfRule type="colorScale" priority="5">
      <colorScale>
        <cfvo type="num" val="0"/>
        <cfvo type="num" val="0.5"/>
        <color theme="0"/>
        <color theme="5"/>
      </colorScale>
    </cfRule>
  </conditionalFormatting>
  <conditionalFormatting sqref="I43">
    <cfRule type="colorScale" priority="7">
      <colorScale>
        <cfvo type="num" val="0"/>
        <cfvo type="num" val="0.5"/>
        <color theme="0"/>
        <color theme="5"/>
      </colorScale>
    </cfRule>
  </conditionalFormatting>
  <conditionalFormatting sqref="I45">
    <cfRule type="colorScale" priority="4">
      <colorScale>
        <cfvo type="num" val="0"/>
        <cfvo type="num" val="0.5"/>
        <color theme="0"/>
        <color theme="5"/>
      </colorScale>
    </cfRule>
  </conditionalFormatting>
  <conditionalFormatting sqref="I55">
    <cfRule type="colorScale" priority="1">
      <colorScale>
        <cfvo type="num" val="0"/>
        <cfvo type="num" val="0.5"/>
        <color theme="0"/>
        <color theme="5"/>
      </colorScale>
    </cfRule>
  </conditionalFormatting>
  <conditionalFormatting sqref="I58">
    <cfRule type="colorScale" priority="2">
      <colorScale>
        <cfvo type="num" val="0"/>
        <cfvo type="num" val="0.5"/>
        <color theme="0"/>
        <color theme="5"/>
      </colorScale>
    </cfRule>
  </conditionalFormatting>
  <conditionalFormatting sqref="I65">
    <cfRule type="colorScale" priority="6">
      <colorScale>
        <cfvo type="num" val="0"/>
        <cfvo type="num" val="0.5"/>
        <color theme="0"/>
        <color theme="5"/>
      </colorScale>
    </cfRule>
  </conditionalFormatting>
  <conditionalFormatting sqref="I67">
    <cfRule type="colorScale" priority="3">
      <colorScale>
        <cfvo type="num" val="0"/>
        <cfvo type="num" val="0.5"/>
        <color theme="0"/>
        <color theme="5"/>
      </colorScale>
    </cfRule>
  </conditionalFormatting>
  <hyperlinks>
    <hyperlink ref="A1" location="Inhalt!A1" display="Zum Inhalt" xr:uid="{4073FD82-EB9F-4245-B175-59BE55F03C7F}"/>
  </hyperlinks>
  <pageMargins left="0.7" right="0.7" top="0.78740157499999996" bottom="0.78740157499999996"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F388-AEDE-4CCD-A034-8B184B51BE72}">
  <sheetPr codeName="Tabelle9"/>
  <dimension ref="A1:X65"/>
  <sheetViews>
    <sheetView tabSelected="1" zoomScaleNormal="100" workbookViewId="0">
      <selection activeCell="K24" sqref="K24"/>
    </sheetView>
  </sheetViews>
  <sheetFormatPr baseColWidth="10" defaultColWidth="11.44140625" defaultRowHeight="14.4"/>
  <cols>
    <col min="2" max="2" width="31" customWidth="1"/>
    <col min="11" max="11" width="15.88671875" customWidth="1"/>
    <col min="12" max="12" width="12.6640625" customWidth="1"/>
  </cols>
  <sheetData>
    <row r="1" spans="1:24" ht="28.2" thickBot="1">
      <c r="A1" s="99" t="s">
        <v>143</v>
      </c>
    </row>
    <row r="2" spans="1:24" ht="16.5" customHeight="1">
      <c r="G2" s="142" t="s">
        <v>212</v>
      </c>
      <c r="H2" s="143"/>
      <c r="I2" s="143"/>
      <c r="J2" s="143"/>
      <c r="K2" s="144"/>
    </row>
    <row r="3" spans="1:24" ht="18.45" customHeight="1" thickBot="1">
      <c r="B3" s="4" t="s">
        <v>213</v>
      </c>
      <c r="C3" s="4" t="s">
        <v>56</v>
      </c>
      <c r="G3" s="145"/>
      <c r="H3" s="146"/>
      <c r="I3" s="146"/>
      <c r="J3" s="146"/>
      <c r="K3" s="147"/>
    </row>
    <row r="4" spans="1:24">
      <c r="B4" s="4" t="s">
        <v>214</v>
      </c>
      <c r="C4" s="4">
        <v>2023</v>
      </c>
    </row>
    <row r="5" spans="1:24" ht="15" thickBot="1">
      <c r="B5" s="1" t="s">
        <v>215</v>
      </c>
      <c r="C5" s="2" t="s">
        <v>216</v>
      </c>
      <c r="D5" s="1"/>
      <c r="E5" s="1"/>
      <c r="F5" s="1"/>
      <c r="G5" s="2"/>
      <c r="H5" s="1" t="s">
        <v>217</v>
      </c>
      <c r="I5" s="1" t="s">
        <v>147</v>
      </c>
      <c r="J5" s="1" t="s">
        <v>148</v>
      </c>
      <c r="L5" s="4" t="s">
        <v>218</v>
      </c>
      <c r="M5" s="12" t="s">
        <v>219</v>
      </c>
    </row>
    <row r="6" spans="1:24" ht="15" thickBot="1">
      <c r="B6" s="3" t="s">
        <v>220</v>
      </c>
      <c r="C6" s="30" t="s">
        <v>221</v>
      </c>
      <c r="D6" s="3">
        <v>4.2</v>
      </c>
      <c r="E6" s="3">
        <v>10</v>
      </c>
      <c r="F6" s="3">
        <v>20</v>
      </c>
      <c r="G6" s="31">
        <v>140</v>
      </c>
      <c r="H6" s="3"/>
      <c r="I6" s="3"/>
      <c r="J6" s="3"/>
      <c r="L6" s="4" t="s">
        <v>214</v>
      </c>
      <c r="M6" s="4">
        <v>2023</v>
      </c>
      <c r="N6" s="4">
        <v>2030</v>
      </c>
      <c r="O6" s="4">
        <v>2040</v>
      </c>
    </row>
    <row r="7" spans="1:24" ht="15" thickBot="1">
      <c r="B7" s="3" t="s">
        <v>298</v>
      </c>
      <c r="C7" s="30" t="s">
        <v>299</v>
      </c>
      <c r="D7" s="3">
        <v>6.4</v>
      </c>
      <c r="E7" s="37">
        <v>15.2</v>
      </c>
      <c r="F7" s="37">
        <v>30.5</v>
      </c>
      <c r="G7" s="31">
        <v>235.6</v>
      </c>
      <c r="H7" s="33">
        <v>0.15</v>
      </c>
      <c r="I7" s="3"/>
      <c r="J7" s="3" t="s">
        <v>300</v>
      </c>
      <c r="L7" s="12" t="s">
        <v>225</v>
      </c>
      <c r="M7" s="12">
        <v>1248.5</v>
      </c>
      <c r="N7" s="12">
        <v>1248.5</v>
      </c>
      <c r="O7" s="12">
        <v>1248.5</v>
      </c>
    </row>
    <row r="8" spans="1:24" ht="15" thickBot="1">
      <c r="B8" s="3" t="s">
        <v>301</v>
      </c>
      <c r="C8" s="30" t="s">
        <v>302</v>
      </c>
      <c r="D8" s="13">
        <v>659</v>
      </c>
      <c r="E8" s="13">
        <v>659</v>
      </c>
      <c r="F8" s="13">
        <v>659</v>
      </c>
      <c r="G8" s="13">
        <v>659</v>
      </c>
      <c r="H8" s="33">
        <v>0.15</v>
      </c>
      <c r="I8" s="3" t="s">
        <v>303</v>
      </c>
      <c r="J8" s="3" t="s">
        <v>304</v>
      </c>
      <c r="L8" s="12" t="s">
        <v>228</v>
      </c>
      <c r="M8" s="12">
        <v>-9.8000000000000004E-2</v>
      </c>
      <c r="N8" s="12">
        <v>-9.8000000000000004E-2</v>
      </c>
      <c r="O8" s="12">
        <v>-9.8000000000000004E-2</v>
      </c>
      <c r="X8" s="44"/>
    </row>
    <row r="9" spans="1:24" ht="15" thickBot="1">
      <c r="B9" s="3" t="s">
        <v>226</v>
      </c>
      <c r="C9" s="5" t="s">
        <v>227</v>
      </c>
      <c r="D9" s="3">
        <v>20</v>
      </c>
      <c r="E9" s="3">
        <v>20</v>
      </c>
      <c r="F9" s="3">
        <v>20</v>
      </c>
      <c r="G9" s="3">
        <v>20</v>
      </c>
      <c r="H9" s="33">
        <v>0.4</v>
      </c>
      <c r="I9" s="3" t="s">
        <v>305</v>
      </c>
      <c r="J9" s="3" t="s">
        <v>224</v>
      </c>
      <c r="X9" s="44"/>
    </row>
    <row r="10" spans="1:24" ht="15" thickBot="1">
      <c r="B10" s="1" t="s">
        <v>229</v>
      </c>
      <c r="C10" s="2" t="s">
        <v>216</v>
      </c>
      <c r="D10" s="1"/>
      <c r="E10" s="1"/>
      <c r="F10" s="1"/>
      <c r="G10" s="1"/>
      <c r="H10" s="1"/>
      <c r="I10" s="1"/>
      <c r="J10" s="1"/>
      <c r="L10" s="4" t="s">
        <v>234</v>
      </c>
      <c r="M10" s="12" t="s">
        <v>306</v>
      </c>
    </row>
    <row r="11" spans="1:24" ht="15" thickBot="1">
      <c r="B11" s="3" t="s">
        <v>230</v>
      </c>
      <c r="C11" s="3" t="s">
        <v>231</v>
      </c>
      <c r="D11" s="41">
        <v>1089</v>
      </c>
      <c r="E11" s="41">
        <v>995</v>
      </c>
      <c r="F11" s="41">
        <v>930</v>
      </c>
      <c r="G11" s="41">
        <v>772</v>
      </c>
      <c r="H11" s="33">
        <v>0.15</v>
      </c>
      <c r="I11" s="3"/>
      <c r="J11" s="3" t="s">
        <v>249</v>
      </c>
    </row>
    <row r="12" spans="1:24" ht="15" thickBot="1">
      <c r="B12" s="36" t="s">
        <v>236</v>
      </c>
      <c r="C12" s="3" t="s">
        <v>223</v>
      </c>
      <c r="D12" s="46">
        <v>70</v>
      </c>
      <c r="E12" s="46">
        <v>70</v>
      </c>
      <c r="F12" s="46">
        <v>70</v>
      </c>
      <c r="G12" s="46">
        <v>65</v>
      </c>
      <c r="H12" s="3"/>
      <c r="I12" s="3"/>
      <c r="J12" s="3"/>
      <c r="L12" s="4" t="s">
        <v>148</v>
      </c>
    </row>
    <row r="13" spans="1:24" ht="15" thickBot="1">
      <c r="B13" s="36" t="s">
        <v>237</v>
      </c>
      <c r="C13" s="3" t="s">
        <v>223</v>
      </c>
      <c r="D13" s="46">
        <v>30</v>
      </c>
      <c r="E13" s="46">
        <v>30</v>
      </c>
      <c r="F13" s="46">
        <v>30</v>
      </c>
      <c r="G13" s="46">
        <v>35</v>
      </c>
      <c r="H13" s="3"/>
      <c r="I13" s="3"/>
      <c r="J13" s="3" t="s">
        <v>250</v>
      </c>
      <c r="L13" s="12" t="s">
        <v>240</v>
      </c>
      <c r="M13" s="12" t="s">
        <v>307</v>
      </c>
    </row>
    <row r="14" spans="1:24" ht="15" thickBot="1">
      <c r="B14" s="30" t="s">
        <v>263</v>
      </c>
      <c r="C14" s="3" t="s">
        <v>239</v>
      </c>
      <c r="D14" s="34">
        <v>4600</v>
      </c>
      <c r="E14" s="34">
        <v>9900</v>
      </c>
      <c r="F14" s="34">
        <v>18600</v>
      </c>
      <c r="G14" s="34">
        <v>108100</v>
      </c>
      <c r="H14" s="33">
        <v>0.15</v>
      </c>
      <c r="I14" s="3"/>
      <c r="J14" s="3"/>
      <c r="L14" s="12" t="s">
        <v>244</v>
      </c>
      <c r="M14" s="12" t="s">
        <v>308</v>
      </c>
    </row>
    <row r="15" spans="1:24" ht="15" thickBot="1">
      <c r="B15" s="3" t="s">
        <v>242</v>
      </c>
      <c r="C15" s="3" t="s">
        <v>309</v>
      </c>
      <c r="D15" s="13">
        <v>10</v>
      </c>
      <c r="E15" s="13">
        <v>10</v>
      </c>
      <c r="F15" s="13">
        <v>9</v>
      </c>
      <c r="G15" s="13">
        <v>7</v>
      </c>
      <c r="H15" s="33">
        <v>0.15</v>
      </c>
      <c r="I15" s="3"/>
      <c r="J15" s="3" t="s">
        <v>310</v>
      </c>
      <c r="L15" s="12" t="s">
        <v>224</v>
      </c>
      <c r="M15" s="12" t="s">
        <v>311</v>
      </c>
    </row>
    <row r="16" spans="1:24" ht="15" thickBot="1">
      <c r="B16" s="1" t="s">
        <v>246</v>
      </c>
      <c r="C16" s="2" t="s">
        <v>216</v>
      </c>
      <c r="D16" s="1"/>
      <c r="E16" s="1"/>
      <c r="F16" s="1"/>
      <c r="G16" s="1"/>
      <c r="H16" s="1"/>
      <c r="I16" s="1"/>
      <c r="J16" s="1"/>
      <c r="L16" s="12" t="s">
        <v>250</v>
      </c>
      <c r="M16" s="12" t="s">
        <v>312</v>
      </c>
    </row>
    <row r="17" spans="2:13" ht="15" thickBot="1">
      <c r="B17" s="3" t="s">
        <v>248</v>
      </c>
      <c r="C17" s="3" t="s">
        <v>231</v>
      </c>
      <c r="D17" s="41">
        <v>213</v>
      </c>
      <c r="E17" s="41">
        <v>162</v>
      </c>
      <c r="F17" s="41">
        <v>131</v>
      </c>
      <c r="G17" s="41">
        <v>71</v>
      </c>
      <c r="H17" s="13"/>
      <c r="I17" s="13" t="s">
        <v>188</v>
      </c>
      <c r="J17" s="13" t="s">
        <v>243</v>
      </c>
      <c r="L17" s="12" t="s">
        <v>252</v>
      </c>
      <c r="M17" s="12" t="s">
        <v>313</v>
      </c>
    </row>
    <row r="18" spans="2:13" ht="15" thickBot="1">
      <c r="B18" s="3" t="s">
        <v>248</v>
      </c>
      <c r="C18" s="3" t="s">
        <v>239</v>
      </c>
      <c r="D18" s="41">
        <v>895</v>
      </c>
      <c r="E18" s="41">
        <v>1621</v>
      </c>
      <c r="F18" s="41">
        <v>2616</v>
      </c>
      <c r="G18" s="41">
        <v>9987</v>
      </c>
      <c r="H18" s="13"/>
      <c r="I18" s="13"/>
      <c r="J18" s="13"/>
      <c r="L18" s="12" t="s">
        <v>249</v>
      </c>
      <c r="M18" s="12" t="s">
        <v>253</v>
      </c>
    </row>
    <row r="19" spans="2:13" ht="15" thickBot="1">
      <c r="B19" s="3" t="s">
        <v>258</v>
      </c>
      <c r="C19" s="30" t="s">
        <v>239</v>
      </c>
      <c r="D19" s="41">
        <v>1025</v>
      </c>
      <c r="E19" s="41">
        <v>1025</v>
      </c>
      <c r="F19" s="41">
        <v>1726</v>
      </c>
      <c r="G19" s="41">
        <v>15260</v>
      </c>
      <c r="H19" s="13"/>
      <c r="I19" s="3" t="s">
        <v>151</v>
      </c>
      <c r="J19" s="3" t="s">
        <v>249</v>
      </c>
      <c r="L19" s="12" t="s">
        <v>243</v>
      </c>
      <c r="M19" s="12" t="s">
        <v>255</v>
      </c>
    </row>
    <row r="20" spans="2:13" ht="15" thickBot="1">
      <c r="B20" s="36" t="s">
        <v>259</v>
      </c>
      <c r="C20" s="30" t="s">
        <v>260</v>
      </c>
      <c r="D20" s="41">
        <v>500</v>
      </c>
      <c r="E20" s="41">
        <v>500</v>
      </c>
      <c r="F20" s="41">
        <v>1000</v>
      </c>
      <c r="G20" s="41">
        <v>2000</v>
      </c>
      <c r="H20" s="3"/>
      <c r="I20" s="3"/>
      <c r="J20" s="3"/>
      <c r="L20" s="12"/>
      <c r="M20" s="12"/>
    </row>
    <row r="21" spans="2:13" ht="15" thickBot="1">
      <c r="B21" s="36" t="s">
        <v>261</v>
      </c>
      <c r="C21" s="30" t="s">
        <v>262</v>
      </c>
      <c r="D21" s="37">
        <v>2</v>
      </c>
      <c r="E21" s="37">
        <v>2</v>
      </c>
      <c r="F21" s="37">
        <v>1.7</v>
      </c>
      <c r="G21" s="37">
        <v>7.6</v>
      </c>
      <c r="H21" s="3"/>
      <c r="I21" s="3"/>
      <c r="J21" s="3"/>
      <c r="L21" s="4" t="s">
        <v>147</v>
      </c>
    </row>
    <row r="22" spans="2:13" ht="15" thickBot="1">
      <c r="B22" s="38" t="s">
        <v>263</v>
      </c>
      <c r="C22" s="39" t="s">
        <v>239</v>
      </c>
      <c r="D22" s="40">
        <v>6500</v>
      </c>
      <c r="E22" s="40">
        <v>12500</v>
      </c>
      <c r="F22" s="40">
        <v>22900</v>
      </c>
      <c r="G22" s="40">
        <v>133300</v>
      </c>
      <c r="H22" s="33">
        <v>0.15</v>
      </c>
      <c r="I22" s="40"/>
      <c r="J22" s="40"/>
      <c r="L22" s="12" t="s">
        <v>151</v>
      </c>
      <c r="M22" s="12" t="s">
        <v>185</v>
      </c>
    </row>
    <row r="23" spans="2:13">
      <c r="B23" s="12"/>
      <c r="C23" s="12"/>
      <c r="D23" s="47"/>
      <c r="E23" s="47"/>
      <c r="F23" s="47"/>
      <c r="G23" s="47"/>
      <c r="H23" s="48"/>
      <c r="I23" s="12"/>
      <c r="J23" s="12"/>
      <c r="L23" s="12" t="s">
        <v>184</v>
      </c>
      <c r="M23" s="12" t="s">
        <v>264</v>
      </c>
    </row>
    <row r="24" spans="2:13">
      <c r="D24" s="47"/>
      <c r="E24" s="47"/>
      <c r="F24" s="47"/>
      <c r="G24" s="47"/>
      <c r="L24" s="12" t="s">
        <v>186</v>
      </c>
      <c r="M24" s="12" t="s">
        <v>314</v>
      </c>
    </row>
    <row r="25" spans="2:13">
      <c r="L25" s="12" t="s">
        <v>188</v>
      </c>
      <c r="M25" s="12" t="s">
        <v>267</v>
      </c>
    </row>
    <row r="26" spans="2:13">
      <c r="B26" s="4" t="s">
        <v>214</v>
      </c>
      <c r="C26" s="4">
        <v>2030</v>
      </c>
    </row>
    <row r="27" spans="2:13" ht="15" thickBot="1">
      <c r="B27" s="1" t="s">
        <v>215</v>
      </c>
      <c r="C27" s="2" t="s">
        <v>216</v>
      </c>
      <c r="D27" s="1"/>
      <c r="E27" s="1"/>
      <c r="F27" s="1"/>
      <c r="G27" s="2"/>
      <c r="H27" s="1" t="s">
        <v>217</v>
      </c>
      <c r="I27" s="1" t="s">
        <v>147</v>
      </c>
      <c r="J27" s="1" t="s">
        <v>148</v>
      </c>
    </row>
    <row r="28" spans="2:13" ht="15" thickBot="1">
      <c r="B28" s="3" t="s">
        <v>220</v>
      </c>
      <c r="C28" s="30" t="s">
        <v>221</v>
      </c>
      <c r="D28" s="3">
        <v>4.2</v>
      </c>
      <c r="E28" s="3">
        <v>10</v>
      </c>
      <c r="F28" s="3">
        <v>20</v>
      </c>
      <c r="G28" s="31">
        <v>140</v>
      </c>
      <c r="H28" s="3"/>
      <c r="I28" s="3"/>
      <c r="J28" s="3"/>
    </row>
    <row r="29" spans="2:13" ht="15" thickBot="1">
      <c r="B29" s="3" t="s">
        <v>298</v>
      </c>
      <c r="C29" s="30" t="s">
        <v>299</v>
      </c>
      <c r="D29" s="3">
        <v>6.4</v>
      </c>
      <c r="E29" s="37">
        <v>15.2</v>
      </c>
      <c r="F29" s="37">
        <v>30.5</v>
      </c>
      <c r="G29" s="31">
        <v>235.6</v>
      </c>
      <c r="H29" s="33">
        <v>0.15</v>
      </c>
      <c r="I29" s="3"/>
      <c r="J29" s="3" t="s">
        <v>300</v>
      </c>
      <c r="L29" s="12"/>
    </row>
    <row r="30" spans="2:13" ht="15" thickBot="1">
      <c r="B30" s="3" t="s">
        <v>301</v>
      </c>
      <c r="C30" s="30" t="s">
        <v>302</v>
      </c>
      <c r="D30" s="13">
        <v>659</v>
      </c>
      <c r="E30" s="13">
        <v>659</v>
      </c>
      <c r="F30" s="13">
        <v>659</v>
      </c>
      <c r="G30" s="13">
        <v>659</v>
      </c>
      <c r="H30" s="33">
        <v>0.15</v>
      </c>
      <c r="I30" s="3" t="s">
        <v>303</v>
      </c>
      <c r="J30" s="3" t="s">
        <v>304</v>
      </c>
      <c r="L30" s="12"/>
    </row>
    <row r="31" spans="2:13" ht="15" thickBot="1">
      <c r="B31" s="3" t="s">
        <v>226</v>
      </c>
      <c r="C31" s="5" t="s">
        <v>227</v>
      </c>
      <c r="D31" s="3">
        <v>20</v>
      </c>
      <c r="E31" s="3">
        <v>20</v>
      </c>
      <c r="F31" s="3">
        <v>20</v>
      </c>
      <c r="G31" s="3">
        <v>20</v>
      </c>
      <c r="H31" s="33">
        <v>0.4</v>
      </c>
      <c r="I31" s="3" t="s">
        <v>305</v>
      </c>
      <c r="J31" s="3" t="s">
        <v>224</v>
      </c>
      <c r="L31" s="12"/>
    </row>
    <row r="32" spans="2:13" ht="15" thickBot="1">
      <c r="B32" s="1" t="s">
        <v>229</v>
      </c>
      <c r="C32" s="2" t="s">
        <v>216</v>
      </c>
      <c r="D32" s="1"/>
      <c r="E32" s="1"/>
      <c r="F32" s="1"/>
      <c r="G32" s="1"/>
      <c r="H32" s="1"/>
      <c r="I32" s="1"/>
      <c r="J32" s="1"/>
      <c r="L32" s="12"/>
    </row>
    <row r="33" spans="2:13" ht="15" thickBot="1">
      <c r="B33" s="3" t="s">
        <v>230</v>
      </c>
      <c r="C33" s="3" t="s">
        <v>231</v>
      </c>
      <c r="D33" s="41">
        <v>1089</v>
      </c>
      <c r="E33" s="41">
        <v>995</v>
      </c>
      <c r="F33" s="41">
        <v>930</v>
      </c>
      <c r="G33" s="41">
        <v>772</v>
      </c>
      <c r="H33" s="33">
        <v>0.2</v>
      </c>
      <c r="I33" s="3"/>
      <c r="J33" s="3" t="s">
        <v>249</v>
      </c>
      <c r="L33" s="12"/>
    </row>
    <row r="34" spans="2:13" ht="15" thickBot="1">
      <c r="B34" s="36" t="s">
        <v>236</v>
      </c>
      <c r="C34" s="3" t="s">
        <v>223</v>
      </c>
      <c r="D34" s="46">
        <v>70</v>
      </c>
      <c r="E34" s="46">
        <v>70</v>
      </c>
      <c r="F34" s="46">
        <v>70</v>
      </c>
      <c r="G34" s="46">
        <v>65</v>
      </c>
      <c r="H34" s="3"/>
      <c r="I34" s="3"/>
      <c r="J34" s="3"/>
      <c r="L34" s="4"/>
      <c r="M34" s="12"/>
    </row>
    <row r="35" spans="2:13" ht="15" thickBot="1">
      <c r="B35" s="36" t="s">
        <v>237</v>
      </c>
      <c r="C35" s="3" t="s">
        <v>223</v>
      </c>
      <c r="D35" s="46">
        <v>30</v>
      </c>
      <c r="E35" s="46">
        <v>30</v>
      </c>
      <c r="F35" s="46">
        <v>30</v>
      </c>
      <c r="G35" s="46">
        <v>35</v>
      </c>
      <c r="H35" s="3"/>
      <c r="I35" s="3"/>
      <c r="J35" s="3" t="s">
        <v>250</v>
      </c>
      <c r="L35" s="12"/>
    </row>
    <row r="36" spans="2:13" ht="15" thickBot="1">
      <c r="B36" s="30" t="s">
        <v>263</v>
      </c>
      <c r="C36" s="3" t="s">
        <v>239</v>
      </c>
      <c r="D36" s="34">
        <v>4600</v>
      </c>
      <c r="E36" s="34">
        <v>9900</v>
      </c>
      <c r="F36" s="34">
        <v>18600</v>
      </c>
      <c r="G36" s="34">
        <v>108100</v>
      </c>
      <c r="H36" s="33">
        <v>0.2</v>
      </c>
      <c r="I36" s="3"/>
      <c r="J36" s="3"/>
      <c r="L36" s="12"/>
    </row>
    <row r="37" spans="2:13" ht="15" thickBot="1">
      <c r="B37" s="3" t="s">
        <v>242</v>
      </c>
      <c r="C37" s="3" t="s">
        <v>309</v>
      </c>
      <c r="D37" s="13">
        <v>10</v>
      </c>
      <c r="E37" s="13">
        <v>10</v>
      </c>
      <c r="F37" s="13">
        <v>9</v>
      </c>
      <c r="G37" s="13">
        <v>7</v>
      </c>
      <c r="H37" s="33">
        <v>0.15</v>
      </c>
      <c r="I37" s="3"/>
      <c r="J37" s="3" t="s">
        <v>310</v>
      </c>
    </row>
    <row r="38" spans="2:13" ht="15" thickBot="1">
      <c r="B38" s="1" t="s">
        <v>246</v>
      </c>
      <c r="C38" s="2" t="s">
        <v>216</v>
      </c>
      <c r="D38" s="1"/>
      <c r="E38" s="1"/>
      <c r="F38" s="1"/>
      <c r="G38" s="1"/>
      <c r="H38" s="1"/>
      <c r="I38" s="1"/>
      <c r="J38" s="1"/>
    </row>
    <row r="39" spans="2:13" ht="15" thickBot="1">
      <c r="B39" s="3" t="s">
        <v>248</v>
      </c>
      <c r="C39" s="3" t="s">
        <v>231</v>
      </c>
      <c r="D39" s="41">
        <v>213</v>
      </c>
      <c r="E39" s="41">
        <v>162</v>
      </c>
      <c r="F39" s="41">
        <v>131</v>
      </c>
      <c r="G39" s="41">
        <v>71</v>
      </c>
      <c r="H39" s="13"/>
      <c r="I39" s="13" t="s">
        <v>188</v>
      </c>
      <c r="J39" s="13" t="s">
        <v>243</v>
      </c>
    </row>
    <row r="40" spans="2:13" ht="15" thickBot="1">
      <c r="B40" s="3" t="s">
        <v>248</v>
      </c>
      <c r="C40" s="3" t="s">
        <v>239</v>
      </c>
      <c r="D40" s="41">
        <v>895</v>
      </c>
      <c r="E40" s="41">
        <v>1621</v>
      </c>
      <c r="F40" s="41">
        <v>2616</v>
      </c>
      <c r="G40" s="41">
        <v>9987</v>
      </c>
      <c r="H40" s="13"/>
      <c r="I40" s="13"/>
      <c r="J40" s="13"/>
    </row>
    <row r="41" spans="2:13" ht="15" thickBot="1">
      <c r="B41" s="3" t="s">
        <v>258</v>
      </c>
      <c r="C41" s="30" t="s">
        <v>239</v>
      </c>
      <c r="D41" s="41">
        <v>1025</v>
      </c>
      <c r="E41" s="41">
        <v>1025</v>
      </c>
      <c r="F41" s="41">
        <v>1726</v>
      </c>
      <c r="G41" s="41">
        <v>15260</v>
      </c>
      <c r="H41" s="13"/>
      <c r="I41" s="3" t="s">
        <v>151</v>
      </c>
      <c r="J41" s="3" t="s">
        <v>249</v>
      </c>
    </row>
    <row r="42" spans="2:13" ht="15" thickBot="1">
      <c r="B42" s="36" t="s">
        <v>259</v>
      </c>
      <c r="C42" s="30" t="s">
        <v>260</v>
      </c>
      <c r="D42" s="41">
        <v>500</v>
      </c>
      <c r="E42" s="41">
        <v>500</v>
      </c>
      <c r="F42" s="41">
        <v>1000</v>
      </c>
      <c r="G42" s="41">
        <v>2000</v>
      </c>
      <c r="H42" s="3"/>
      <c r="I42" s="3"/>
      <c r="J42" s="3"/>
    </row>
    <row r="43" spans="2:13" ht="15" thickBot="1">
      <c r="B43" s="36" t="s">
        <v>261</v>
      </c>
      <c r="C43" s="30" t="s">
        <v>262</v>
      </c>
      <c r="D43" s="37">
        <v>2</v>
      </c>
      <c r="E43" s="37">
        <v>2</v>
      </c>
      <c r="F43" s="37">
        <v>1.7</v>
      </c>
      <c r="G43" s="37">
        <v>7.6</v>
      </c>
      <c r="H43" s="3"/>
      <c r="I43" s="3"/>
      <c r="J43" s="3"/>
    </row>
    <row r="44" spans="2:13" ht="15" thickBot="1">
      <c r="B44" s="38" t="s">
        <v>263</v>
      </c>
      <c r="C44" s="39" t="s">
        <v>239</v>
      </c>
      <c r="D44" s="40">
        <v>6500</v>
      </c>
      <c r="E44" s="40">
        <v>12500</v>
      </c>
      <c r="F44" s="40">
        <v>22900</v>
      </c>
      <c r="G44" s="40">
        <v>133300</v>
      </c>
      <c r="H44" s="33">
        <v>0.2</v>
      </c>
      <c r="I44" s="40"/>
      <c r="J44" s="40"/>
    </row>
    <row r="47" spans="2:13">
      <c r="B47" s="4" t="s">
        <v>214</v>
      </c>
      <c r="C47" s="4">
        <v>2040</v>
      </c>
    </row>
    <row r="48" spans="2:13" ht="15" thickBot="1">
      <c r="B48" s="1" t="s">
        <v>215</v>
      </c>
      <c r="C48" s="2" t="s">
        <v>216</v>
      </c>
      <c r="D48" s="1"/>
      <c r="E48" s="1"/>
      <c r="F48" s="1"/>
      <c r="G48" s="2"/>
      <c r="H48" s="1" t="s">
        <v>217</v>
      </c>
      <c r="I48" s="1" t="s">
        <v>147</v>
      </c>
      <c r="J48" s="1" t="s">
        <v>148</v>
      </c>
    </row>
    <row r="49" spans="2:10" ht="15" thickBot="1">
      <c r="B49" s="3" t="s">
        <v>220</v>
      </c>
      <c r="C49" s="30" t="s">
        <v>221</v>
      </c>
      <c r="D49" s="3">
        <v>4.2</v>
      </c>
      <c r="E49" s="3">
        <v>10</v>
      </c>
      <c r="F49" s="3">
        <v>20</v>
      </c>
      <c r="G49" s="31">
        <v>140</v>
      </c>
      <c r="H49" s="3"/>
      <c r="I49" s="3"/>
      <c r="J49" s="3"/>
    </row>
    <row r="50" spans="2:10" ht="15" thickBot="1">
      <c r="B50" s="3" t="s">
        <v>298</v>
      </c>
      <c r="C50" s="30" t="s">
        <v>299</v>
      </c>
      <c r="D50" s="3">
        <v>6.4</v>
      </c>
      <c r="E50" s="37">
        <v>15.2</v>
      </c>
      <c r="F50" s="37">
        <v>30.5</v>
      </c>
      <c r="G50" s="31">
        <v>235.6</v>
      </c>
      <c r="H50" s="33">
        <v>0.15</v>
      </c>
      <c r="I50" s="3"/>
      <c r="J50" s="3" t="s">
        <v>300</v>
      </c>
    </row>
    <row r="51" spans="2:10" ht="15" thickBot="1">
      <c r="B51" s="3" t="s">
        <v>301</v>
      </c>
      <c r="C51" s="30" t="s">
        <v>302</v>
      </c>
      <c r="D51" s="13">
        <v>659</v>
      </c>
      <c r="E51" s="13">
        <v>659</v>
      </c>
      <c r="F51" s="13">
        <v>659</v>
      </c>
      <c r="G51" s="13">
        <v>659</v>
      </c>
      <c r="H51" s="33">
        <v>0.15</v>
      </c>
      <c r="I51" s="3" t="s">
        <v>303</v>
      </c>
      <c r="J51" s="3" t="s">
        <v>304</v>
      </c>
    </row>
    <row r="52" spans="2:10" ht="15" thickBot="1">
      <c r="B52" s="3" t="s">
        <v>226</v>
      </c>
      <c r="C52" s="5" t="s">
        <v>227</v>
      </c>
      <c r="D52" s="3">
        <v>20</v>
      </c>
      <c r="E52" s="3">
        <v>20</v>
      </c>
      <c r="F52" s="3">
        <v>20</v>
      </c>
      <c r="G52" s="3">
        <v>20</v>
      </c>
      <c r="H52" s="33">
        <v>0.4</v>
      </c>
      <c r="I52" s="3" t="s">
        <v>305</v>
      </c>
      <c r="J52" s="3" t="s">
        <v>224</v>
      </c>
    </row>
    <row r="53" spans="2:10" ht="15" thickBot="1">
      <c r="B53" s="1" t="s">
        <v>229</v>
      </c>
      <c r="C53" s="2" t="s">
        <v>216</v>
      </c>
      <c r="D53" s="1"/>
      <c r="E53" s="1"/>
      <c r="F53" s="1"/>
      <c r="G53" s="1"/>
      <c r="H53" s="1"/>
      <c r="I53" s="1"/>
      <c r="J53" s="1"/>
    </row>
    <row r="54" spans="2:10" ht="15" thickBot="1">
      <c r="B54" s="3" t="s">
        <v>230</v>
      </c>
      <c r="C54" s="3" t="s">
        <v>231</v>
      </c>
      <c r="D54" s="41">
        <v>1089</v>
      </c>
      <c r="E54" s="41">
        <v>995</v>
      </c>
      <c r="F54" s="41">
        <v>930</v>
      </c>
      <c r="G54" s="41">
        <v>772</v>
      </c>
      <c r="H54" s="33">
        <v>0.25</v>
      </c>
      <c r="I54" s="3"/>
      <c r="J54" s="3" t="s">
        <v>249</v>
      </c>
    </row>
    <row r="55" spans="2:10" ht="15" thickBot="1">
      <c r="B55" s="36" t="s">
        <v>236</v>
      </c>
      <c r="C55" s="3" t="s">
        <v>223</v>
      </c>
      <c r="D55" s="46">
        <v>70</v>
      </c>
      <c r="E55" s="46">
        <v>70</v>
      </c>
      <c r="F55" s="46">
        <v>70</v>
      </c>
      <c r="G55" s="46">
        <v>65</v>
      </c>
      <c r="H55" s="3"/>
      <c r="I55" s="3"/>
      <c r="J55" s="3"/>
    </row>
    <row r="56" spans="2:10" ht="15" thickBot="1">
      <c r="B56" s="36" t="s">
        <v>237</v>
      </c>
      <c r="C56" s="3" t="s">
        <v>223</v>
      </c>
      <c r="D56" s="46">
        <v>30</v>
      </c>
      <c r="E56" s="46">
        <v>30</v>
      </c>
      <c r="F56" s="46">
        <v>30</v>
      </c>
      <c r="G56" s="46">
        <v>35</v>
      </c>
      <c r="H56" s="3"/>
      <c r="I56" s="3"/>
      <c r="J56" s="3" t="s">
        <v>250</v>
      </c>
    </row>
    <row r="57" spans="2:10" ht="15" thickBot="1">
      <c r="B57" s="30" t="s">
        <v>263</v>
      </c>
      <c r="C57" s="3" t="s">
        <v>239</v>
      </c>
      <c r="D57" s="34">
        <v>4600</v>
      </c>
      <c r="E57" s="34">
        <v>9900</v>
      </c>
      <c r="F57" s="34">
        <v>18600</v>
      </c>
      <c r="G57" s="34">
        <v>108100</v>
      </c>
      <c r="H57" s="33">
        <v>0.25</v>
      </c>
      <c r="I57" s="3"/>
      <c r="J57" s="3"/>
    </row>
    <row r="58" spans="2:10" ht="15" thickBot="1">
      <c r="B58" s="3" t="s">
        <v>242</v>
      </c>
      <c r="C58" s="3" t="s">
        <v>309</v>
      </c>
      <c r="D58" s="13">
        <v>10</v>
      </c>
      <c r="E58" s="13">
        <v>10</v>
      </c>
      <c r="F58" s="13">
        <v>9</v>
      </c>
      <c r="G58" s="13">
        <v>7</v>
      </c>
      <c r="H58" s="33">
        <v>0.15</v>
      </c>
      <c r="I58" s="3"/>
      <c r="J58" s="3" t="s">
        <v>310</v>
      </c>
    </row>
    <row r="59" spans="2:10" ht="15" thickBot="1">
      <c r="B59" s="1" t="s">
        <v>246</v>
      </c>
      <c r="C59" s="2" t="s">
        <v>216</v>
      </c>
      <c r="D59" s="1"/>
      <c r="E59" s="1"/>
      <c r="F59" s="1"/>
      <c r="G59" s="1"/>
      <c r="H59" s="1"/>
      <c r="I59" s="1"/>
      <c r="J59" s="1"/>
    </row>
    <row r="60" spans="2:10" ht="15" thickBot="1">
      <c r="B60" s="3" t="s">
        <v>248</v>
      </c>
      <c r="C60" s="3" t="s">
        <v>231</v>
      </c>
      <c r="D60" s="41">
        <v>213</v>
      </c>
      <c r="E60" s="41">
        <v>162</v>
      </c>
      <c r="F60" s="41">
        <v>131</v>
      </c>
      <c r="G60" s="41">
        <v>71</v>
      </c>
      <c r="H60" s="13"/>
      <c r="I60" s="13" t="s">
        <v>188</v>
      </c>
      <c r="J60" s="13" t="s">
        <v>243</v>
      </c>
    </row>
    <row r="61" spans="2:10" ht="15" thickBot="1">
      <c r="B61" s="3" t="s">
        <v>248</v>
      </c>
      <c r="C61" s="3" t="s">
        <v>239</v>
      </c>
      <c r="D61" s="41">
        <v>895</v>
      </c>
      <c r="E61" s="41">
        <v>1621</v>
      </c>
      <c r="F61" s="41">
        <v>2616</v>
      </c>
      <c r="G61" s="41">
        <v>9987</v>
      </c>
      <c r="H61" s="13"/>
      <c r="I61" s="13"/>
      <c r="J61" s="13"/>
    </row>
    <row r="62" spans="2:10" ht="15" thickBot="1">
      <c r="B62" s="3" t="s">
        <v>258</v>
      </c>
      <c r="C62" s="30" t="s">
        <v>239</v>
      </c>
      <c r="D62" s="41">
        <v>1025</v>
      </c>
      <c r="E62" s="41">
        <v>1025</v>
      </c>
      <c r="F62" s="41">
        <v>1726</v>
      </c>
      <c r="G62" s="41">
        <v>15260</v>
      </c>
      <c r="H62" s="13"/>
      <c r="I62" s="3" t="s">
        <v>151</v>
      </c>
      <c r="J62" s="3" t="s">
        <v>249</v>
      </c>
    </row>
    <row r="63" spans="2:10" ht="15" thickBot="1">
      <c r="B63" s="36" t="s">
        <v>259</v>
      </c>
      <c r="C63" s="30" t="s">
        <v>260</v>
      </c>
      <c r="D63" s="41">
        <v>500</v>
      </c>
      <c r="E63" s="41">
        <v>500</v>
      </c>
      <c r="F63" s="41">
        <v>1000</v>
      </c>
      <c r="G63" s="41">
        <v>2000</v>
      </c>
      <c r="H63" s="3"/>
      <c r="I63" s="3"/>
      <c r="J63" s="3"/>
    </row>
    <row r="64" spans="2:10" ht="15" thickBot="1">
      <c r="B64" s="36" t="s">
        <v>261</v>
      </c>
      <c r="C64" s="30" t="s">
        <v>262</v>
      </c>
      <c r="D64" s="37">
        <v>2</v>
      </c>
      <c r="E64" s="37">
        <v>2</v>
      </c>
      <c r="F64" s="37">
        <v>1.7</v>
      </c>
      <c r="G64" s="37">
        <v>7.6</v>
      </c>
      <c r="H64" s="3"/>
      <c r="I64" s="3"/>
      <c r="J64" s="3"/>
    </row>
    <row r="65" spans="2:10" ht="15" thickBot="1">
      <c r="B65" s="38" t="s">
        <v>263</v>
      </c>
      <c r="C65" s="39" t="s">
        <v>239</v>
      </c>
      <c r="D65" s="40">
        <v>6500</v>
      </c>
      <c r="E65" s="40">
        <v>12500</v>
      </c>
      <c r="F65" s="40">
        <v>22900</v>
      </c>
      <c r="G65" s="40">
        <v>133300</v>
      </c>
      <c r="H65" s="33">
        <v>0.25</v>
      </c>
      <c r="I65" s="40"/>
      <c r="J65" s="40"/>
    </row>
  </sheetData>
  <mergeCells count="1">
    <mergeCell ref="G2:K3"/>
  </mergeCells>
  <conditionalFormatting sqref="H8">
    <cfRule type="colorScale" priority="16">
      <colorScale>
        <cfvo type="num" val="0"/>
        <cfvo type="num" val="0.5"/>
        <color theme="0"/>
        <color theme="5"/>
      </colorScale>
    </cfRule>
  </conditionalFormatting>
  <conditionalFormatting sqref="H9">
    <cfRule type="colorScale" priority="15">
      <colorScale>
        <cfvo type="num" val="0"/>
        <cfvo type="num" val="0.5"/>
        <color theme="0"/>
        <color theme="5"/>
      </colorScale>
    </cfRule>
  </conditionalFormatting>
  <conditionalFormatting sqref="H20">
    <cfRule type="colorScale" priority="6">
      <colorScale>
        <cfvo type="num" val="0"/>
        <cfvo type="num" val="0.5"/>
        <color theme="0"/>
        <color theme="5"/>
      </colorScale>
    </cfRule>
  </conditionalFormatting>
  <conditionalFormatting sqref="H22">
    <cfRule type="colorScale" priority="3">
      <colorScale>
        <cfvo type="num" val="0"/>
        <cfvo type="num" val="0.5"/>
        <color theme="0"/>
        <color theme="5"/>
      </colorScale>
    </cfRule>
  </conditionalFormatting>
  <conditionalFormatting sqref="H23 H7">
    <cfRule type="colorScale" priority="17">
      <colorScale>
        <cfvo type="num" val="0"/>
        <cfvo type="num" val="0.5"/>
        <color theme="0"/>
        <color theme="5"/>
      </colorScale>
    </cfRule>
  </conditionalFormatting>
  <conditionalFormatting sqref="H29">
    <cfRule type="colorScale" priority="13">
      <colorScale>
        <cfvo type="num" val="0"/>
        <cfvo type="num" val="0.5"/>
        <color theme="0"/>
        <color theme="5"/>
      </colorScale>
    </cfRule>
  </conditionalFormatting>
  <conditionalFormatting sqref="H30">
    <cfRule type="colorScale" priority="12">
      <colorScale>
        <cfvo type="num" val="0"/>
        <cfvo type="num" val="0.5"/>
        <color theme="0"/>
        <color theme="5"/>
      </colorScale>
    </cfRule>
  </conditionalFormatting>
  <conditionalFormatting sqref="H31">
    <cfRule type="colorScale" priority="11">
      <colorScale>
        <cfvo type="num" val="0"/>
        <cfvo type="num" val="0.5"/>
        <color theme="0"/>
        <color theme="5"/>
      </colorScale>
    </cfRule>
  </conditionalFormatting>
  <conditionalFormatting sqref="H36:H37 H33">
    <cfRule type="colorScale" priority="14">
      <colorScale>
        <cfvo type="num" val="0"/>
        <cfvo type="num" val="0.5"/>
        <color theme="0"/>
        <color theme="5"/>
      </colorScale>
    </cfRule>
  </conditionalFormatting>
  <conditionalFormatting sqref="H42">
    <cfRule type="colorScale" priority="5">
      <colorScale>
        <cfvo type="num" val="0"/>
        <cfvo type="num" val="0.5"/>
        <color theme="0"/>
        <color theme="5"/>
      </colorScale>
    </cfRule>
  </conditionalFormatting>
  <conditionalFormatting sqref="H44">
    <cfRule type="colorScale" priority="2">
      <colorScale>
        <cfvo type="num" val="0"/>
        <cfvo type="num" val="0.5"/>
        <color theme="0"/>
        <color theme="5"/>
      </colorScale>
    </cfRule>
  </conditionalFormatting>
  <conditionalFormatting sqref="H50">
    <cfRule type="colorScale" priority="9">
      <colorScale>
        <cfvo type="num" val="0"/>
        <cfvo type="num" val="0.5"/>
        <color theme="0"/>
        <color theme="5"/>
      </colorScale>
    </cfRule>
  </conditionalFormatting>
  <conditionalFormatting sqref="H51">
    <cfRule type="colorScale" priority="8">
      <colorScale>
        <cfvo type="num" val="0"/>
        <cfvo type="num" val="0.5"/>
        <color theme="0"/>
        <color theme="5"/>
      </colorScale>
    </cfRule>
  </conditionalFormatting>
  <conditionalFormatting sqref="H52">
    <cfRule type="colorScale" priority="7">
      <colorScale>
        <cfvo type="num" val="0"/>
        <cfvo type="num" val="0.5"/>
        <color theme="0"/>
        <color theme="5"/>
      </colorScale>
    </cfRule>
  </conditionalFormatting>
  <conditionalFormatting sqref="H57:H58 H54">
    <cfRule type="colorScale" priority="10">
      <colorScale>
        <cfvo type="num" val="0"/>
        <cfvo type="num" val="0.5"/>
        <color theme="0"/>
        <color theme="5"/>
      </colorScale>
    </cfRule>
  </conditionalFormatting>
  <conditionalFormatting sqref="H63">
    <cfRule type="colorScale" priority="4">
      <colorScale>
        <cfvo type="num" val="0"/>
        <cfvo type="num" val="0.5"/>
        <color theme="0"/>
        <color theme="5"/>
      </colorScale>
    </cfRule>
  </conditionalFormatting>
  <conditionalFormatting sqref="H65">
    <cfRule type="colorScale" priority="1">
      <colorScale>
        <cfvo type="num" val="0"/>
        <cfvo type="num" val="0.5"/>
        <color theme="0"/>
        <color theme="5"/>
      </colorScale>
    </cfRule>
  </conditionalFormatting>
  <conditionalFormatting sqref="X8:X9 H11 H14:H15">
    <cfRule type="colorScale" priority="18">
      <colorScale>
        <cfvo type="num" val="0"/>
        <cfvo type="num" val="0.5"/>
        <color theme="0"/>
        <color theme="5"/>
      </colorScale>
    </cfRule>
  </conditionalFormatting>
  <conditionalFormatting sqref="X8:X9">
    <cfRule type="colorScale" priority="19">
      <colorScale>
        <cfvo type="min"/>
        <cfvo type="max"/>
        <color theme="0"/>
        <color theme="5"/>
      </colorScale>
    </cfRule>
  </conditionalFormatting>
  <hyperlinks>
    <hyperlink ref="A1" location="Inhalt!A1" display="Zum Inhalt" xr:uid="{F0782B23-D3FD-4E41-8539-0D1307B0A332}"/>
  </hyperlinks>
  <pageMargins left="0.7" right="0.7" top="0.78740157499999996" bottom="0.78740157499999996"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746EC-5B04-4E35-B8F7-DB6662FF3C4A}">
  <sheetPr codeName="Tabelle10"/>
  <dimension ref="A1:X64"/>
  <sheetViews>
    <sheetView zoomScaleNormal="100" workbookViewId="0">
      <selection activeCell="O7" sqref="O7"/>
    </sheetView>
  </sheetViews>
  <sheetFormatPr baseColWidth="10" defaultColWidth="11.44140625" defaultRowHeight="14.4"/>
  <cols>
    <col min="2" max="2" width="30.44140625" customWidth="1"/>
    <col min="12" max="12" width="12.6640625" customWidth="1"/>
  </cols>
  <sheetData>
    <row r="1" spans="1:24" ht="28.2" thickBot="1">
      <c r="A1" s="99" t="s">
        <v>143</v>
      </c>
    </row>
    <row r="2" spans="1:24" ht="13.95" customHeight="1">
      <c r="G2" s="142" t="s">
        <v>212</v>
      </c>
      <c r="H2" s="143"/>
      <c r="I2" s="143"/>
      <c r="J2" s="143"/>
      <c r="K2" s="144"/>
    </row>
    <row r="3" spans="1:24" ht="16.95" customHeight="1" thickBot="1">
      <c r="B3" s="4" t="s">
        <v>213</v>
      </c>
      <c r="C3" s="4" t="s">
        <v>59</v>
      </c>
      <c r="G3" s="145"/>
      <c r="H3" s="146"/>
      <c r="I3" s="146"/>
      <c r="J3" s="146"/>
      <c r="K3" s="147"/>
    </row>
    <row r="4" spans="1:24">
      <c r="B4" s="4" t="s">
        <v>214</v>
      </c>
      <c r="C4" s="4">
        <v>2023</v>
      </c>
    </row>
    <row r="5" spans="1:24" ht="15" thickBot="1">
      <c r="B5" s="1" t="s">
        <v>215</v>
      </c>
      <c r="C5" s="2" t="s">
        <v>216</v>
      </c>
      <c r="D5" s="1"/>
      <c r="E5" s="1"/>
      <c r="F5" s="1"/>
      <c r="G5" s="2"/>
      <c r="H5" s="1" t="s">
        <v>217</v>
      </c>
      <c r="I5" s="1" t="s">
        <v>147</v>
      </c>
      <c r="J5" s="1" t="s">
        <v>148</v>
      </c>
      <c r="L5" s="4" t="s">
        <v>218</v>
      </c>
      <c r="M5" s="12" t="s">
        <v>219</v>
      </c>
    </row>
    <row r="6" spans="1:24" ht="15" thickBot="1">
      <c r="B6" s="3" t="s">
        <v>220</v>
      </c>
      <c r="C6" s="30" t="s">
        <v>221</v>
      </c>
      <c r="D6" s="3">
        <v>4</v>
      </c>
      <c r="E6" s="3">
        <v>10</v>
      </c>
      <c r="F6" s="3">
        <v>20</v>
      </c>
      <c r="G6" s="31">
        <v>140</v>
      </c>
      <c r="H6" s="3"/>
      <c r="I6" s="3"/>
      <c r="J6" s="3"/>
      <c r="L6" s="4" t="s">
        <v>214</v>
      </c>
      <c r="M6" s="4">
        <v>2023</v>
      </c>
      <c r="N6" s="4">
        <v>2030</v>
      </c>
      <c r="O6" s="4">
        <v>2040</v>
      </c>
    </row>
    <row r="7" spans="1:24" ht="15" thickBot="1">
      <c r="B7" s="3" t="s">
        <v>298</v>
      </c>
      <c r="C7" s="30" t="s">
        <v>299</v>
      </c>
      <c r="D7" s="3">
        <v>7.1</v>
      </c>
      <c r="E7" s="37">
        <v>17.8</v>
      </c>
      <c r="F7" s="37">
        <v>35.5</v>
      </c>
      <c r="G7" s="49">
        <v>258.7</v>
      </c>
      <c r="H7" s="33">
        <v>0.15</v>
      </c>
      <c r="I7" s="3"/>
      <c r="J7" s="3" t="s">
        <v>300</v>
      </c>
      <c r="L7" s="12" t="s">
        <v>225</v>
      </c>
      <c r="M7" s="12">
        <v>1130.2</v>
      </c>
      <c r="N7" s="12">
        <v>1130.2</v>
      </c>
      <c r="O7" s="12">
        <v>1130.2</v>
      </c>
    </row>
    <row r="8" spans="1:24" ht="15" thickBot="1">
      <c r="B8" s="3" t="s">
        <v>301</v>
      </c>
      <c r="C8" s="30" t="s">
        <v>302</v>
      </c>
      <c r="D8" s="13">
        <v>490</v>
      </c>
      <c r="E8" s="13">
        <v>490</v>
      </c>
      <c r="F8" s="13">
        <v>490</v>
      </c>
      <c r="G8" s="13">
        <v>490</v>
      </c>
      <c r="H8" s="33">
        <v>0.1</v>
      </c>
      <c r="I8" s="3" t="s">
        <v>303</v>
      </c>
      <c r="J8" s="3" t="s">
        <v>304</v>
      </c>
      <c r="L8" s="12" t="s">
        <v>228</v>
      </c>
      <c r="M8" s="12">
        <v>-9.7000000000000003E-2</v>
      </c>
      <c r="N8" s="12">
        <v>-9.7000000000000003E-2</v>
      </c>
      <c r="O8" s="12">
        <v>-9.7000000000000003E-2</v>
      </c>
      <c r="X8" s="44"/>
    </row>
    <row r="9" spans="1:24" ht="15" thickBot="1">
      <c r="B9" s="3" t="s">
        <v>226</v>
      </c>
      <c r="C9" s="5" t="s">
        <v>227</v>
      </c>
      <c r="D9" s="3">
        <v>20</v>
      </c>
      <c r="E9" s="3">
        <v>20</v>
      </c>
      <c r="F9" s="3">
        <v>20</v>
      </c>
      <c r="G9" s="3">
        <v>20</v>
      </c>
      <c r="H9" s="33">
        <v>0.4</v>
      </c>
      <c r="I9" s="3" t="s">
        <v>305</v>
      </c>
      <c r="J9" s="3" t="s">
        <v>224</v>
      </c>
      <c r="X9" s="44"/>
    </row>
    <row r="10" spans="1:24" ht="15" thickBot="1">
      <c r="B10" s="1" t="s">
        <v>229</v>
      </c>
      <c r="C10" s="2" t="s">
        <v>216</v>
      </c>
      <c r="D10" s="1"/>
      <c r="E10" s="1"/>
      <c r="F10" s="1"/>
      <c r="G10" s="1"/>
      <c r="H10" s="1"/>
      <c r="I10" s="1"/>
      <c r="J10" s="1"/>
      <c r="L10" s="4" t="s">
        <v>234</v>
      </c>
      <c r="M10" s="12" t="s">
        <v>306</v>
      </c>
    </row>
    <row r="11" spans="1:24" ht="15" thickBot="1">
      <c r="B11" s="3" t="s">
        <v>230</v>
      </c>
      <c r="C11" s="3" t="s">
        <v>231</v>
      </c>
      <c r="D11" s="13">
        <v>990</v>
      </c>
      <c r="E11" s="13">
        <v>904</v>
      </c>
      <c r="F11" s="13">
        <v>846</v>
      </c>
      <c r="G11" s="13">
        <v>702</v>
      </c>
      <c r="H11" s="33">
        <v>0.25</v>
      </c>
      <c r="I11" s="3" t="s">
        <v>151</v>
      </c>
      <c r="J11" s="3" t="s">
        <v>249</v>
      </c>
    </row>
    <row r="12" spans="1:24" ht="15" thickBot="1">
      <c r="B12" s="36" t="s">
        <v>236</v>
      </c>
      <c r="C12" s="3" t="s">
        <v>223</v>
      </c>
      <c r="D12" s="46">
        <v>70</v>
      </c>
      <c r="E12" s="46">
        <v>70</v>
      </c>
      <c r="F12" s="46">
        <v>70</v>
      </c>
      <c r="G12" s="46">
        <v>65</v>
      </c>
      <c r="H12" s="3"/>
      <c r="I12" s="3"/>
      <c r="J12" s="3"/>
      <c r="L12" s="4" t="s">
        <v>148</v>
      </c>
    </row>
    <row r="13" spans="1:24" ht="15" thickBot="1">
      <c r="B13" s="36" t="s">
        <v>237</v>
      </c>
      <c r="C13" s="3" t="s">
        <v>223</v>
      </c>
      <c r="D13" s="46">
        <v>30</v>
      </c>
      <c r="E13" s="46">
        <v>30</v>
      </c>
      <c r="F13" s="46">
        <v>30</v>
      </c>
      <c r="G13" s="46">
        <v>35</v>
      </c>
      <c r="H13" s="3"/>
      <c r="I13" s="3"/>
      <c r="J13" s="3" t="s">
        <v>250</v>
      </c>
      <c r="L13" s="12" t="s">
        <v>240</v>
      </c>
      <c r="M13" s="12" t="s">
        <v>307</v>
      </c>
    </row>
    <row r="14" spans="1:24" ht="15" thickBot="1">
      <c r="B14" s="30" t="s">
        <v>263</v>
      </c>
      <c r="C14" s="3" t="s">
        <v>239</v>
      </c>
      <c r="D14" s="34">
        <v>4000</v>
      </c>
      <c r="E14" s="34">
        <v>9000</v>
      </c>
      <c r="F14" s="34">
        <v>16900</v>
      </c>
      <c r="G14" s="34">
        <v>98300</v>
      </c>
      <c r="H14" s="33">
        <v>0.25</v>
      </c>
      <c r="I14" s="3"/>
      <c r="J14" s="3"/>
      <c r="L14" s="12" t="s">
        <v>244</v>
      </c>
      <c r="M14" s="12" t="s">
        <v>308</v>
      </c>
    </row>
    <row r="15" spans="1:24" ht="15" thickBot="1">
      <c r="B15" s="3" t="s">
        <v>242</v>
      </c>
      <c r="C15" s="3" t="s">
        <v>309</v>
      </c>
      <c r="D15" s="37">
        <v>9.9</v>
      </c>
      <c r="E15" s="37">
        <v>9.8000000000000007</v>
      </c>
      <c r="F15" s="37">
        <v>9.6</v>
      </c>
      <c r="G15" s="37">
        <v>7</v>
      </c>
      <c r="H15" s="33">
        <v>0.25</v>
      </c>
      <c r="I15" s="3"/>
      <c r="J15" s="3" t="s">
        <v>310</v>
      </c>
      <c r="L15" s="12" t="s">
        <v>224</v>
      </c>
      <c r="M15" s="12" t="s">
        <v>311</v>
      </c>
    </row>
    <row r="16" spans="1:24" ht="15" thickBot="1">
      <c r="B16" s="1" t="s">
        <v>246</v>
      </c>
      <c r="C16" s="2" t="s">
        <v>216</v>
      </c>
      <c r="D16" s="1"/>
      <c r="E16" s="1"/>
      <c r="F16" s="1"/>
      <c r="G16" s="1"/>
      <c r="H16" s="1"/>
      <c r="I16" s="1"/>
      <c r="J16" s="1"/>
      <c r="L16" s="12" t="s">
        <v>250</v>
      </c>
      <c r="M16" s="12" t="s">
        <v>312</v>
      </c>
    </row>
    <row r="17" spans="2:13" ht="15" thickBot="1">
      <c r="B17" s="3" t="s">
        <v>248</v>
      </c>
      <c r="C17" s="3" t="s">
        <v>231</v>
      </c>
      <c r="D17" s="41">
        <v>216</v>
      </c>
      <c r="E17" s="41">
        <v>162</v>
      </c>
      <c r="F17" s="41">
        <v>131</v>
      </c>
      <c r="G17" s="41">
        <v>71</v>
      </c>
      <c r="H17" s="13"/>
      <c r="I17" s="13" t="s">
        <v>188</v>
      </c>
      <c r="J17" s="13" t="s">
        <v>243</v>
      </c>
      <c r="L17" s="12" t="s">
        <v>252</v>
      </c>
      <c r="M17" s="12" t="s">
        <v>313</v>
      </c>
    </row>
    <row r="18" spans="2:13" ht="15" thickBot="1">
      <c r="B18" s="3" t="s">
        <v>248</v>
      </c>
      <c r="C18" s="3" t="s">
        <v>239</v>
      </c>
      <c r="D18" s="41">
        <v>865</v>
      </c>
      <c r="E18" s="41">
        <v>1621</v>
      </c>
      <c r="F18" s="41">
        <v>2616</v>
      </c>
      <c r="G18" s="41">
        <v>9987</v>
      </c>
      <c r="H18" s="13"/>
      <c r="I18" s="13"/>
      <c r="J18" s="13"/>
      <c r="L18" s="12" t="s">
        <v>249</v>
      </c>
      <c r="M18" s="12" t="s">
        <v>253</v>
      </c>
    </row>
    <row r="19" spans="2:13" ht="15" thickBot="1">
      <c r="B19" s="3" t="s">
        <v>258</v>
      </c>
      <c r="C19" s="30" t="s">
        <v>239</v>
      </c>
      <c r="D19" s="41">
        <v>1025</v>
      </c>
      <c r="E19" s="41">
        <v>1025</v>
      </c>
      <c r="F19" s="41">
        <v>1726</v>
      </c>
      <c r="G19" s="41">
        <v>15260</v>
      </c>
      <c r="H19" s="13"/>
      <c r="I19" s="3" t="s">
        <v>151</v>
      </c>
      <c r="J19" s="3" t="s">
        <v>249</v>
      </c>
      <c r="L19" s="12" t="s">
        <v>243</v>
      </c>
      <c r="M19" s="12" t="s">
        <v>255</v>
      </c>
    </row>
    <row r="20" spans="2:13" ht="15" thickBot="1">
      <c r="B20" s="36" t="s">
        <v>259</v>
      </c>
      <c r="C20" s="30" t="s">
        <v>260</v>
      </c>
      <c r="D20" s="41">
        <v>500</v>
      </c>
      <c r="E20" s="41">
        <v>500</v>
      </c>
      <c r="F20" s="41">
        <v>1000</v>
      </c>
      <c r="G20" s="41">
        <v>2000</v>
      </c>
      <c r="H20" s="3"/>
      <c r="I20" s="3"/>
      <c r="J20" s="3"/>
      <c r="L20" s="12"/>
      <c r="M20" s="12"/>
    </row>
    <row r="21" spans="2:13" ht="15" thickBot="1">
      <c r="B21" s="36" t="s">
        <v>261</v>
      </c>
      <c r="C21" s="30" t="s">
        <v>262</v>
      </c>
      <c r="D21" s="37">
        <v>2</v>
      </c>
      <c r="E21" s="37">
        <v>2</v>
      </c>
      <c r="F21" s="37">
        <v>1.7</v>
      </c>
      <c r="G21" s="37">
        <v>7.6</v>
      </c>
      <c r="H21" s="3"/>
      <c r="I21" s="3"/>
      <c r="J21" s="3"/>
      <c r="L21" s="4" t="s">
        <v>147</v>
      </c>
    </row>
    <row r="22" spans="2:13" ht="15" thickBot="1">
      <c r="B22" s="38" t="s">
        <v>263</v>
      </c>
      <c r="C22" s="39" t="s">
        <v>239</v>
      </c>
      <c r="D22" s="40">
        <v>5900</v>
      </c>
      <c r="E22" s="40">
        <v>11600</v>
      </c>
      <c r="F22" s="40">
        <v>21200</v>
      </c>
      <c r="G22" s="40">
        <v>123500</v>
      </c>
      <c r="H22" s="33">
        <v>0.25</v>
      </c>
      <c r="I22" s="40"/>
      <c r="J22" s="40"/>
      <c r="L22" s="12" t="s">
        <v>151</v>
      </c>
      <c r="M22" s="12" t="s">
        <v>185</v>
      </c>
    </row>
    <row r="23" spans="2:13">
      <c r="L23" s="12" t="s">
        <v>184</v>
      </c>
      <c r="M23" s="12" t="s">
        <v>264</v>
      </c>
    </row>
    <row r="24" spans="2:13">
      <c r="L24" s="12" t="s">
        <v>186</v>
      </c>
      <c r="M24" s="12" t="s">
        <v>314</v>
      </c>
    </row>
    <row r="25" spans="2:13">
      <c r="B25" s="4" t="s">
        <v>214</v>
      </c>
      <c r="C25" s="4">
        <v>2030</v>
      </c>
      <c r="L25" s="12" t="s">
        <v>188</v>
      </c>
      <c r="M25" s="12" t="s">
        <v>267</v>
      </c>
    </row>
    <row r="26" spans="2:13" ht="15" thickBot="1">
      <c r="B26" s="1" t="s">
        <v>215</v>
      </c>
      <c r="C26" s="2" t="s">
        <v>216</v>
      </c>
      <c r="D26" s="1"/>
      <c r="E26" s="1"/>
      <c r="F26" s="1"/>
      <c r="G26" s="2"/>
      <c r="H26" s="1" t="s">
        <v>217</v>
      </c>
      <c r="I26" s="1" t="s">
        <v>147</v>
      </c>
      <c r="J26" s="1" t="s">
        <v>148</v>
      </c>
    </row>
    <row r="27" spans="2:13" ht="15" thickBot="1">
      <c r="B27" s="3" t="s">
        <v>220</v>
      </c>
      <c r="C27" s="30" t="s">
        <v>221</v>
      </c>
      <c r="D27" s="3">
        <v>4</v>
      </c>
      <c r="E27" s="3">
        <v>10</v>
      </c>
      <c r="F27" s="3">
        <v>20</v>
      </c>
      <c r="G27" s="31">
        <v>140</v>
      </c>
      <c r="H27" s="3"/>
      <c r="I27" s="3"/>
      <c r="J27" s="3"/>
    </row>
    <row r="28" spans="2:13" ht="15" thickBot="1">
      <c r="B28" s="3" t="s">
        <v>298</v>
      </c>
      <c r="C28" s="30" t="s">
        <v>299</v>
      </c>
      <c r="D28" s="3">
        <v>7.1</v>
      </c>
      <c r="E28" s="37">
        <v>17.8</v>
      </c>
      <c r="F28" s="37">
        <v>35.5</v>
      </c>
      <c r="G28" s="49">
        <v>258.7</v>
      </c>
      <c r="H28" s="33">
        <v>0.15</v>
      </c>
      <c r="I28" s="3"/>
      <c r="J28" s="3" t="s">
        <v>300</v>
      </c>
    </row>
    <row r="29" spans="2:13" ht="15" thickBot="1">
      <c r="B29" s="3" t="s">
        <v>301</v>
      </c>
      <c r="C29" s="30" t="s">
        <v>302</v>
      </c>
      <c r="D29" s="13">
        <v>490</v>
      </c>
      <c r="E29" s="13">
        <v>490</v>
      </c>
      <c r="F29" s="13">
        <v>490</v>
      </c>
      <c r="G29" s="13">
        <v>490</v>
      </c>
      <c r="H29" s="33">
        <v>0.1</v>
      </c>
      <c r="I29" s="3" t="s">
        <v>303</v>
      </c>
      <c r="J29" s="3" t="s">
        <v>304</v>
      </c>
      <c r="L29" s="12"/>
    </row>
    <row r="30" spans="2:13" ht="15" thickBot="1">
      <c r="B30" s="3" t="s">
        <v>226</v>
      </c>
      <c r="C30" s="5" t="s">
        <v>227</v>
      </c>
      <c r="D30" s="3">
        <v>20</v>
      </c>
      <c r="E30" s="3">
        <v>20</v>
      </c>
      <c r="F30" s="3">
        <v>20</v>
      </c>
      <c r="G30" s="3">
        <v>20</v>
      </c>
      <c r="H30" s="33">
        <v>0.4</v>
      </c>
      <c r="I30" s="3" t="s">
        <v>305</v>
      </c>
      <c r="J30" s="3" t="s">
        <v>224</v>
      </c>
      <c r="L30" s="12"/>
    </row>
    <row r="31" spans="2:13" ht="15" thickBot="1">
      <c r="B31" s="1" t="s">
        <v>229</v>
      </c>
      <c r="C31" s="2" t="s">
        <v>216</v>
      </c>
      <c r="D31" s="1"/>
      <c r="E31" s="1"/>
      <c r="F31" s="1"/>
      <c r="G31" s="1"/>
      <c r="H31" s="1"/>
      <c r="I31" s="1"/>
      <c r="J31" s="1"/>
      <c r="L31" s="12"/>
    </row>
    <row r="32" spans="2:13" ht="15" thickBot="1">
      <c r="B32" s="3" t="s">
        <v>230</v>
      </c>
      <c r="C32" s="3" t="s">
        <v>231</v>
      </c>
      <c r="D32" s="13">
        <v>990</v>
      </c>
      <c r="E32" s="13">
        <v>904</v>
      </c>
      <c r="F32" s="13">
        <v>846</v>
      </c>
      <c r="G32" s="13">
        <v>702</v>
      </c>
      <c r="H32" s="33">
        <v>0.3</v>
      </c>
      <c r="I32" s="3"/>
      <c r="J32" s="3" t="s">
        <v>249</v>
      </c>
      <c r="L32" s="12"/>
    </row>
    <row r="33" spans="2:13" ht="15" thickBot="1">
      <c r="B33" s="36" t="s">
        <v>236</v>
      </c>
      <c r="C33" s="3" t="s">
        <v>223</v>
      </c>
      <c r="D33" s="46">
        <v>70</v>
      </c>
      <c r="E33" s="46">
        <v>70</v>
      </c>
      <c r="F33" s="46">
        <v>70</v>
      </c>
      <c r="G33" s="46">
        <v>65</v>
      </c>
      <c r="H33" s="3"/>
      <c r="I33" s="3"/>
      <c r="J33" s="3"/>
      <c r="L33" s="12"/>
    </row>
    <row r="34" spans="2:13" ht="15" thickBot="1">
      <c r="B34" s="36" t="s">
        <v>237</v>
      </c>
      <c r="C34" s="3" t="s">
        <v>223</v>
      </c>
      <c r="D34" s="46">
        <v>30</v>
      </c>
      <c r="E34" s="46">
        <v>30</v>
      </c>
      <c r="F34" s="46">
        <v>30</v>
      </c>
      <c r="G34" s="46">
        <v>35</v>
      </c>
      <c r="H34" s="3"/>
      <c r="I34" s="3"/>
      <c r="J34" s="3" t="s">
        <v>250</v>
      </c>
      <c r="L34" s="4"/>
      <c r="M34" s="12"/>
    </row>
    <row r="35" spans="2:13" ht="15" thickBot="1">
      <c r="B35" s="30" t="s">
        <v>263</v>
      </c>
      <c r="C35" s="3" t="s">
        <v>239</v>
      </c>
      <c r="D35" s="34">
        <v>4000</v>
      </c>
      <c r="E35" s="34">
        <v>9000</v>
      </c>
      <c r="F35" s="34">
        <v>16900</v>
      </c>
      <c r="G35" s="34">
        <v>98300</v>
      </c>
      <c r="H35" s="33">
        <v>0.3</v>
      </c>
      <c r="I35" s="3"/>
      <c r="J35" s="3"/>
      <c r="L35" s="12"/>
    </row>
    <row r="36" spans="2:13" ht="15" thickBot="1">
      <c r="B36" s="3" t="s">
        <v>242</v>
      </c>
      <c r="C36" s="3" t="s">
        <v>309</v>
      </c>
      <c r="D36" s="37">
        <v>9.9</v>
      </c>
      <c r="E36" s="37">
        <v>9.8000000000000007</v>
      </c>
      <c r="F36" s="37">
        <v>9.6</v>
      </c>
      <c r="G36" s="37">
        <v>7</v>
      </c>
      <c r="H36" s="33">
        <v>0.25</v>
      </c>
      <c r="I36" s="3"/>
      <c r="J36" s="3" t="s">
        <v>310</v>
      </c>
      <c r="L36" s="12"/>
    </row>
    <row r="37" spans="2:13" ht="15" thickBot="1">
      <c r="B37" s="1" t="s">
        <v>246</v>
      </c>
      <c r="C37" s="2" t="s">
        <v>216</v>
      </c>
      <c r="D37" s="1"/>
      <c r="E37" s="1"/>
      <c r="F37" s="1"/>
      <c r="G37" s="1"/>
      <c r="H37" s="1"/>
      <c r="I37" s="1"/>
      <c r="J37" s="1"/>
    </row>
    <row r="38" spans="2:13" ht="15" thickBot="1">
      <c r="B38" s="3" t="s">
        <v>248</v>
      </c>
      <c r="C38" s="3" t="s">
        <v>231</v>
      </c>
      <c r="D38" s="41">
        <v>216</v>
      </c>
      <c r="E38" s="41">
        <v>162</v>
      </c>
      <c r="F38" s="41">
        <v>131</v>
      </c>
      <c r="G38" s="41">
        <v>71</v>
      </c>
      <c r="H38" s="13"/>
      <c r="I38" s="13" t="s">
        <v>188</v>
      </c>
      <c r="J38" s="13" t="s">
        <v>243</v>
      </c>
    </row>
    <row r="39" spans="2:13" ht="15" thickBot="1">
      <c r="B39" s="3" t="s">
        <v>248</v>
      </c>
      <c r="C39" s="3" t="s">
        <v>239</v>
      </c>
      <c r="D39" s="41">
        <v>865</v>
      </c>
      <c r="E39" s="41">
        <v>1621</v>
      </c>
      <c r="F39" s="41">
        <v>2616</v>
      </c>
      <c r="G39" s="41">
        <v>9987</v>
      </c>
      <c r="H39" s="13"/>
      <c r="I39" s="13"/>
      <c r="J39" s="13"/>
    </row>
    <row r="40" spans="2:13" ht="15" thickBot="1">
      <c r="B40" s="3" t="s">
        <v>258</v>
      </c>
      <c r="C40" s="30" t="s">
        <v>239</v>
      </c>
      <c r="D40" s="41">
        <v>1025</v>
      </c>
      <c r="E40" s="41">
        <v>1025</v>
      </c>
      <c r="F40" s="41">
        <v>1726</v>
      </c>
      <c r="G40" s="41">
        <v>15260</v>
      </c>
      <c r="H40" s="13"/>
      <c r="I40" s="3" t="s">
        <v>151</v>
      </c>
      <c r="J40" s="3" t="s">
        <v>249</v>
      </c>
    </row>
    <row r="41" spans="2:13" ht="15" thickBot="1">
      <c r="B41" s="36" t="s">
        <v>259</v>
      </c>
      <c r="C41" s="30" t="s">
        <v>260</v>
      </c>
      <c r="D41" s="41">
        <v>500</v>
      </c>
      <c r="E41" s="41">
        <v>500</v>
      </c>
      <c r="F41" s="41">
        <v>1000</v>
      </c>
      <c r="G41" s="41">
        <v>2000</v>
      </c>
      <c r="H41" s="3"/>
      <c r="I41" s="3"/>
      <c r="J41" s="3"/>
    </row>
    <row r="42" spans="2:13" ht="15" thickBot="1">
      <c r="B42" s="36" t="s">
        <v>261</v>
      </c>
      <c r="C42" s="30" t="s">
        <v>262</v>
      </c>
      <c r="D42" s="37">
        <v>2</v>
      </c>
      <c r="E42" s="37">
        <v>2</v>
      </c>
      <c r="F42" s="37">
        <v>1.7</v>
      </c>
      <c r="G42" s="37">
        <v>7.6</v>
      </c>
      <c r="H42" s="3"/>
      <c r="I42" s="3"/>
      <c r="J42" s="3"/>
    </row>
    <row r="43" spans="2:13" ht="15" thickBot="1">
      <c r="B43" s="38" t="s">
        <v>263</v>
      </c>
      <c r="C43" s="39" t="s">
        <v>239</v>
      </c>
      <c r="D43" s="40">
        <v>5900</v>
      </c>
      <c r="E43" s="40">
        <v>11600</v>
      </c>
      <c r="F43" s="40">
        <v>21200</v>
      </c>
      <c r="G43" s="40">
        <v>123500</v>
      </c>
      <c r="H43" s="33">
        <v>0.3</v>
      </c>
      <c r="I43" s="40"/>
      <c r="J43" s="40"/>
    </row>
    <row r="46" spans="2:13">
      <c r="B46" s="4" t="s">
        <v>214</v>
      </c>
      <c r="C46" s="4">
        <v>2040</v>
      </c>
    </row>
    <row r="47" spans="2:13" ht="15" thickBot="1">
      <c r="B47" s="1" t="s">
        <v>215</v>
      </c>
      <c r="C47" s="2" t="s">
        <v>216</v>
      </c>
      <c r="D47" s="1"/>
      <c r="E47" s="1"/>
      <c r="F47" s="1"/>
      <c r="G47" s="2"/>
      <c r="H47" s="1" t="s">
        <v>217</v>
      </c>
      <c r="I47" s="1" t="s">
        <v>147</v>
      </c>
      <c r="J47" s="1" t="s">
        <v>148</v>
      </c>
    </row>
    <row r="48" spans="2:13" ht="15" thickBot="1">
      <c r="B48" s="3" t="s">
        <v>220</v>
      </c>
      <c r="C48" s="30" t="s">
        <v>221</v>
      </c>
      <c r="D48" s="3">
        <v>4</v>
      </c>
      <c r="E48" s="3">
        <v>10</v>
      </c>
      <c r="F48" s="3">
        <v>20</v>
      </c>
      <c r="G48" s="31">
        <v>140</v>
      </c>
      <c r="H48" s="3"/>
      <c r="I48" s="3"/>
      <c r="J48" s="3"/>
    </row>
    <row r="49" spans="2:10" ht="15" thickBot="1">
      <c r="B49" s="3" t="s">
        <v>298</v>
      </c>
      <c r="C49" s="30" t="s">
        <v>299</v>
      </c>
      <c r="D49" s="3">
        <v>7.1</v>
      </c>
      <c r="E49" s="37">
        <v>17.8</v>
      </c>
      <c r="F49" s="37">
        <v>35.5</v>
      </c>
      <c r="G49" s="49">
        <v>258.7</v>
      </c>
      <c r="H49" s="33">
        <v>0.15</v>
      </c>
      <c r="I49" s="3"/>
      <c r="J49" s="3" t="s">
        <v>300</v>
      </c>
    </row>
    <row r="50" spans="2:10" ht="15" thickBot="1">
      <c r="B50" s="3" t="s">
        <v>301</v>
      </c>
      <c r="C50" s="30" t="s">
        <v>302</v>
      </c>
      <c r="D50" s="13">
        <v>490</v>
      </c>
      <c r="E50" s="13">
        <v>490</v>
      </c>
      <c r="F50" s="13">
        <v>490</v>
      </c>
      <c r="G50" s="13">
        <v>490</v>
      </c>
      <c r="H50" s="33">
        <v>0.1</v>
      </c>
      <c r="I50" s="3" t="s">
        <v>303</v>
      </c>
      <c r="J50" s="3" t="s">
        <v>304</v>
      </c>
    </row>
    <row r="51" spans="2:10" ht="15" thickBot="1">
      <c r="B51" s="3" t="s">
        <v>226</v>
      </c>
      <c r="C51" s="5" t="s">
        <v>227</v>
      </c>
      <c r="D51" s="3">
        <v>20</v>
      </c>
      <c r="E51" s="3">
        <v>20</v>
      </c>
      <c r="F51" s="3">
        <v>20</v>
      </c>
      <c r="G51" s="3">
        <v>20</v>
      </c>
      <c r="H51" s="33">
        <v>0.4</v>
      </c>
      <c r="I51" s="3" t="s">
        <v>305</v>
      </c>
      <c r="J51" s="3" t="s">
        <v>224</v>
      </c>
    </row>
    <row r="52" spans="2:10" ht="15" thickBot="1">
      <c r="B52" s="1" t="s">
        <v>229</v>
      </c>
      <c r="C52" s="2" t="s">
        <v>216</v>
      </c>
      <c r="D52" s="1"/>
      <c r="E52" s="1"/>
      <c r="F52" s="1"/>
      <c r="G52" s="1"/>
      <c r="H52" s="1"/>
      <c r="I52" s="1"/>
      <c r="J52" s="1"/>
    </row>
    <row r="53" spans="2:10" ht="15" thickBot="1">
      <c r="B53" s="3" t="s">
        <v>230</v>
      </c>
      <c r="C53" s="3" t="s">
        <v>231</v>
      </c>
      <c r="D53" s="13">
        <v>990</v>
      </c>
      <c r="E53" s="13">
        <v>904</v>
      </c>
      <c r="F53" s="13">
        <v>846</v>
      </c>
      <c r="G53" s="13">
        <v>702</v>
      </c>
      <c r="H53" s="33">
        <v>0.35</v>
      </c>
      <c r="I53" s="3"/>
      <c r="J53" s="3" t="s">
        <v>249</v>
      </c>
    </row>
    <row r="54" spans="2:10" ht="15" thickBot="1">
      <c r="B54" s="36" t="s">
        <v>236</v>
      </c>
      <c r="C54" s="3" t="s">
        <v>223</v>
      </c>
      <c r="D54" s="46">
        <v>70</v>
      </c>
      <c r="E54" s="46">
        <v>70</v>
      </c>
      <c r="F54" s="46">
        <v>70</v>
      </c>
      <c r="G54" s="46">
        <v>65</v>
      </c>
      <c r="H54" s="3"/>
      <c r="I54" s="3"/>
      <c r="J54" s="3"/>
    </row>
    <row r="55" spans="2:10" ht="15" thickBot="1">
      <c r="B55" s="36" t="s">
        <v>237</v>
      </c>
      <c r="C55" s="3" t="s">
        <v>223</v>
      </c>
      <c r="D55" s="46">
        <v>30</v>
      </c>
      <c r="E55" s="46">
        <v>30</v>
      </c>
      <c r="F55" s="46">
        <v>30</v>
      </c>
      <c r="G55" s="46">
        <v>35</v>
      </c>
      <c r="H55" s="3"/>
      <c r="I55" s="3"/>
      <c r="J55" s="3" t="s">
        <v>250</v>
      </c>
    </row>
    <row r="56" spans="2:10" ht="15" thickBot="1">
      <c r="B56" s="30" t="s">
        <v>263</v>
      </c>
      <c r="C56" s="3" t="s">
        <v>239</v>
      </c>
      <c r="D56" s="34">
        <v>4000</v>
      </c>
      <c r="E56" s="34">
        <v>9000</v>
      </c>
      <c r="F56" s="34">
        <v>16900</v>
      </c>
      <c r="G56" s="34">
        <v>98300</v>
      </c>
      <c r="H56" s="33">
        <v>0.35</v>
      </c>
      <c r="I56" s="3"/>
      <c r="J56" s="3"/>
    </row>
    <row r="57" spans="2:10" ht="15" thickBot="1">
      <c r="B57" s="3" t="s">
        <v>242</v>
      </c>
      <c r="C57" s="3" t="s">
        <v>309</v>
      </c>
      <c r="D57" s="37">
        <v>9.9</v>
      </c>
      <c r="E57" s="37">
        <v>9.8000000000000007</v>
      </c>
      <c r="F57" s="37">
        <v>9.6</v>
      </c>
      <c r="G57" s="37">
        <v>7</v>
      </c>
      <c r="H57" s="33">
        <v>0.25</v>
      </c>
      <c r="I57" s="3"/>
      <c r="J57" s="3" t="s">
        <v>310</v>
      </c>
    </row>
    <row r="58" spans="2:10" ht="15" thickBot="1">
      <c r="B58" s="1" t="s">
        <v>246</v>
      </c>
      <c r="C58" s="2" t="s">
        <v>216</v>
      </c>
      <c r="D58" s="1"/>
      <c r="E58" s="1"/>
      <c r="F58" s="1"/>
      <c r="G58" s="1"/>
      <c r="H58" s="1"/>
      <c r="I58" s="1"/>
      <c r="J58" s="1"/>
    </row>
    <row r="59" spans="2:10" ht="15" thickBot="1">
      <c r="B59" s="3" t="s">
        <v>248</v>
      </c>
      <c r="C59" s="3" t="s">
        <v>231</v>
      </c>
      <c r="D59" s="41">
        <v>216</v>
      </c>
      <c r="E59" s="41">
        <v>162</v>
      </c>
      <c r="F59" s="41">
        <v>131</v>
      </c>
      <c r="G59" s="41">
        <v>71</v>
      </c>
      <c r="H59" s="13"/>
      <c r="I59" s="13" t="s">
        <v>188</v>
      </c>
      <c r="J59" s="13" t="s">
        <v>243</v>
      </c>
    </row>
    <row r="60" spans="2:10" ht="15" thickBot="1">
      <c r="B60" s="3" t="s">
        <v>248</v>
      </c>
      <c r="C60" s="3" t="s">
        <v>239</v>
      </c>
      <c r="D60" s="41">
        <v>865</v>
      </c>
      <c r="E60" s="41">
        <v>1621</v>
      </c>
      <c r="F60" s="41">
        <v>2616</v>
      </c>
      <c r="G60" s="41">
        <v>9987</v>
      </c>
      <c r="H60" s="13"/>
      <c r="I60" s="13"/>
      <c r="J60" s="13"/>
    </row>
    <row r="61" spans="2:10" ht="15" thickBot="1">
      <c r="B61" s="3" t="s">
        <v>258</v>
      </c>
      <c r="C61" s="30" t="s">
        <v>239</v>
      </c>
      <c r="D61" s="41">
        <v>1025</v>
      </c>
      <c r="E61" s="41">
        <v>1025</v>
      </c>
      <c r="F61" s="41">
        <v>1726</v>
      </c>
      <c r="G61" s="41">
        <v>15260</v>
      </c>
      <c r="H61" s="13"/>
      <c r="I61" s="3" t="s">
        <v>151</v>
      </c>
      <c r="J61" s="3" t="s">
        <v>249</v>
      </c>
    </row>
    <row r="62" spans="2:10" ht="15" thickBot="1">
      <c r="B62" s="36" t="s">
        <v>259</v>
      </c>
      <c r="C62" s="30" t="s">
        <v>260</v>
      </c>
      <c r="D62" s="41">
        <v>500</v>
      </c>
      <c r="E62" s="41">
        <v>500</v>
      </c>
      <c r="F62" s="41">
        <v>1000</v>
      </c>
      <c r="G62" s="41">
        <v>2000</v>
      </c>
      <c r="H62" s="3"/>
      <c r="I62" s="3"/>
      <c r="J62" s="3"/>
    </row>
    <row r="63" spans="2:10" ht="15" thickBot="1">
      <c r="B63" s="36" t="s">
        <v>261</v>
      </c>
      <c r="C63" s="30" t="s">
        <v>262</v>
      </c>
      <c r="D63" s="37">
        <v>2</v>
      </c>
      <c r="E63" s="37">
        <v>2</v>
      </c>
      <c r="F63" s="37">
        <v>1.7</v>
      </c>
      <c r="G63" s="37">
        <v>7.6</v>
      </c>
      <c r="H63" s="3"/>
      <c r="I63" s="3"/>
      <c r="J63" s="3"/>
    </row>
    <row r="64" spans="2:10" ht="15" thickBot="1">
      <c r="B64" s="38" t="s">
        <v>263</v>
      </c>
      <c r="C64" s="39" t="s">
        <v>239</v>
      </c>
      <c r="D64" s="40">
        <v>5900</v>
      </c>
      <c r="E64" s="40">
        <v>11600</v>
      </c>
      <c r="F64" s="40">
        <v>21200</v>
      </c>
      <c r="G64" s="40">
        <v>123500</v>
      </c>
      <c r="H64" s="33">
        <v>0.35</v>
      </c>
      <c r="I64" s="40"/>
      <c r="J64" s="40"/>
    </row>
  </sheetData>
  <mergeCells count="1">
    <mergeCell ref="G2:K3"/>
  </mergeCells>
  <conditionalFormatting sqref="H7">
    <cfRule type="colorScale" priority="17">
      <colorScale>
        <cfvo type="num" val="0"/>
        <cfvo type="num" val="0.5"/>
        <color theme="0"/>
        <color theme="5"/>
      </colorScale>
    </cfRule>
  </conditionalFormatting>
  <conditionalFormatting sqref="H8">
    <cfRule type="colorScale" priority="16">
      <colorScale>
        <cfvo type="num" val="0"/>
        <cfvo type="num" val="0.5"/>
        <color theme="0"/>
        <color theme="5"/>
      </colorScale>
    </cfRule>
  </conditionalFormatting>
  <conditionalFormatting sqref="H9">
    <cfRule type="colorScale" priority="15">
      <colorScale>
        <cfvo type="num" val="0"/>
        <cfvo type="num" val="0.5"/>
        <color theme="0"/>
        <color theme="5"/>
      </colorScale>
    </cfRule>
  </conditionalFormatting>
  <conditionalFormatting sqref="H20">
    <cfRule type="colorScale" priority="5">
      <colorScale>
        <cfvo type="num" val="0"/>
        <cfvo type="num" val="0.5"/>
        <color theme="0"/>
        <color theme="5"/>
      </colorScale>
    </cfRule>
  </conditionalFormatting>
  <conditionalFormatting sqref="H22">
    <cfRule type="colorScale" priority="3">
      <colorScale>
        <cfvo type="num" val="0"/>
        <cfvo type="num" val="0.5"/>
        <color theme="0"/>
        <color theme="5"/>
      </colorScale>
    </cfRule>
  </conditionalFormatting>
  <conditionalFormatting sqref="H28">
    <cfRule type="colorScale" priority="13">
      <colorScale>
        <cfvo type="num" val="0"/>
        <cfvo type="num" val="0.5"/>
        <color theme="0"/>
        <color theme="5"/>
      </colorScale>
    </cfRule>
  </conditionalFormatting>
  <conditionalFormatting sqref="H29">
    <cfRule type="colorScale" priority="12">
      <colorScale>
        <cfvo type="num" val="0"/>
        <cfvo type="num" val="0.5"/>
        <color theme="0"/>
        <color theme="5"/>
      </colorScale>
    </cfRule>
  </conditionalFormatting>
  <conditionalFormatting sqref="H30">
    <cfRule type="colorScale" priority="11">
      <colorScale>
        <cfvo type="num" val="0"/>
        <cfvo type="num" val="0.5"/>
        <color theme="0"/>
        <color theme="5"/>
      </colorScale>
    </cfRule>
  </conditionalFormatting>
  <conditionalFormatting sqref="H35:H36 H32">
    <cfRule type="colorScale" priority="14">
      <colorScale>
        <cfvo type="num" val="0"/>
        <cfvo type="num" val="0.5"/>
        <color theme="0"/>
        <color theme="5"/>
      </colorScale>
    </cfRule>
  </conditionalFormatting>
  <conditionalFormatting sqref="H41">
    <cfRule type="colorScale" priority="6">
      <colorScale>
        <cfvo type="num" val="0"/>
        <cfvo type="num" val="0.5"/>
        <color theme="0"/>
        <color theme="5"/>
      </colorScale>
    </cfRule>
  </conditionalFormatting>
  <conditionalFormatting sqref="H43">
    <cfRule type="colorScale" priority="2">
      <colorScale>
        <cfvo type="num" val="0"/>
        <cfvo type="num" val="0.5"/>
        <color theme="0"/>
        <color theme="5"/>
      </colorScale>
    </cfRule>
  </conditionalFormatting>
  <conditionalFormatting sqref="H49">
    <cfRule type="colorScale" priority="9">
      <colorScale>
        <cfvo type="num" val="0"/>
        <cfvo type="num" val="0.5"/>
        <color theme="0"/>
        <color theme="5"/>
      </colorScale>
    </cfRule>
  </conditionalFormatting>
  <conditionalFormatting sqref="H50">
    <cfRule type="colorScale" priority="8">
      <colorScale>
        <cfvo type="num" val="0"/>
        <cfvo type="num" val="0.5"/>
        <color theme="0"/>
        <color theme="5"/>
      </colorScale>
    </cfRule>
  </conditionalFormatting>
  <conditionalFormatting sqref="H51">
    <cfRule type="colorScale" priority="7">
      <colorScale>
        <cfvo type="num" val="0"/>
        <cfvo type="num" val="0.5"/>
        <color theme="0"/>
        <color theme="5"/>
      </colorScale>
    </cfRule>
  </conditionalFormatting>
  <conditionalFormatting sqref="H56:H57 H53">
    <cfRule type="colorScale" priority="10">
      <colorScale>
        <cfvo type="num" val="0"/>
        <cfvo type="num" val="0.5"/>
        <color theme="0"/>
        <color theme="5"/>
      </colorScale>
    </cfRule>
  </conditionalFormatting>
  <conditionalFormatting sqref="H62">
    <cfRule type="colorScale" priority="4">
      <colorScale>
        <cfvo type="num" val="0"/>
        <cfvo type="num" val="0.5"/>
        <color theme="0"/>
        <color theme="5"/>
      </colorScale>
    </cfRule>
  </conditionalFormatting>
  <conditionalFormatting sqref="H64">
    <cfRule type="colorScale" priority="1">
      <colorScale>
        <cfvo type="num" val="0"/>
        <cfvo type="num" val="0.5"/>
        <color theme="0"/>
        <color theme="5"/>
      </colorScale>
    </cfRule>
  </conditionalFormatting>
  <conditionalFormatting sqref="X8:X9 H11 H14:H15">
    <cfRule type="colorScale" priority="18">
      <colorScale>
        <cfvo type="num" val="0"/>
        <cfvo type="num" val="0.5"/>
        <color theme="0"/>
        <color theme="5"/>
      </colorScale>
    </cfRule>
  </conditionalFormatting>
  <conditionalFormatting sqref="X8:X9">
    <cfRule type="colorScale" priority="19">
      <colorScale>
        <cfvo type="min"/>
        <cfvo type="max"/>
        <color theme="0"/>
        <color theme="5"/>
      </colorScale>
    </cfRule>
  </conditionalFormatting>
  <hyperlinks>
    <hyperlink ref="A1" location="Inhalt!A1" display="Zum Inhalt" xr:uid="{3FE40DBE-3797-428C-BC3A-78348C3E6992}"/>
  </hyperlinks>
  <pageMargins left="0.7" right="0.7" top="0.78740157499999996" bottom="0.78740157499999996"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CB515-461C-471D-9ACB-C003DAAF144E}">
  <sheetPr codeName="Tabelle11"/>
  <dimension ref="A1:Y52"/>
  <sheetViews>
    <sheetView zoomScaleNormal="100" workbookViewId="0"/>
  </sheetViews>
  <sheetFormatPr baseColWidth="10" defaultColWidth="11.44140625" defaultRowHeight="14.4"/>
  <cols>
    <col min="2" max="2" width="31.44140625" bestFit="1" customWidth="1"/>
    <col min="13" max="13" width="12.6640625" customWidth="1"/>
  </cols>
  <sheetData>
    <row r="1" spans="1:25" ht="28.2" thickBot="1">
      <c r="A1" s="99" t="s">
        <v>143</v>
      </c>
    </row>
    <row r="2" spans="1:25" ht="14.7" customHeight="1">
      <c r="G2" s="142" t="s">
        <v>212</v>
      </c>
      <c r="H2" s="143"/>
      <c r="I2" s="143"/>
      <c r="J2" s="143"/>
      <c r="K2" s="144"/>
    </row>
    <row r="3" spans="1:25" ht="23.25" customHeight="1" thickBot="1">
      <c r="B3" s="4" t="s">
        <v>213</v>
      </c>
      <c r="C3" s="4" t="s">
        <v>63</v>
      </c>
      <c r="G3" s="145"/>
      <c r="H3" s="146"/>
      <c r="I3" s="146"/>
      <c r="J3" s="146"/>
      <c r="K3" s="147"/>
    </row>
    <row r="4" spans="1:25">
      <c r="B4" s="4" t="s">
        <v>214</v>
      </c>
      <c r="C4" s="4">
        <v>2023</v>
      </c>
    </row>
    <row r="5" spans="1:25" ht="15" thickBot="1">
      <c r="B5" s="1" t="s">
        <v>215</v>
      </c>
      <c r="C5" s="2" t="s">
        <v>216</v>
      </c>
      <c r="D5" s="1"/>
      <c r="E5" s="1"/>
      <c r="F5" s="1"/>
      <c r="G5" s="2"/>
      <c r="H5" s="2"/>
      <c r="I5" s="1" t="s">
        <v>217</v>
      </c>
      <c r="J5" s="1" t="s">
        <v>147</v>
      </c>
      <c r="K5" s="1" t="s">
        <v>148</v>
      </c>
      <c r="M5" s="4" t="s">
        <v>218</v>
      </c>
      <c r="N5" s="12" t="s">
        <v>315</v>
      </c>
    </row>
    <row r="6" spans="1:25" ht="15" thickBot="1">
      <c r="B6" s="3" t="s">
        <v>220</v>
      </c>
      <c r="C6" s="30" t="s">
        <v>316</v>
      </c>
      <c r="D6" s="3">
        <v>2</v>
      </c>
      <c r="E6" s="3">
        <v>5</v>
      </c>
      <c r="F6" s="3">
        <v>10</v>
      </c>
      <c r="G6" s="31">
        <v>20</v>
      </c>
      <c r="H6" s="31">
        <v>30</v>
      </c>
      <c r="I6" s="3"/>
      <c r="J6" s="3"/>
      <c r="K6" s="3" t="s">
        <v>240</v>
      </c>
      <c r="M6" s="4" t="s">
        <v>214</v>
      </c>
      <c r="N6" s="4">
        <v>2023</v>
      </c>
      <c r="O6" s="4">
        <v>2030</v>
      </c>
      <c r="P6" s="4">
        <v>2040</v>
      </c>
    </row>
    <row r="7" spans="1:25" ht="15" thickBot="1">
      <c r="B7" s="3" t="s">
        <v>222</v>
      </c>
      <c r="C7" s="5" t="s">
        <v>223</v>
      </c>
      <c r="D7" s="3">
        <v>100</v>
      </c>
      <c r="E7" s="3">
        <v>100</v>
      </c>
      <c r="F7" s="3">
        <v>100</v>
      </c>
      <c r="G7" s="3">
        <v>100</v>
      </c>
      <c r="H7" s="3">
        <v>100</v>
      </c>
      <c r="I7" s="33"/>
      <c r="J7" s="3" t="s">
        <v>305</v>
      </c>
      <c r="K7" s="3"/>
      <c r="M7" s="12" t="s">
        <v>225</v>
      </c>
      <c r="N7" s="12">
        <v>1002.1</v>
      </c>
      <c r="O7" s="12">
        <v>1002.1</v>
      </c>
      <c r="P7" s="12">
        <v>1002.1</v>
      </c>
    </row>
    <row r="8" spans="1:25" ht="15" thickBot="1">
      <c r="B8" s="3" t="s">
        <v>226</v>
      </c>
      <c r="C8" s="5" t="s">
        <v>227</v>
      </c>
      <c r="D8" s="13">
        <v>25</v>
      </c>
      <c r="E8" s="13">
        <v>25</v>
      </c>
      <c r="F8" s="13">
        <v>25</v>
      </c>
      <c r="G8" s="13">
        <v>25</v>
      </c>
      <c r="H8" s="13">
        <v>25</v>
      </c>
      <c r="I8" s="3"/>
      <c r="J8" s="3" t="s">
        <v>305</v>
      </c>
      <c r="K8" s="3" t="s">
        <v>244</v>
      </c>
      <c r="M8" s="12" t="s">
        <v>228</v>
      </c>
      <c r="N8" s="12">
        <v>-0.22700000000000001</v>
      </c>
      <c r="O8" s="12">
        <v>-0.22700000000000001</v>
      </c>
      <c r="P8" s="12">
        <v>-0.22700000000000001</v>
      </c>
      <c r="Y8" s="44"/>
    </row>
    <row r="9" spans="1:25" ht="15" thickBot="1">
      <c r="B9" s="1" t="s">
        <v>317</v>
      </c>
      <c r="C9" s="2" t="s">
        <v>216</v>
      </c>
      <c r="D9" s="1"/>
      <c r="E9" s="1"/>
      <c r="F9" s="1"/>
      <c r="G9" s="1"/>
      <c r="H9" s="1"/>
      <c r="I9" s="1"/>
      <c r="J9" s="1"/>
      <c r="K9" s="1"/>
      <c r="Y9" s="44"/>
    </row>
    <row r="10" spans="1:25" ht="15" thickBot="1">
      <c r="B10" s="3" t="s">
        <v>230</v>
      </c>
      <c r="C10" s="3" t="s">
        <v>318</v>
      </c>
      <c r="D10" s="13">
        <v>856</v>
      </c>
      <c r="E10" s="13">
        <v>695</v>
      </c>
      <c r="F10" s="13">
        <v>594</v>
      </c>
      <c r="G10" s="13">
        <v>508</v>
      </c>
      <c r="H10" s="13">
        <v>463</v>
      </c>
      <c r="I10" s="33">
        <v>0.15</v>
      </c>
      <c r="J10" s="3" t="s">
        <v>290</v>
      </c>
      <c r="K10" s="3" t="s">
        <v>249</v>
      </c>
      <c r="M10" s="50" t="s">
        <v>234</v>
      </c>
      <c r="N10" s="12" t="s">
        <v>319</v>
      </c>
    </row>
    <row r="11" spans="1:25" ht="15" thickBot="1">
      <c r="B11" s="36" t="s">
        <v>236</v>
      </c>
      <c r="C11" s="3" t="s">
        <v>223</v>
      </c>
      <c r="D11" s="46">
        <v>70</v>
      </c>
      <c r="E11" s="46">
        <v>70</v>
      </c>
      <c r="F11" s="46">
        <v>70</v>
      </c>
      <c r="G11" s="46">
        <v>70</v>
      </c>
      <c r="H11" s="46">
        <v>70</v>
      </c>
      <c r="I11" s="3"/>
      <c r="J11" s="3"/>
      <c r="K11" s="3"/>
    </row>
    <row r="12" spans="1:25" ht="15" thickBot="1">
      <c r="B12" s="36" t="s">
        <v>237</v>
      </c>
      <c r="C12" s="3" t="s">
        <v>223</v>
      </c>
      <c r="D12" s="46">
        <v>30</v>
      </c>
      <c r="E12" s="46">
        <v>30</v>
      </c>
      <c r="F12" s="46">
        <v>30</v>
      </c>
      <c r="G12" s="46">
        <v>30</v>
      </c>
      <c r="H12" s="46">
        <v>30</v>
      </c>
      <c r="I12" s="3"/>
      <c r="J12" s="3"/>
      <c r="K12" s="3"/>
      <c r="M12" s="4" t="s">
        <v>148</v>
      </c>
    </row>
    <row r="13" spans="1:25" ht="15" thickBot="1">
      <c r="B13" s="30" t="s">
        <v>263</v>
      </c>
      <c r="C13" s="3" t="s">
        <v>239</v>
      </c>
      <c r="D13" s="34">
        <v>1700</v>
      </c>
      <c r="E13" s="34">
        <v>3500</v>
      </c>
      <c r="F13" s="34">
        <v>5900</v>
      </c>
      <c r="G13" s="34">
        <v>10200</v>
      </c>
      <c r="H13" s="34">
        <v>13900</v>
      </c>
      <c r="I13" s="33">
        <v>0.15</v>
      </c>
      <c r="J13" s="3"/>
      <c r="K13" s="3"/>
      <c r="M13" s="12" t="s">
        <v>240</v>
      </c>
      <c r="N13" s="12" t="s">
        <v>320</v>
      </c>
    </row>
    <row r="14" spans="1:25" ht="15" thickBot="1">
      <c r="B14" s="3" t="s">
        <v>242</v>
      </c>
      <c r="C14" s="3" t="s">
        <v>321</v>
      </c>
      <c r="D14" s="13">
        <v>9</v>
      </c>
      <c r="E14" s="13">
        <v>7</v>
      </c>
      <c r="F14" s="13">
        <v>6</v>
      </c>
      <c r="G14" s="13">
        <v>5</v>
      </c>
      <c r="H14" s="13">
        <v>5</v>
      </c>
      <c r="I14" s="3"/>
      <c r="J14" s="3"/>
      <c r="K14" s="3" t="s">
        <v>224</v>
      </c>
      <c r="M14" s="12" t="s">
        <v>244</v>
      </c>
      <c r="N14" s="12" t="s">
        <v>322</v>
      </c>
    </row>
    <row r="15" spans="1:25" ht="15" thickBot="1">
      <c r="B15" s="1" t="s">
        <v>323</v>
      </c>
      <c r="C15" s="2" t="s">
        <v>216</v>
      </c>
      <c r="D15" s="1"/>
      <c r="E15" s="1"/>
      <c r="F15" s="1"/>
      <c r="G15" s="1"/>
      <c r="H15" s="1"/>
      <c r="I15" s="1"/>
      <c r="J15" s="1"/>
      <c r="K15" s="1"/>
      <c r="M15" s="12" t="s">
        <v>224</v>
      </c>
      <c r="N15" s="12" t="s">
        <v>324</v>
      </c>
    </row>
    <row r="16" spans="1:25" ht="15" thickBot="1">
      <c r="B16" s="3" t="s">
        <v>248</v>
      </c>
      <c r="C16" s="30" t="s">
        <v>318</v>
      </c>
      <c r="D16" s="13">
        <v>269</v>
      </c>
      <c r="E16" s="13">
        <v>202</v>
      </c>
      <c r="F16" s="13">
        <v>162</v>
      </c>
      <c r="G16" s="13">
        <v>131</v>
      </c>
      <c r="H16" s="13">
        <v>115</v>
      </c>
      <c r="I16" s="13"/>
      <c r="J16" s="13" t="s">
        <v>179</v>
      </c>
      <c r="K16" s="13" t="s">
        <v>252</v>
      </c>
      <c r="M16" s="12" t="s">
        <v>250</v>
      </c>
      <c r="N16" s="12" t="s">
        <v>325</v>
      </c>
    </row>
    <row r="17" spans="2:14" ht="15" thickBot="1">
      <c r="B17" s="3" t="s">
        <v>248</v>
      </c>
      <c r="C17" s="30" t="s">
        <v>239</v>
      </c>
      <c r="D17" s="13">
        <v>537</v>
      </c>
      <c r="E17" s="13">
        <v>1009</v>
      </c>
      <c r="F17" s="13">
        <v>1621</v>
      </c>
      <c r="G17" s="13">
        <v>2616</v>
      </c>
      <c r="H17" s="13">
        <v>3461</v>
      </c>
      <c r="I17" s="13"/>
      <c r="J17" s="13"/>
      <c r="K17" s="13"/>
      <c r="M17" s="12" t="s">
        <v>252</v>
      </c>
      <c r="N17" s="12" t="s">
        <v>255</v>
      </c>
    </row>
    <row r="18" spans="2:14" ht="15" thickBot="1">
      <c r="B18" s="38" t="s">
        <v>263</v>
      </c>
      <c r="C18" s="39" t="s">
        <v>239</v>
      </c>
      <c r="D18" s="40">
        <v>2200</v>
      </c>
      <c r="E18" s="40">
        <v>4500</v>
      </c>
      <c r="F18" s="40">
        <v>7500</v>
      </c>
      <c r="G18" s="40">
        <v>12800</v>
      </c>
      <c r="H18" s="40">
        <v>17400</v>
      </c>
      <c r="I18" s="33">
        <v>0.15</v>
      </c>
      <c r="J18" s="40"/>
      <c r="K18" s="40"/>
      <c r="M18" s="12" t="s">
        <v>249</v>
      </c>
      <c r="N18" s="12" t="s">
        <v>326</v>
      </c>
    </row>
    <row r="19" spans="2:14">
      <c r="M19" s="4"/>
      <c r="N19" s="12"/>
    </row>
    <row r="20" spans="2:14">
      <c r="M20" s="4" t="s">
        <v>147</v>
      </c>
    </row>
    <row r="21" spans="2:14">
      <c r="B21" s="4" t="s">
        <v>214</v>
      </c>
      <c r="C21" s="4">
        <v>2030</v>
      </c>
      <c r="M21" s="12" t="s">
        <v>151</v>
      </c>
      <c r="N21" s="12" t="s">
        <v>185</v>
      </c>
    </row>
    <row r="22" spans="2:14" ht="15" thickBot="1">
      <c r="B22" s="1" t="s">
        <v>215</v>
      </c>
      <c r="C22" s="2" t="s">
        <v>216</v>
      </c>
      <c r="D22" s="1"/>
      <c r="E22" s="1"/>
      <c r="F22" s="1"/>
      <c r="G22" s="2"/>
      <c r="H22" s="2"/>
      <c r="I22" s="1" t="s">
        <v>217</v>
      </c>
      <c r="J22" s="1" t="s">
        <v>147</v>
      </c>
      <c r="K22" s="1" t="s">
        <v>148</v>
      </c>
      <c r="M22" s="12" t="s">
        <v>184</v>
      </c>
      <c r="N22" s="12" t="s">
        <v>264</v>
      </c>
    </row>
    <row r="23" spans="2:14" ht="15" thickBot="1">
      <c r="B23" s="3" t="s">
        <v>220</v>
      </c>
      <c r="C23" s="30" t="s">
        <v>316</v>
      </c>
      <c r="D23" s="3">
        <v>2</v>
      </c>
      <c r="E23" s="3">
        <v>5</v>
      </c>
      <c r="F23" s="3">
        <v>10</v>
      </c>
      <c r="G23" s="31">
        <v>20</v>
      </c>
      <c r="H23" s="31">
        <v>30</v>
      </c>
      <c r="I23" s="3"/>
      <c r="J23" s="3"/>
      <c r="K23" s="3" t="s">
        <v>240</v>
      </c>
      <c r="M23" s="12" t="s">
        <v>186</v>
      </c>
      <c r="N23" s="12" t="s">
        <v>266</v>
      </c>
    </row>
    <row r="24" spans="2:14" ht="15" thickBot="1">
      <c r="B24" s="3" t="s">
        <v>222</v>
      </c>
      <c r="C24" s="5" t="s">
        <v>223</v>
      </c>
      <c r="D24" s="3">
        <v>100</v>
      </c>
      <c r="E24" s="3">
        <v>100</v>
      </c>
      <c r="F24" s="3">
        <v>100</v>
      </c>
      <c r="G24" s="3">
        <v>100</v>
      </c>
      <c r="H24" s="3">
        <v>100</v>
      </c>
      <c r="I24" s="3"/>
      <c r="J24" s="3" t="s">
        <v>184</v>
      </c>
      <c r="K24" s="3"/>
      <c r="M24" s="12" t="s">
        <v>188</v>
      </c>
      <c r="N24" s="12" t="s">
        <v>327</v>
      </c>
    </row>
    <row r="25" spans="2:14" ht="15" thickBot="1">
      <c r="B25" s="3" t="s">
        <v>226</v>
      </c>
      <c r="C25" s="5" t="s">
        <v>227</v>
      </c>
      <c r="D25" s="13">
        <v>25</v>
      </c>
      <c r="E25" s="13">
        <v>25</v>
      </c>
      <c r="F25" s="13">
        <v>25</v>
      </c>
      <c r="G25" s="13">
        <v>25</v>
      </c>
      <c r="H25" s="13">
        <v>25</v>
      </c>
      <c r="I25" s="3"/>
      <c r="J25" s="3" t="s">
        <v>184</v>
      </c>
      <c r="K25" s="3" t="s">
        <v>244</v>
      </c>
      <c r="M25" s="12" t="s">
        <v>192</v>
      </c>
      <c r="N25" s="12" t="s">
        <v>296</v>
      </c>
    </row>
    <row r="26" spans="2:14" ht="15" thickBot="1">
      <c r="B26" s="1" t="s">
        <v>317</v>
      </c>
      <c r="C26" s="2" t="s">
        <v>216</v>
      </c>
      <c r="D26" s="1"/>
      <c r="E26" s="1"/>
      <c r="F26" s="1"/>
      <c r="G26" s="1"/>
      <c r="H26" s="1"/>
      <c r="I26" s="1"/>
      <c r="J26" s="1"/>
      <c r="K26" s="1"/>
      <c r="M26" s="12" t="s">
        <v>172</v>
      </c>
      <c r="N26" s="12" t="s">
        <v>328</v>
      </c>
    </row>
    <row r="27" spans="2:14" ht="15" thickBot="1">
      <c r="B27" s="3" t="s">
        <v>230</v>
      </c>
      <c r="C27" s="3" t="s">
        <v>318</v>
      </c>
      <c r="D27" s="13">
        <v>856</v>
      </c>
      <c r="E27" s="13">
        <v>695</v>
      </c>
      <c r="F27" s="13">
        <v>594</v>
      </c>
      <c r="G27" s="13">
        <v>508</v>
      </c>
      <c r="H27" s="13">
        <v>463</v>
      </c>
      <c r="I27" s="33">
        <v>0.2</v>
      </c>
      <c r="J27" s="3" t="s">
        <v>290</v>
      </c>
      <c r="K27" s="3"/>
      <c r="M27" s="12" t="s">
        <v>179</v>
      </c>
      <c r="N27" s="12" t="s">
        <v>267</v>
      </c>
    </row>
    <row r="28" spans="2:14" ht="15" thickBot="1">
      <c r="B28" s="36" t="s">
        <v>236</v>
      </c>
      <c r="C28" s="3" t="s">
        <v>223</v>
      </c>
      <c r="D28" s="46">
        <v>70</v>
      </c>
      <c r="E28" s="46">
        <v>70</v>
      </c>
      <c r="F28" s="46">
        <v>70</v>
      </c>
      <c r="G28" s="46">
        <v>70</v>
      </c>
      <c r="H28" s="46">
        <v>70</v>
      </c>
      <c r="I28" s="3"/>
      <c r="J28" s="3"/>
      <c r="K28" s="3"/>
    </row>
    <row r="29" spans="2:14" ht="15" thickBot="1">
      <c r="B29" s="36" t="s">
        <v>237</v>
      </c>
      <c r="C29" s="3" t="s">
        <v>223</v>
      </c>
      <c r="D29" s="46">
        <v>30</v>
      </c>
      <c r="E29" s="46">
        <v>30</v>
      </c>
      <c r="F29" s="46">
        <v>30</v>
      </c>
      <c r="G29" s="46">
        <v>30</v>
      </c>
      <c r="H29" s="46">
        <v>30</v>
      </c>
      <c r="I29" s="3"/>
      <c r="J29" s="3"/>
      <c r="K29" s="3"/>
    </row>
    <row r="30" spans="2:14" ht="15" thickBot="1">
      <c r="B30" s="30" t="s">
        <v>263</v>
      </c>
      <c r="C30" s="3" t="s">
        <v>239</v>
      </c>
      <c r="D30" s="34">
        <v>1700</v>
      </c>
      <c r="E30" s="34">
        <v>3500</v>
      </c>
      <c r="F30" s="34">
        <v>5900</v>
      </c>
      <c r="G30" s="34">
        <v>10200</v>
      </c>
      <c r="H30" s="34">
        <v>13900</v>
      </c>
      <c r="I30" s="33">
        <v>0.2</v>
      </c>
      <c r="J30" s="3"/>
      <c r="K30" s="3"/>
      <c r="M30" s="12"/>
    </row>
    <row r="31" spans="2:14" ht="15" thickBot="1">
      <c r="B31" s="3" t="s">
        <v>242</v>
      </c>
      <c r="C31" s="3" t="s">
        <v>321</v>
      </c>
      <c r="D31" s="13">
        <v>9</v>
      </c>
      <c r="E31" s="13">
        <v>7</v>
      </c>
      <c r="F31" s="13">
        <v>6</v>
      </c>
      <c r="G31" s="13">
        <v>5</v>
      </c>
      <c r="H31" s="13">
        <v>5</v>
      </c>
      <c r="I31" s="3"/>
      <c r="J31" s="3"/>
      <c r="K31" s="3" t="s">
        <v>224</v>
      </c>
      <c r="M31" s="12"/>
    </row>
    <row r="32" spans="2:14" ht="15" thickBot="1">
      <c r="B32" s="1" t="s">
        <v>323</v>
      </c>
      <c r="C32" s="2" t="s">
        <v>216</v>
      </c>
      <c r="D32" s="1"/>
      <c r="E32" s="1"/>
      <c r="F32" s="1"/>
      <c r="G32" s="1"/>
      <c r="H32" s="1"/>
      <c r="I32" s="1"/>
      <c r="J32" s="1"/>
      <c r="K32" s="1"/>
      <c r="M32" s="4"/>
      <c r="N32" s="12"/>
    </row>
    <row r="33" spans="2:14" ht="15" thickBot="1">
      <c r="B33" s="3" t="s">
        <v>248</v>
      </c>
      <c r="C33" s="30" t="s">
        <v>318</v>
      </c>
      <c r="D33" s="13">
        <v>269</v>
      </c>
      <c r="E33" s="13">
        <v>202</v>
      </c>
      <c r="F33" s="13">
        <v>162</v>
      </c>
      <c r="G33" s="13">
        <v>131</v>
      </c>
      <c r="H33" s="13">
        <v>115</v>
      </c>
      <c r="I33" s="13"/>
      <c r="J33" s="13" t="s">
        <v>179</v>
      </c>
      <c r="K33" s="13" t="s">
        <v>252</v>
      </c>
      <c r="M33" s="12"/>
      <c r="N33" s="12"/>
    </row>
    <row r="34" spans="2:14" ht="15" thickBot="1">
      <c r="B34" s="3" t="s">
        <v>248</v>
      </c>
      <c r="C34" s="30" t="s">
        <v>239</v>
      </c>
      <c r="D34" s="13">
        <v>537</v>
      </c>
      <c r="E34" s="13">
        <v>1009</v>
      </c>
      <c r="F34" s="13">
        <v>1621</v>
      </c>
      <c r="G34" s="13">
        <v>2616</v>
      </c>
      <c r="H34" s="13">
        <v>3461</v>
      </c>
      <c r="I34" s="13"/>
      <c r="J34" s="13"/>
      <c r="K34" s="13"/>
      <c r="M34" s="12"/>
      <c r="N34" s="12"/>
    </row>
    <row r="35" spans="2:14" ht="15" thickBot="1">
      <c r="B35" s="38" t="s">
        <v>263</v>
      </c>
      <c r="C35" s="39" t="s">
        <v>239</v>
      </c>
      <c r="D35" s="40">
        <v>2200</v>
      </c>
      <c r="E35" s="40">
        <v>4500</v>
      </c>
      <c r="F35" s="40">
        <v>7500</v>
      </c>
      <c r="G35" s="40">
        <v>12800</v>
      </c>
      <c r="H35" s="40">
        <v>17400</v>
      </c>
      <c r="I35" s="33">
        <v>0.2</v>
      </c>
      <c r="J35" s="40"/>
      <c r="K35" s="40"/>
    </row>
    <row r="38" spans="2:14">
      <c r="B38" s="4" t="s">
        <v>214</v>
      </c>
      <c r="C38" s="4">
        <v>2040</v>
      </c>
    </row>
    <row r="39" spans="2:14" ht="15" thickBot="1">
      <c r="B39" s="1" t="s">
        <v>215</v>
      </c>
      <c r="C39" s="2" t="s">
        <v>216</v>
      </c>
      <c r="D39" s="1"/>
      <c r="E39" s="1"/>
      <c r="F39" s="1"/>
      <c r="G39" s="2"/>
      <c r="H39" s="2"/>
      <c r="I39" s="1" t="s">
        <v>217</v>
      </c>
      <c r="J39" s="1" t="s">
        <v>147</v>
      </c>
      <c r="K39" s="1" t="s">
        <v>148</v>
      </c>
    </row>
    <row r="40" spans="2:14" ht="15" thickBot="1">
      <c r="B40" s="3" t="s">
        <v>220</v>
      </c>
      <c r="C40" s="30" t="s">
        <v>316</v>
      </c>
      <c r="D40" s="3">
        <v>2</v>
      </c>
      <c r="E40" s="3">
        <v>5</v>
      </c>
      <c r="F40" s="3">
        <v>10</v>
      </c>
      <c r="G40" s="31">
        <v>20</v>
      </c>
      <c r="H40" s="31">
        <v>30</v>
      </c>
      <c r="I40" s="3"/>
      <c r="J40" s="3"/>
      <c r="K40" s="3" t="s">
        <v>240</v>
      </c>
    </row>
    <row r="41" spans="2:14" ht="15" thickBot="1">
      <c r="B41" s="3" t="s">
        <v>222</v>
      </c>
      <c r="C41" s="5" t="s">
        <v>223</v>
      </c>
      <c r="D41" s="3">
        <v>100</v>
      </c>
      <c r="E41" s="3">
        <v>100</v>
      </c>
      <c r="F41" s="3">
        <v>100</v>
      </c>
      <c r="G41" s="3">
        <v>100</v>
      </c>
      <c r="H41" s="3">
        <v>100</v>
      </c>
      <c r="I41" s="3"/>
      <c r="J41" s="3" t="s">
        <v>184</v>
      </c>
      <c r="K41" s="3"/>
    </row>
    <row r="42" spans="2:14" ht="15" thickBot="1">
      <c r="B42" s="3" t="s">
        <v>226</v>
      </c>
      <c r="C42" s="5" t="s">
        <v>227</v>
      </c>
      <c r="D42" s="13">
        <v>25</v>
      </c>
      <c r="E42" s="13">
        <v>25</v>
      </c>
      <c r="F42" s="13">
        <v>25</v>
      </c>
      <c r="G42" s="13">
        <v>25</v>
      </c>
      <c r="H42" s="13">
        <v>25</v>
      </c>
      <c r="I42" s="3"/>
      <c r="J42" s="3" t="s">
        <v>184</v>
      </c>
      <c r="K42" s="3" t="s">
        <v>244</v>
      </c>
    </row>
    <row r="43" spans="2:14" ht="15" thickBot="1">
      <c r="B43" s="1" t="s">
        <v>317</v>
      </c>
      <c r="C43" s="2" t="s">
        <v>216</v>
      </c>
      <c r="D43" s="1"/>
      <c r="E43" s="1"/>
      <c r="F43" s="1"/>
      <c r="G43" s="1"/>
      <c r="H43" s="1"/>
      <c r="I43" s="1"/>
      <c r="J43" s="1"/>
      <c r="K43" s="1"/>
    </row>
    <row r="44" spans="2:14" ht="15" thickBot="1">
      <c r="B44" s="3" t="s">
        <v>230</v>
      </c>
      <c r="C44" s="3" t="s">
        <v>318</v>
      </c>
      <c r="D44" s="13">
        <v>856</v>
      </c>
      <c r="E44" s="13">
        <v>695</v>
      </c>
      <c r="F44" s="13">
        <v>594</v>
      </c>
      <c r="G44" s="13">
        <v>508</v>
      </c>
      <c r="H44" s="13">
        <v>463</v>
      </c>
      <c r="I44" s="33">
        <v>0.25</v>
      </c>
      <c r="J44" s="3" t="s">
        <v>290</v>
      </c>
      <c r="K44" s="3"/>
    </row>
    <row r="45" spans="2:14" ht="15" thickBot="1">
      <c r="B45" s="36" t="s">
        <v>236</v>
      </c>
      <c r="C45" s="3" t="s">
        <v>223</v>
      </c>
      <c r="D45" s="46">
        <v>70</v>
      </c>
      <c r="E45" s="46">
        <v>70</v>
      </c>
      <c r="F45" s="46">
        <v>70</v>
      </c>
      <c r="G45" s="46">
        <v>70</v>
      </c>
      <c r="H45" s="46">
        <v>70</v>
      </c>
      <c r="I45" s="3"/>
      <c r="J45" s="3"/>
      <c r="K45" s="3"/>
    </row>
    <row r="46" spans="2:14" ht="15" thickBot="1">
      <c r="B46" s="36" t="s">
        <v>237</v>
      </c>
      <c r="C46" s="3" t="s">
        <v>223</v>
      </c>
      <c r="D46" s="46">
        <v>30</v>
      </c>
      <c r="E46" s="46">
        <v>30</v>
      </c>
      <c r="F46" s="46">
        <v>30</v>
      </c>
      <c r="G46" s="46">
        <v>30</v>
      </c>
      <c r="H46" s="46">
        <v>30</v>
      </c>
      <c r="I46" s="3"/>
      <c r="J46" s="3"/>
      <c r="K46" s="3"/>
    </row>
    <row r="47" spans="2:14" ht="15" thickBot="1">
      <c r="B47" s="30" t="s">
        <v>263</v>
      </c>
      <c r="C47" s="3" t="s">
        <v>239</v>
      </c>
      <c r="D47" s="34">
        <v>1700</v>
      </c>
      <c r="E47" s="34">
        <v>3500</v>
      </c>
      <c r="F47" s="34">
        <v>5900</v>
      </c>
      <c r="G47" s="34">
        <v>10200</v>
      </c>
      <c r="H47" s="34">
        <v>13900</v>
      </c>
      <c r="I47" s="33">
        <v>0.25</v>
      </c>
      <c r="J47" s="3"/>
      <c r="K47" s="3"/>
    </row>
    <row r="48" spans="2:14" ht="15" thickBot="1">
      <c r="B48" s="3" t="s">
        <v>242</v>
      </c>
      <c r="C48" s="3" t="s">
        <v>321</v>
      </c>
      <c r="D48" s="13">
        <v>9</v>
      </c>
      <c r="E48" s="13">
        <v>7</v>
      </c>
      <c r="F48" s="13">
        <v>6</v>
      </c>
      <c r="G48" s="13">
        <v>5</v>
      </c>
      <c r="H48" s="13">
        <v>5</v>
      </c>
      <c r="I48" s="3"/>
      <c r="J48" s="3"/>
      <c r="K48" s="3" t="s">
        <v>224</v>
      </c>
    </row>
    <row r="49" spans="2:11" ht="15" thickBot="1">
      <c r="B49" s="1" t="s">
        <v>323</v>
      </c>
      <c r="C49" s="2" t="s">
        <v>216</v>
      </c>
      <c r="D49" s="1"/>
      <c r="E49" s="1"/>
      <c r="F49" s="1"/>
      <c r="G49" s="1"/>
      <c r="H49" s="1"/>
      <c r="I49" s="1"/>
      <c r="J49" s="1"/>
      <c r="K49" s="1"/>
    </row>
    <row r="50" spans="2:11" ht="15" thickBot="1">
      <c r="B50" s="3" t="s">
        <v>248</v>
      </c>
      <c r="C50" s="30" t="s">
        <v>318</v>
      </c>
      <c r="D50" s="13">
        <v>269</v>
      </c>
      <c r="E50" s="13">
        <v>202</v>
      </c>
      <c r="F50" s="13">
        <v>162</v>
      </c>
      <c r="G50" s="13">
        <v>131</v>
      </c>
      <c r="H50" s="13">
        <v>115</v>
      </c>
      <c r="I50" s="13"/>
      <c r="J50" s="13" t="s">
        <v>179</v>
      </c>
      <c r="K50" s="13" t="s">
        <v>252</v>
      </c>
    </row>
    <row r="51" spans="2:11" ht="15" thickBot="1">
      <c r="B51" s="3" t="s">
        <v>248</v>
      </c>
      <c r="C51" s="30" t="s">
        <v>239</v>
      </c>
      <c r="D51" s="13">
        <v>537</v>
      </c>
      <c r="E51" s="13">
        <v>1009</v>
      </c>
      <c r="F51" s="13">
        <v>1621</v>
      </c>
      <c r="G51" s="13">
        <v>2616</v>
      </c>
      <c r="H51" s="13">
        <v>3461</v>
      </c>
      <c r="I51" s="13"/>
      <c r="J51" s="13"/>
      <c r="K51" s="13"/>
    </row>
    <row r="52" spans="2:11" ht="15" thickBot="1">
      <c r="B52" s="38" t="s">
        <v>263</v>
      </c>
      <c r="C52" s="39" t="s">
        <v>239</v>
      </c>
      <c r="D52" s="40">
        <v>2200</v>
      </c>
      <c r="E52" s="40">
        <v>4500</v>
      </c>
      <c r="F52" s="40">
        <v>7500</v>
      </c>
      <c r="G52" s="40">
        <v>12800</v>
      </c>
      <c r="H52" s="40">
        <v>17400</v>
      </c>
      <c r="I52" s="33">
        <v>0.25</v>
      </c>
      <c r="J52" s="40"/>
      <c r="K52" s="40"/>
    </row>
  </sheetData>
  <mergeCells count="1">
    <mergeCell ref="G2:K3"/>
  </mergeCells>
  <conditionalFormatting sqref="I7 I24 I41 Y8:Y9 I10:J10 I27:J27 I44:J44 I13:I14 I30:I31 I47:I48">
    <cfRule type="colorScale" priority="4">
      <colorScale>
        <cfvo type="num" val="0"/>
        <cfvo type="num" val="0.5"/>
        <color theme="0"/>
        <color theme="5"/>
      </colorScale>
    </cfRule>
  </conditionalFormatting>
  <conditionalFormatting sqref="I18">
    <cfRule type="colorScale" priority="3">
      <colorScale>
        <cfvo type="num" val="0"/>
        <cfvo type="num" val="0.5"/>
        <color theme="0"/>
        <color theme="5"/>
      </colorScale>
    </cfRule>
  </conditionalFormatting>
  <conditionalFormatting sqref="I35">
    <cfRule type="colorScale" priority="2">
      <colorScale>
        <cfvo type="num" val="0"/>
        <cfvo type="num" val="0.5"/>
        <color theme="0"/>
        <color theme="5"/>
      </colorScale>
    </cfRule>
  </conditionalFormatting>
  <conditionalFormatting sqref="I52">
    <cfRule type="colorScale" priority="1">
      <colorScale>
        <cfvo type="num" val="0"/>
        <cfvo type="num" val="0.5"/>
        <color theme="0"/>
        <color theme="5"/>
      </colorScale>
    </cfRule>
  </conditionalFormatting>
  <conditionalFormatting sqref="Y8:Y9">
    <cfRule type="colorScale" priority="5">
      <colorScale>
        <cfvo type="min"/>
        <cfvo type="max"/>
        <color theme="0"/>
        <color theme="5"/>
      </colorScale>
    </cfRule>
  </conditionalFormatting>
  <hyperlinks>
    <hyperlink ref="A1" location="Inhalt!A1" display="Zum Inhalt" xr:uid="{3CFF25CB-2136-4F5E-857A-2B7ED75DD02D}"/>
  </hyperlinks>
  <pageMargins left="0.7" right="0.7" top="0.78740157499999996" bottom="0.78740157499999996" header="0.3" footer="0.3"/>
  <pageSetup paperSize="9" orientation="portrait"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FC8C-37A0-4403-88CF-1A1533795516}">
  <sheetPr codeName="Tabelle12"/>
  <dimension ref="A1:AB70"/>
  <sheetViews>
    <sheetView zoomScaleNormal="100" workbookViewId="0">
      <selection activeCell="F25" sqref="F25"/>
    </sheetView>
  </sheetViews>
  <sheetFormatPr baseColWidth="10" defaultColWidth="11.44140625" defaultRowHeight="14.4"/>
  <cols>
    <col min="2" max="2" width="37.44140625" customWidth="1"/>
    <col min="13" max="13" width="10.5546875" bestFit="1" customWidth="1"/>
    <col min="14" max="14" width="9" customWidth="1"/>
    <col min="15" max="15" width="10.5546875" bestFit="1" customWidth="1"/>
    <col min="17" max="17" width="16.44140625" customWidth="1"/>
  </cols>
  <sheetData>
    <row r="1" spans="1:28" ht="28.2" thickBot="1">
      <c r="A1" s="99" t="s">
        <v>143</v>
      </c>
    </row>
    <row r="2" spans="1:28">
      <c r="G2" s="142" t="s">
        <v>212</v>
      </c>
      <c r="H2" s="143"/>
      <c r="I2" s="143"/>
      <c r="J2" s="143"/>
      <c r="K2" s="143"/>
      <c r="L2" s="144"/>
    </row>
    <row r="3" spans="1:28" ht="18.899999999999999" customHeight="1" thickBot="1">
      <c r="B3" s="4" t="s">
        <v>213</v>
      </c>
      <c r="C3" s="4" t="s">
        <v>67</v>
      </c>
      <c r="G3" s="145"/>
      <c r="H3" s="146"/>
      <c r="I3" s="146"/>
      <c r="J3" s="146"/>
      <c r="K3" s="146"/>
      <c r="L3" s="147"/>
    </row>
    <row r="4" spans="1:28">
      <c r="B4" s="4" t="s">
        <v>214</v>
      </c>
      <c r="C4" s="4">
        <v>2023</v>
      </c>
    </row>
    <row r="5" spans="1:28" ht="15" thickBot="1">
      <c r="B5" s="1" t="s">
        <v>215</v>
      </c>
      <c r="C5" s="2" t="s">
        <v>216</v>
      </c>
      <c r="D5" s="1"/>
      <c r="E5" s="2"/>
      <c r="F5" s="1"/>
      <c r="G5" s="1"/>
      <c r="H5" s="1"/>
      <c r="I5" s="1"/>
      <c r="J5" s="1"/>
      <c r="K5" s="1"/>
      <c r="L5" s="1"/>
      <c r="M5" s="1" t="s">
        <v>217</v>
      </c>
      <c r="N5" s="1" t="s">
        <v>147</v>
      </c>
      <c r="O5" s="1" t="s">
        <v>148</v>
      </c>
      <c r="Q5" s="4" t="s">
        <v>218</v>
      </c>
      <c r="R5" s="12" t="s">
        <v>219</v>
      </c>
    </row>
    <row r="6" spans="1:28" ht="15" thickBot="1">
      <c r="B6" s="3" t="s">
        <v>220</v>
      </c>
      <c r="C6" s="30" t="s">
        <v>221</v>
      </c>
      <c r="D6" s="3">
        <v>5</v>
      </c>
      <c r="E6" s="31">
        <v>10</v>
      </c>
      <c r="F6" s="3">
        <v>20</v>
      </c>
      <c r="G6" s="3">
        <v>30</v>
      </c>
      <c r="H6" s="3">
        <v>40</v>
      </c>
      <c r="I6" s="3">
        <v>50</v>
      </c>
      <c r="J6" s="3">
        <v>60</v>
      </c>
      <c r="K6" s="3">
        <v>80</v>
      </c>
      <c r="L6" s="3">
        <v>110</v>
      </c>
      <c r="M6" s="3"/>
      <c r="N6" s="3"/>
      <c r="O6" s="3"/>
      <c r="Q6" s="4" t="s">
        <v>214</v>
      </c>
      <c r="R6" s="4">
        <v>2023</v>
      </c>
      <c r="S6" s="4">
        <v>2030</v>
      </c>
      <c r="T6" s="4">
        <v>2040</v>
      </c>
    </row>
    <row r="7" spans="1:28" ht="15" thickBot="1">
      <c r="B7" s="3" t="s">
        <v>329</v>
      </c>
      <c r="C7" s="5"/>
      <c r="D7" s="51">
        <v>3.75</v>
      </c>
      <c r="E7" s="51">
        <v>3.75</v>
      </c>
      <c r="F7" s="51">
        <v>3.75</v>
      </c>
      <c r="G7" s="51">
        <v>3.75</v>
      </c>
      <c r="H7" s="51">
        <v>3.75</v>
      </c>
      <c r="I7" s="51">
        <v>3.75</v>
      </c>
      <c r="J7" s="51">
        <v>3.75</v>
      </c>
      <c r="K7" s="51">
        <v>3.75</v>
      </c>
      <c r="L7" s="51">
        <v>3.75</v>
      </c>
      <c r="M7" s="52">
        <v>0.2</v>
      </c>
      <c r="N7" s="3" t="s">
        <v>330</v>
      </c>
      <c r="O7" s="3" t="s">
        <v>224</v>
      </c>
      <c r="Q7" s="12" t="s">
        <v>331</v>
      </c>
      <c r="R7" s="12">
        <v>3830.5</v>
      </c>
      <c r="S7" s="12">
        <v>3534.6</v>
      </c>
      <c r="T7" s="12">
        <v>3196.6</v>
      </c>
      <c r="V7" s="53"/>
    </row>
    <row r="8" spans="1:28" ht="15" thickBot="1">
      <c r="B8" s="3" t="s">
        <v>332</v>
      </c>
      <c r="C8" s="5"/>
      <c r="D8" s="51">
        <v>3</v>
      </c>
      <c r="E8" s="51">
        <v>3</v>
      </c>
      <c r="F8" s="51">
        <v>3</v>
      </c>
      <c r="G8" s="51">
        <v>3</v>
      </c>
      <c r="H8" s="51">
        <v>3</v>
      </c>
      <c r="I8" s="51">
        <v>3</v>
      </c>
      <c r="J8" s="51">
        <v>3</v>
      </c>
      <c r="K8" s="51">
        <v>3</v>
      </c>
      <c r="L8" s="51">
        <v>3</v>
      </c>
      <c r="M8" s="52">
        <v>0.2</v>
      </c>
      <c r="N8" s="3" t="s">
        <v>330</v>
      </c>
      <c r="O8" s="3" t="s">
        <v>224</v>
      </c>
      <c r="Q8" s="12" t="s">
        <v>333</v>
      </c>
      <c r="R8" s="12">
        <v>-0.29499999999999998</v>
      </c>
      <c r="S8" s="12">
        <v>-0.29499999999999998</v>
      </c>
      <c r="T8" s="12">
        <v>-0.29499999999999998</v>
      </c>
      <c r="AB8" s="44"/>
    </row>
    <row r="9" spans="1:28" ht="15" thickBot="1">
      <c r="A9" s="44"/>
      <c r="B9" s="3" t="s">
        <v>334</v>
      </c>
      <c r="C9" s="5"/>
      <c r="D9" s="51">
        <v>2.6</v>
      </c>
      <c r="E9" s="51">
        <v>2.6</v>
      </c>
      <c r="F9" s="51">
        <v>2.6</v>
      </c>
      <c r="G9" s="51">
        <v>2.6</v>
      </c>
      <c r="H9" s="51">
        <v>2.6</v>
      </c>
      <c r="I9" s="51">
        <v>2.6</v>
      </c>
      <c r="J9" s="51">
        <v>2.6</v>
      </c>
      <c r="K9" s="51">
        <v>2.6</v>
      </c>
      <c r="L9" s="51">
        <v>2.6</v>
      </c>
      <c r="M9" s="52">
        <v>0.2</v>
      </c>
      <c r="N9" s="3" t="s">
        <v>330</v>
      </c>
      <c r="O9" s="3" t="s">
        <v>224</v>
      </c>
      <c r="Q9" s="12" t="s">
        <v>335</v>
      </c>
      <c r="R9" s="12">
        <v>3194.6</v>
      </c>
      <c r="S9" s="12">
        <v>2947.8</v>
      </c>
      <c r="T9" s="12">
        <v>2665.9</v>
      </c>
      <c r="AB9" s="44"/>
    </row>
    <row r="10" spans="1:28" ht="15" thickBot="1">
      <c r="B10" s="3" t="s">
        <v>226</v>
      </c>
      <c r="C10" s="5" t="s">
        <v>227</v>
      </c>
      <c r="D10" s="3">
        <v>18</v>
      </c>
      <c r="E10" s="3">
        <v>18</v>
      </c>
      <c r="F10" s="3">
        <v>18</v>
      </c>
      <c r="G10" s="3">
        <v>18</v>
      </c>
      <c r="H10" s="3">
        <v>18</v>
      </c>
      <c r="I10" s="3">
        <v>18</v>
      </c>
      <c r="J10" s="3">
        <v>18</v>
      </c>
      <c r="K10" s="3">
        <v>18</v>
      </c>
      <c r="L10" s="3">
        <v>18</v>
      </c>
      <c r="M10" s="3"/>
      <c r="N10" s="3" t="s">
        <v>151</v>
      </c>
      <c r="O10" s="3"/>
      <c r="Q10" s="12" t="s">
        <v>336</v>
      </c>
      <c r="R10" s="12">
        <v>-0.20699999999999999</v>
      </c>
      <c r="S10" s="12">
        <v>-0.20699999999999999</v>
      </c>
      <c r="T10" s="12">
        <v>-0.20699999999999999</v>
      </c>
    </row>
    <row r="11" spans="1:28" ht="15" thickBot="1">
      <c r="B11" s="1" t="s">
        <v>229</v>
      </c>
      <c r="C11" s="2" t="s">
        <v>216</v>
      </c>
      <c r="D11" s="1"/>
      <c r="E11" s="1"/>
      <c r="F11" s="1"/>
      <c r="G11" s="1"/>
      <c r="H11" s="1"/>
      <c r="I11" s="1"/>
      <c r="J11" s="1"/>
      <c r="K11" s="1"/>
      <c r="L11" s="1"/>
      <c r="M11" s="1"/>
      <c r="N11" s="1"/>
      <c r="O11" s="1"/>
      <c r="Q11" s="12"/>
    </row>
    <row r="12" spans="1:28" ht="15" thickBot="1">
      <c r="B12" s="3" t="s">
        <v>230</v>
      </c>
      <c r="C12" s="3" t="s">
        <v>231</v>
      </c>
      <c r="D12" s="41">
        <v>2288</v>
      </c>
      <c r="E12" s="41">
        <v>1982</v>
      </c>
      <c r="F12" s="41">
        <v>1717</v>
      </c>
      <c r="G12" s="41">
        <v>1381</v>
      </c>
      <c r="H12" s="41">
        <v>1226</v>
      </c>
      <c r="I12" s="41">
        <v>1420</v>
      </c>
      <c r="J12" s="41">
        <v>1368</v>
      </c>
      <c r="K12" s="41">
        <v>1289</v>
      </c>
      <c r="L12" s="41">
        <v>1206</v>
      </c>
      <c r="M12" s="52">
        <v>0.25</v>
      </c>
      <c r="N12" s="3" t="s">
        <v>337</v>
      </c>
      <c r="O12" s="13"/>
      <c r="Q12" s="4" t="s">
        <v>234</v>
      </c>
      <c r="R12" s="12" t="s">
        <v>338</v>
      </c>
    </row>
    <row r="13" spans="1:28" ht="15" thickBot="1">
      <c r="B13" s="36" t="s">
        <v>236</v>
      </c>
      <c r="C13" s="3" t="s">
        <v>223</v>
      </c>
      <c r="D13" s="46">
        <v>72</v>
      </c>
      <c r="E13" s="46">
        <v>82</v>
      </c>
      <c r="F13" s="46">
        <v>89</v>
      </c>
      <c r="G13" s="46">
        <v>90</v>
      </c>
      <c r="H13" s="46">
        <v>90</v>
      </c>
      <c r="I13" s="46">
        <v>90</v>
      </c>
      <c r="J13" s="46">
        <v>90</v>
      </c>
      <c r="K13" s="46">
        <v>90</v>
      </c>
      <c r="L13" s="46">
        <v>90</v>
      </c>
      <c r="M13" s="54"/>
      <c r="N13" s="3" t="s">
        <v>151</v>
      </c>
      <c r="O13" s="54"/>
    </row>
    <row r="14" spans="1:28" ht="15" thickBot="1">
      <c r="B14" s="36" t="s">
        <v>237</v>
      </c>
      <c r="C14" s="3" t="s">
        <v>223</v>
      </c>
      <c r="D14" s="46">
        <v>28</v>
      </c>
      <c r="E14" s="46">
        <v>18</v>
      </c>
      <c r="F14" s="46">
        <v>11</v>
      </c>
      <c r="G14" s="46">
        <v>10</v>
      </c>
      <c r="H14" s="46">
        <v>10</v>
      </c>
      <c r="I14" s="46">
        <v>10</v>
      </c>
      <c r="J14" s="46">
        <v>10</v>
      </c>
      <c r="K14" s="46">
        <v>10</v>
      </c>
      <c r="L14" s="46">
        <v>10</v>
      </c>
      <c r="M14" s="54"/>
      <c r="N14" s="3" t="s">
        <v>151</v>
      </c>
      <c r="O14" s="54"/>
      <c r="Q14" s="4" t="s">
        <v>148</v>
      </c>
    </row>
    <row r="15" spans="1:28" ht="15" thickBot="1">
      <c r="B15" s="30" t="s">
        <v>339</v>
      </c>
      <c r="C15" s="3" t="s">
        <v>239</v>
      </c>
      <c r="D15" s="41">
        <v>11400</v>
      </c>
      <c r="E15" s="41">
        <v>19800</v>
      </c>
      <c r="F15" s="41">
        <v>34300</v>
      </c>
      <c r="G15" s="41">
        <v>41400</v>
      </c>
      <c r="H15" s="41">
        <v>49100</v>
      </c>
      <c r="I15" s="41">
        <v>71000</v>
      </c>
      <c r="J15" s="41">
        <v>82100</v>
      </c>
      <c r="K15" s="41">
        <v>103100</v>
      </c>
      <c r="L15" s="41">
        <v>132600</v>
      </c>
      <c r="M15" s="52">
        <v>0.25</v>
      </c>
      <c r="N15" s="3" t="s">
        <v>151</v>
      </c>
      <c r="O15" s="55"/>
      <c r="Q15" s="12" t="s">
        <v>240</v>
      </c>
      <c r="R15" s="12" t="s">
        <v>340</v>
      </c>
    </row>
    <row r="16" spans="1:28" ht="15" thickBot="1">
      <c r="B16" s="3" t="s">
        <v>242</v>
      </c>
      <c r="C16" s="3" t="s">
        <v>309</v>
      </c>
      <c r="D16" s="41">
        <v>76</v>
      </c>
      <c r="E16" s="41">
        <v>38</v>
      </c>
      <c r="F16" s="41">
        <v>21</v>
      </c>
      <c r="G16" s="41">
        <v>19</v>
      </c>
      <c r="H16" s="41">
        <v>18</v>
      </c>
      <c r="I16" s="41">
        <v>17</v>
      </c>
      <c r="J16" s="41">
        <v>16</v>
      </c>
      <c r="K16" s="41">
        <v>15</v>
      </c>
      <c r="L16" s="41">
        <v>14</v>
      </c>
      <c r="M16" s="13"/>
      <c r="N16" s="3" t="s">
        <v>151</v>
      </c>
      <c r="O16" s="13" t="s">
        <v>240</v>
      </c>
      <c r="Q16" s="12" t="s">
        <v>244</v>
      </c>
      <c r="R16" s="12" t="s">
        <v>341</v>
      </c>
    </row>
    <row r="17" spans="2:18" ht="15" thickBot="1">
      <c r="B17" s="1" t="s">
        <v>246</v>
      </c>
      <c r="C17" s="2" t="s">
        <v>216</v>
      </c>
      <c r="D17" s="1"/>
      <c r="E17" s="1"/>
      <c r="F17" s="1"/>
      <c r="G17" s="1"/>
      <c r="H17" s="1"/>
      <c r="I17" s="1"/>
      <c r="J17" s="1"/>
      <c r="K17" s="1"/>
      <c r="L17" s="1"/>
      <c r="M17" s="1"/>
      <c r="N17" s="1"/>
      <c r="O17" s="1"/>
      <c r="Q17" s="12" t="s">
        <v>224</v>
      </c>
      <c r="R17" s="12" t="s">
        <v>342</v>
      </c>
    </row>
    <row r="18" spans="2:18" ht="15" thickBot="1">
      <c r="B18" s="3" t="s">
        <v>343</v>
      </c>
      <c r="C18" s="30" t="s">
        <v>231</v>
      </c>
      <c r="D18" s="41">
        <v>671</v>
      </c>
      <c r="E18" s="41">
        <v>540</v>
      </c>
      <c r="F18" s="41">
        <v>469</v>
      </c>
      <c r="G18" s="41">
        <v>385</v>
      </c>
      <c r="H18" s="41">
        <v>352</v>
      </c>
      <c r="I18" s="41">
        <v>329</v>
      </c>
      <c r="J18" s="41">
        <v>310</v>
      </c>
      <c r="K18" s="41">
        <v>284</v>
      </c>
      <c r="L18" s="41">
        <v>257</v>
      </c>
      <c r="M18" s="3"/>
      <c r="N18" s="3" t="s">
        <v>172</v>
      </c>
      <c r="O18" s="3" t="s">
        <v>252</v>
      </c>
      <c r="Q18" s="12" t="s">
        <v>250</v>
      </c>
      <c r="R18" s="12" t="s">
        <v>344</v>
      </c>
    </row>
    <row r="19" spans="2:18" ht="15" thickBot="1">
      <c r="B19" s="3" t="s">
        <v>343</v>
      </c>
      <c r="C19" s="30" t="s">
        <v>239</v>
      </c>
      <c r="D19" s="34">
        <v>3350</v>
      </c>
      <c r="E19" s="34">
        <v>5400</v>
      </c>
      <c r="F19" s="34">
        <v>9370</v>
      </c>
      <c r="G19" s="34">
        <v>11550</v>
      </c>
      <c r="H19" s="34">
        <v>14080</v>
      </c>
      <c r="I19" s="34">
        <v>16430</v>
      </c>
      <c r="J19" s="34">
        <v>18630</v>
      </c>
      <c r="K19" s="34">
        <v>22720</v>
      </c>
      <c r="L19" s="34">
        <v>28300</v>
      </c>
      <c r="M19" s="3"/>
      <c r="N19" s="3"/>
      <c r="O19" s="3"/>
      <c r="Q19" s="12" t="s">
        <v>252</v>
      </c>
      <c r="R19" s="12" t="s">
        <v>345</v>
      </c>
    </row>
    <row r="20" spans="2:18" ht="15" thickBot="1">
      <c r="B20" s="30" t="s">
        <v>258</v>
      </c>
      <c r="C20" s="30" t="s">
        <v>239</v>
      </c>
      <c r="D20" s="41">
        <v>1025</v>
      </c>
      <c r="E20" s="41">
        <v>1025</v>
      </c>
      <c r="F20" s="41">
        <v>1726</v>
      </c>
      <c r="G20" s="41">
        <v>1726</v>
      </c>
      <c r="H20" s="41">
        <v>11445</v>
      </c>
      <c r="I20" s="41">
        <v>11445</v>
      </c>
      <c r="J20" s="41">
        <v>11445</v>
      </c>
      <c r="K20" s="41">
        <v>15260</v>
      </c>
      <c r="L20" s="41">
        <v>15260</v>
      </c>
      <c r="M20" s="3"/>
      <c r="N20" s="3" t="s">
        <v>151</v>
      </c>
      <c r="O20" s="3" t="s">
        <v>249</v>
      </c>
      <c r="Q20" s="12" t="s">
        <v>249</v>
      </c>
      <c r="R20" s="12" t="s">
        <v>253</v>
      </c>
    </row>
    <row r="21" spans="2:18" ht="15" thickBot="1">
      <c r="B21" s="36" t="s">
        <v>259</v>
      </c>
      <c r="C21" s="30" t="s">
        <v>260</v>
      </c>
      <c r="D21" s="41">
        <v>500</v>
      </c>
      <c r="E21" s="41">
        <v>500</v>
      </c>
      <c r="F21" s="41">
        <v>1000</v>
      </c>
      <c r="G21" s="41">
        <v>1000</v>
      </c>
      <c r="H21" s="41">
        <v>1500</v>
      </c>
      <c r="I21" s="41">
        <v>1500</v>
      </c>
      <c r="J21" s="41">
        <v>1500</v>
      </c>
      <c r="K21" s="41">
        <v>2000</v>
      </c>
      <c r="L21" s="41">
        <v>2000</v>
      </c>
      <c r="M21" s="3"/>
      <c r="N21" s="3"/>
      <c r="O21" s="3"/>
      <c r="Q21" s="12"/>
      <c r="R21" s="12"/>
    </row>
    <row r="22" spans="2:18" ht="15" thickBot="1">
      <c r="B22" s="36" t="s">
        <v>261</v>
      </c>
      <c r="C22" s="30" t="s">
        <v>262</v>
      </c>
      <c r="D22" s="42">
        <v>2</v>
      </c>
      <c r="E22" s="42">
        <v>2</v>
      </c>
      <c r="F22" s="42">
        <v>1.7</v>
      </c>
      <c r="G22" s="42">
        <v>1.7</v>
      </c>
      <c r="H22" s="42">
        <v>7.6</v>
      </c>
      <c r="I22" s="42">
        <v>7.6</v>
      </c>
      <c r="J22" s="42">
        <v>7.6</v>
      </c>
      <c r="K22" s="42">
        <v>7.6</v>
      </c>
      <c r="L22" s="42">
        <v>7.6</v>
      </c>
      <c r="M22" s="3"/>
      <c r="N22" s="3" t="s">
        <v>151</v>
      </c>
      <c r="O22" s="3"/>
    </row>
    <row r="23" spans="2:18" ht="15" thickBot="1">
      <c r="B23" s="38" t="s">
        <v>263</v>
      </c>
      <c r="C23" s="39" t="s">
        <v>239</v>
      </c>
      <c r="D23" s="40">
        <v>15800</v>
      </c>
      <c r="E23" s="40">
        <v>26200</v>
      </c>
      <c r="F23" s="40">
        <v>45400</v>
      </c>
      <c r="G23" s="40">
        <v>54700</v>
      </c>
      <c r="H23" s="40">
        <v>74600</v>
      </c>
      <c r="I23" s="40">
        <v>98900</v>
      </c>
      <c r="J23" s="40">
        <v>112200</v>
      </c>
      <c r="K23" s="40">
        <v>141100</v>
      </c>
      <c r="L23" s="40">
        <v>176200</v>
      </c>
      <c r="M23" s="52">
        <v>0.25</v>
      </c>
      <c r="N23" s="3"/>
      <c r="O23" s="3"/>
      <c r="Q23" s="4" t="s">
        <v>147</v>
      </c>
    </row>
    <row r="24" spans="2:18">
      <c r="B24" s="12"/>
      <c r="C24" s="12"/>
      <c r="D24" s="56"/>
      <c r="E24" s="56"/>
      <c r="F24" s="56"/>
      <c r="G24" s="56"/>
      <c r="H24" s="56"/>
      <c r="I24" s="56"/>
      <c r="J24" s="56"/>
      <c r="K24" s="56"/>
      <c r="L24" s="56"/>
      <c r="M24" s="56"/>
      <c r="N24" s="12"/>
      <c r="O24" s="56"/>
      <c r="Q24" s="12" t="s">
        <v>151</v>
      </c>
      <c r="R24" s="12" t="s">
        <v>185</v>
      </c>
    </row>
    <row r="25" spans="2:18">
      <c r="D25" s="56"/>
      <c r="E25" s="56"/>
      <c r="F25" s="56"/>
      <c r="G25" s="56"/>
      <c r="H25" s="56"/>
      <c r="I25" s="56"/>
      <c r="J25" s="56"/>
      <c r="K25" s="56"/>
      <c r="L25" s="56"/>
      <c r="Q25" s="12" t="s">
        <v>184</v>
      </c>
      <c r="R25" s="12" t="s">
        <v>346</v>
      </c>
    </row>
    <row r="26" spans="2:18">
      <c r="D26" s="57"/>
      <c r="E26" s="57"/>
      <c r="F26" s="57"/>
      <c r="G26" s="57"/>
      <c r="H26" s="57"/>
      <c r="I26" s="57"/>
      <c r="J26" s="57"/>
      <c r="K26" s="57"/>
      <c r="L26" s="57"/>
      <c r="Q26" s="12" t="s">
        <v>186</v>
      </c>
      <c r="R26" s="12" t="s">
        <v>264</v>
      </c>
    </row>
    <row r="27" spans="2:18">
      <c r="B27" s="4" t="s">
        <v>214</v>
      </c>
      <c r="C27" s="4">
        <v>2030</v>
      </c>
      <c r="D27" s="57"/>
      <c r="E27" s="57"/>
      <c r="F27" s="57"/>
      <c r="G27" s="57"/>
      <c r="H27" s="57"/>
      <c r="I27" s="57"/>
      <c r="J27" s="57"/>
      <c r="K27" s="57"/>
      <c r="L27" s="57"/>
      <c r="Q27" s="12" t="s">
        <v>188</v>
      </c>
      <c r="R27" s="12" t="s">
        <v>265</v>
      </c>
    </row>
    <row r="28" spans="2:18" ht="15" thickBot="1">
      <c r="B28" s="1" t="s">
        <v>215</v>
      </c>
      <c r="C28" s="2" t="s">
        <v>216</v>
      </c>
      <c r="D28" s="1"/>
      <c r="E28" s="2"/>
      <c r="F28" s="1"/>
      <c r="G28" s="1"/>
      <c r="H28" s="1"/>
      <c r="I28" s="1"/>
      <c r="J28" s="1"/>
      <c r="K28" s="1"/>
      <c r="L28" s="1"/>
      <c r="M28" s="1" t="s">
        <v>217</v>
      </c>
      <c r="N28" s="1" t="s">
        <v>147</v>
      </c>
      <c r="O28" s="1" t="s">
        <v>148</v>
      </c>
      <c r="Q28" s="12" t="s">
        <v>192</v>
      </c>
      <c r="R28" s="12" t="s">
        <v>266</v>
      </c>
    </row>
    <row r="29" spans="2:18" ht="15" thickBot="1">
      <c r="B29" s="3" t="s">
        <v>220</v>
      </c>
      <c r="C29" s="30" t="s">
        <v>221</v>
      </c>
      <c r="D29" s="3">
        <v>5</v>
      </c>
      <c r="E29" s="31">
        <v>10</v>
      </c>
      <c r="F29" s="3">
        <v>20</v>
      </c>
      <c r="G29" s="3">
        <v>30</v>
      </c>
      <c r="H29" s="3">
        <v>40</v>
      </c>
      <c r="I29" s="3">
        <v>50</v>
      </c>
      <c r="J29" s="3">
        <v>60</v>
      </c>
      <c r="K29" s="3">
        <v>80</v>
      </c>
      <c r="L29" s="3">
        <v>110</v>
      </c>
      <c r="M29" s="3"/>
      <c r="N29" s="3"/>
      <c r="O29" s="3"/>
      <c r="Q29" s="12" t="s">
        <v>172</v>
      </c>
      <c r="R29" s="12" t="s">
        <v>267</v>
      </c>
    </row>
    <row r="30" spans="2:18" ht="15" thickBot="1">
      <c r="B30" s="3" t="s">
        <v>329</v>
      </c>
      <c r="C30" s="5"/>
      <c r="D30" s="51">
        <v>3.9</v>
      </c>
      <c r="E30" s="51">
        <v>3.9</v>
      </c>
      <c r="F30" s="51">
        <v>3.9</v>
      </c>
      <c r="G30" s="51">
        <v>3.9</v>
      </c>
      <c r="H30" s="51">
        <v>3.9</v>
      </c>
      <c r="I30" s="51">
        <v>3.9</v>
      </c>
      <c r="J30" s="51">
        <v>3.9</v>
      </c>
      <c r="K30" s="51">
        <v>3.9</v>
      </c>
      <c r="L30" s="51">
        <v>3.9</v>
      </c>
      <c r="M30" s="52">
        <v>0.2</v>
      </c>
      <c r="N30" s="3" t="s">
        <v>330</v>
      </c>
      <c r="O30" s="3" t="s">
        <v>250</v>
      </c>
      <c r="Q30" s="12" t="s">
        <v>179</v>
      </c>
      <c r="R30" s="12" t="s">
        <v>347</v>
      </c>
    </row>
    <row r="31" spans="2:18" ht="15" thickBot="1">
      <c r="B31" s="3" t="s">
        <v>332</v>
      </c>
      <c r="C31" s="5"/>
      <c r="D31" s="51">
        <v>3.12</v>
      </c>
      <c r="E31" s="51">
        <v>3.12</v>
      </c>
      <c r="F31" s="51">
        <v>3.12</v>
      </c>
      <c r="G31" s="51">
        <v>3.12</v>
      </c>
      <c r="H31" s="51">
        <v>3.12</v>
      </c>
      <c r="I31" s="51">
        <v>3.12</v>
      </c>
      <c r="J31" s="51">
        <v>3.12</v>
      </c>
      <c r="K31" s="51">
        <v>3.12</v>
      </c>
      <c r="L31" s="51">
        <v>3.12</v>
      </c>
      <c r="M31" s="52">
        <v>0.2</v>
      </c>
      <c r="N31" s="3" t="s">
        <v>330</v>
      </c>
      <c r="O31" s="51" t="s">
        <v>250</v>
      </c>
      <c r="Q31" s="12" t="s">
        <v>196</v>
      </c>
      <c r="R31" s="12" t="s">
        <v>348</v>
      </c>
    </row>
    <row r="32" spans="2:18" ht="15" thickBot="1">
      <c r="B32" s="3" t="s">
        <v>334</v>
      </c>
      <c r="C32" s="5"/>
      <c r="D32" s="51">
        <v>2.71</v>
      </c>
      <c r="E32" s="51">
        <v>2.71</v>
      </c>
      <c r="F32" s="51">
        <v>2.71</v>
      </c>
      <c r="G32" s="51">
        <v>2.71</v>
      </c>
      <c r="H32" s="51">
        <v>2.71</v>
      </c>
      <c r="I32" s="51">
        <v>2.71</v>
      </c>
      <c r="J32" s="51">
        <v>2.71</v>
      </c>
      <c r="K32" s="51">
        <v>2.71</v>
      </c>
      <c r="L32" s="51">
        <v>2.71</v>
      </c>
      <c r="M32" s="52">
        <v>0.2</v>
      </c>
      <c r="N32" s="3" t="s">
        <v>330</v>
      </c>
      <c r="O32" s="51" t="s">
        <v>250</v>
      </c>
    </row>
    <row r="33" spans="2:18" ht="15" thickBot="1">
      <c r="B33" s="3" t="s">
        <v>226</v>
      </c>
      <c r="C33" s="5" t="s">
        <v>227</v>
      </c>
      <c r="D33" s="3">
        <v>18</v>
      </c>
      <c r="E33" s="3">
        <v>18</v>
      </c>
      <c r="F33" s="3">
        <v>18</v>
      </c>
      <c r="G33" s="3">
        <v>18</v>
      </c>
      <c r="H33" s="3">
        <v>18</v>
      </c>
      <c r="I33" s="3">
        <v>18</v>
      </c>
      <c r="J33" s="3">
        <v>18</v>
      </c>
      <c r="K33" s="3">
        <v>18</v>
      </c>
      <c r="L33" s="3">
        <v>18</v>
      </c>
      <c r="M33" s="3"/>
      <c r="N33" s="3" t="s">
        <v>151</v>
      </c>
      <c r="O33" s="3"/>
      <c r="Q33" s="4"/>
      <c r="R33" s="12"/>
    </row>
    <row r="34" spans="2:18" ht="15" thickBot="1">
      <c r="B34" s="1" t="s">
        <v>229</v>
      </c>
      <c r="C34" s="2" t="s">
        <v>216</v>
      </c>
      <c r="D34" s="1"/>
      <c r="E34" s="1"/>
      <c r="F34" s="1"/>
      <c r="G34" s="1"/>
      <c r="H34" s="1"/>
      <c r="I34" s="1"/>
      <c r="J34" s="1"/>
      <c r="K34" s="1"/>
      <c r="L34" s="1"/>
      <c r="M34" s="1"/>
      <c r="N34" s="1"/>
      <c r="O34" s="1"/>
      <c r="Q34" s="12"/>
      <c r="R34" s="12"/>
    </row>
    <row r="35" spans="2:18" ht="15" thickBot="1">
      <c r="B35" s="3" t="s">
        <v>230</v>
      </c>
      <c r="C35" s="3" t="s">
        <v>231</v>
      </c>
      <c r="D35" s="41">
        <v>2111</v>
      </c>
      <c r="E35" s="41">
        <v>1829</v>
      </c>
      <c r="F35" s="41">
        <v>1585</v>
      </c>
      <c r="G35" s="41">
        <v>1274</v>
      </c>
      <c r="H35" s="41">
        <v>1132</v>
      </c>
      <c r="I35" s="41">
        <v>1310</v>
      </c>
      <c r="J35" s="41">
        <v>1262</v>
      </c>
      <c r="K35" s="41">
        <v>1189</v>
      </c>
      <c r="L35" s="41">
        <v>1113</v>
      </c>
      <c r="M35" s="52">
        <v>0.35</v>
      </c>
      <c r="N35" s="3" t="s">
        <v>151</v>
      </c>
      <c r="O35" s="13" t="s">
        <v>244</v>
      </c>
      <c r="Q35" s="12"/>
      <c r="R35" s="12"/>
    </row>
    <row r="36" spans="2:18" ht="15" thickBot="1">
      <c r="B36" s="36" t="s">
        <v>236</v>
      </c>
      <c r="C36" s="3" t="s">
        <v>223</v>
      </c>
      <c r="D36" s="46">
        <v>67</v>
      </c>
      <c r="E36" s="46">
        <v>78</v>
      </c>
      <c r="F36" s="46">
        <v>86</v>
      </c>
      <c r="G36" s="46">
        <v>90</v>
      </c>
      <c r="H36" s="46">
        <v>90</v>
      </c>
      <c r="I36" s="46">
        <v>90</v>
      </c>
      <c r="J36" s="46">
        <v>90</v>
      </c>
      <c r="K36" s="46">
        <v>90</v>
      </c>
      <c r="L36" s="46">
        <v>90</v>
      </c>
      <c r="M36" s="54"/>
      <c r="N36" s="3" t="s">
        <v>151</v>
      </c>
      <c r="O36" s="54"/>
      <c r="Q36" s="12"/>
    </row>
    <row r="37" spans="2:18" ht="15" thickBot="1">
      <c r="B37" s="36" t="s">
        <v>237</v>
      </c>
      <c r="C37" s="3" t="s">
        <v>223</v>
      </c>
      <c r="D37" s="46">
        <v>33</v>
      </c>
      <c r="E37" s="46">
        <v>22</v>
      </c>
      <c r="F37" s="46">
        <v>14</v>
      </c>
      <c r="G37" s="46">
        <v>10</v>
      </c>
      <c r="H37" s="46">
        <v>10</v>
      </c>
      <c r="I37" s="46">
        <v>10</v>
      </c>
      <c r="J37" s="46">
        <v>10</v>
      </c>
      <c r="K37" s="46">
        <v>10</v>
      </c>
      <c r="L37" s="46">
        <v>10</v>
      </c>
      <c r="M37" s="54"/>
      <c r="N37" s="3" t="s">
        <v>151</v>
      </c>
      <c r="O37" s="54"/>
    </row>
    <row r="38" spans="2:18" ht="15" thickBot="1">
      <c r="B38" s="30" t="s">
        <v>339</v>
      </c>
      <c r="C38" s="3" t="s">
        <v>239</v>
      </c>
      <c r="D38" s="41">
        <v>10600</v>
      </c>
      <c r="E38" s="41">
        <v>18300</v>
      </c>
      <c r="F38" s="41">
        <v>31700</v>
      </c>
      <c r="G38" s="41">
        <v>38200</v>
      </c>
      <c r="H38" s="41">
        <v>45300</v>
      </c>
      <c r="I38" s="41">
        <v>65500</v>
      </c>
      <c r="J38" s="41">
        <v>75700</v>
      </c>
      <c r="K38" s="41">
        <v>95100</v>
      </c>
      <c r="L38" s="41">
        <v>122400</v>
      </c>
      <c r="M38" s="52">
        <v>0.35</v>
      </c>
      <c r="N38" s="3" t="s">
        <v>151</v>
      </c>
      <c r="O38" s="55"/>
    </row>
    <row r="39" spans="2:18" ht="15" thickBot="1">
      <c r="B39" s="3" t="s">
        <v>242</v>
      </c>
      <c r="C39" s="3" t="s">
        <v>309</v>
      </c>
      <c r="D39" s="41">
        <v>76</v>
      </c>
      <c r="E39" s="41">
        <v>38</v>
      </c>
      <c r="F39" s="41">
        <v>19</v>
      </c>
      <c r="G39" s="41">
        <v>18</v>
      </c>
      <c r="H39" s="41">
        <v>16</v>
      </c>
      <c r="I39" s="41">
        <v>16</v>
      </c>
      <c r="J39" s="41">
        <v>15</v>
      </c>
      <c r="K39" s="41">
        <v>14</v>
      </c>
      <c r="L39" s="41">
        <v>13</v>
      </c>
      <c r="M39" s="13"/>
      <c r="N39" s="3" t="s">
        <v>151</v>
      </c>
      <c r="O39" s="13" t="s">
        <v>240</v>
      </c>
    </row>
    <row r="40" spans="2:18" ht="15" thickBot="1">
      <c r="B40" s="1" t="s">
        <v>246</v>
      </c>
      <c r="C40" s="2" t="s">
        <v>216</v>
      </c>
      <c r="D40" s="1"/>
      <c r="E40" s="1"/>
      <c r="F40" s="1"/>
      <c r="G40" s="1"/>
      <c r="H40" s="1"/>
      <c r="I40" s="1"/>
      <c r="J40" s="1"/>
      <c r="K40" s="1"/>
      <c r="L40" s="1"/>
      <c r="M40" s="1"/>
      <c r="N40" s="1"/>
      <c r="O40" s="1"/>
    </row>
    <row r="41" spans="2:18" ht="15" thickBot="1">
      <c r="B41" s="3" t="s">
        <v>343</v>
      </c>
      <c r="C41" s="30" t="s">
        <v>231</v>
      </c>
      <c r="D41" s="41">
        <v>671</v>
      </c>
      <c r="E41" s="41">
        <v>540</v>
      </c>
      <c r="F41" s="41">
        <v>469</v>
      </c>
      <c r="G41" s="41">
        <v>385</v>
      </c>
      <c r="H41" s="41">
        <v>352</v>
      </c>
      <c r="I41" s="41">
        <v>329</v>
      </c>
      <c r="J41" s="41">
        <v>310</v>
      </c>
      <c r="K41" s="41">
        <v>284</v>
      </c>
      <c r="L41" s="41">
        <v>257</v>
      </c>
      <c r="M41" s="3"/>
      <c r="N41" s="3" t="s">
        <v>172</v>
      </c>
      <c r="O41" s="3" t="s">
        <v>252</v>
      </c>
    </row>
    <row r="42" spans="2:18" ht="15" thickBot="1">
      <c r="B42" s="3" t="s">
        <v>343</v>
      </c>
      <c r="C42" s="30" t="s">
        <v>239</v>
      </c>
      <c r="D42" s="34">
        <v>3350</v>
      </c>
      <c r="E42" s="34">
        <v>5400</v>
      </c>
      <c r="F42" s="34">
        <v>9370</v>
      </c>
      <c r="G42" s="34">
        <v>11550</v>
      </c>
      <c r="H42" s="34">
        <v>14080</v>
      </c>
      <c r="I42" s="34">
        <v>16430</v>
      </c>
      <c r="J42" s="34">
        <v>18630</v>
      </c>
      <c r="K42" s="34">
        <v>22720</v>
      </c>
      <c r="L42" s="34">
        <v>28300</v>
      </c>
      <c r="M42" s="3"/>
      <c r="N42" s="3"/>
      <c r="O42" s="3"/>
    </row>
    <row r="43" spans="2:18" ht="15" thickBot="1">
      <c r="B43" s="30" t="s">
        <v>258</v>
      </c>
      <c r="C43" s="30" t="s">
        <v>239</v>
      </c>
      <c r="D43" s="41">
        <v>1025</v>
      </c>
      <c r="E43" s="41">
        <v>1025</v>
      </c>
      <c r="F43" s="41">
        <v>1726</v>
      </c>
      <c r="G43" s="41">
        <v>1726</v>
      </c>
      <c r="H43" s="41">
        <v>11445</v>
      </c>
      <c r="I43" s="41">
        <v>11445</v>
      </c>
      <c r="J43" s="41">
        <v>11445</v>
      </c>
      <c r="K43" s="41">
        <v>15260</v>
      </c>
      <c r="L43" s="41">
        <v>15260</v>
      </c>
      <c r="M43" s="3"/>
      <c r="N43" s="3" t="s">
        <v>151</v>
      </c>
      <c r="O43" s="3" t="s">
        <v>249</v>
      </c>
    </row>
    <row r="44" spans="2:18" ht="15" thickBot="1">
      <c r="B44" s="36" t="s">
        <v>259</v>
      </c>
      <c r="C44" s="30" t="s">
        <v>260</v>
      </c>
      <c r="D44" s="41">
        <v>500</v>
      </c>
      <c r="E44" s="41">
        <v>500</v>
      </c>
      <c r="F44" s="41">
        <v>1000</v>
      </c>
      <c r="G44" s="41">
        <v>1000</v>
      </c>
      <c r="H44" s="41">
        <v>1500</v>
      </c>
      <c r="I44" s="41">
        <v>1500</v>
      </c>
      <c r="J44" s="41">
        <v>1500</v>
      </c>
      <c r="K44" s="41">
        <v>2000</v>
      </c>
      <c r="L44" s="41">
        <v>2000</v>
      </c>
      <c r="M44" s="3"/>
      <c r="N44" s="3"/>
      <c r="O44" s="3"/>
    </row>
    <row r="45" spans="2:18" ht="15" thickBot="1">
      <c r="B45" s="36" t="s">
        <v>261</v>
      </c>
      <c r="C45" s="30" t="s">
        <v>262</v>
      </c>
      <c r="D45" s="42">
        <v>2</v>
      </c>
      <c r="E45" s="42">
        <v>2</v>
      </c>
      <c r="F45" s="42">
        <v>1.7</v>
      </c>
      <c r="G45" s="42">
        <v>1.7</v>
      </c>
      <c r="H45" s="42">
        <v>7.6</v>
      </c>
      <c r="I45" s="42">
        <v>7.6</v>
      </c>
      <c r="J45" s="42">
        <v>7.6</v>
      </c>
      <c r="K45" s="42">
        <v>7.6</v>
      </c>
      <c r="L45" s="42">
        <v>7.6</v>
      </c>
      <c r="M45" s="3"/>
      <c r="N45" s="3" t="s">
        <v>151</v>
      </c>
      <c r="O45" s="3"/>
    </row>
    <row r="46" spans="2:18" ht="15" thickBot="1">
      <c r="B46" s="38" t="s">
        <v>263</v>
      </c>
      <c r="C46" s="39" t="s">
        <v>239</v>
      </c>
      <c r="D46" s="40">
        <v>15000</v>
      </c>
      <c r="E46" s="40">
        <v>24700</v>
      </c>
      <c r="F46" s="40">
        <v>42800</v>
      </c>
      <c r="G46" s="40">
        <v>51500</v>
      </c>
      <c r="H46" s="40">
        <v>70800</v>
      </c>
      <c r="I46" s="40">
        <v>93400</v>
      </c>
      <c r="J46" s="40">
        <v>105800</v>
      </c>
      <c r="K46" s="40">
        <v>133100</v>
      </c>
      <c r="L46" s="40">
        <v>166000</v>
      </c>
      <c r="M46" s="52">
        <v>0.35</v>
      </c>
      <c r="N46" s="3"/>
      <c r="O46" s="3"/>
    </row>
    <row r="47" spans="2:18">
      <c r="D47" s="56"/>
      <c r="E47" s="56"/>
      <c r="F47" s="56"/>
      <c r="G47" s="56"/>
      <c r="H47" s="56"/>
      <c r="I47" s="56"/>
      <c r="J47" s="56"/>
      <c r="K47" s="56"/>
      <c r="L47" s="56"/>
    </row>
    <row r="48" spans="2:18">
      <c r="D48" s="56"/>
      <c r="E48" s="56"/>
      <c r="F48" s="56"/>
      <c r="G48" s="56"/>
      <c r="H48" s="56"/>
      <c r="I48" s="56"/>
      <c r="J48" s="56"/>
      <c r="K48" s="56"/>
      <c r="L48" s="56"/>
    </row>
    <row r="49" spans="2:15">
      <c r="B49" s="4" t="s">
        <v>214</v>
      </c>
      <c r="C49" s="4">
        <v>2040</v>
      </c>
    </row>
    <row r="50" spans="2:15" ht="15" thickBot="1">
      <c r="B50" s="1" t="s">
        <v>215</v>
      </c>
      <c r="C50" s="2" t="s">
        <v>216</v>
      </c>
      <c r="D50" s="1"/>
      <c r="E50" s="2"/>
      <c r="F50" s="1"/>
      <c r="G50" s="1"/>
      <c r="H50" s="1"/>
      <c r="I50" s="1"/>
      <c r="J50" s="1"/>
      <c r="K50" s="1"/>
      <c r="L50" s="1"/>
      <c r="M50" s="1" t="s">
        <v>217</v>
      </c>
      <c r="N50" s="1" t="s">
        <v>147</v>
      </c>
      <c r="O50" s="1" t="s">
        <v>148</v>
      </c>
    </row>
    <row r="51" spans="2:15" ht="15" thickBot="1">
      <c r="B51" s="3" t="s">
        <v>220</v>
      </c>
      <c r="C51" s="30" t="s">
        <v>221</v>
      </c>
      <c r="D51" s="3">
        <v>5</v>
      </c>
      <c r="E51" s="31">
        <v>10</v>
      </c>
      <c r="F51" s="3">
        <v>20</v>
      </c>
      <c r="G51" s="3">
        <v>30</v>
      </c>
      <c r="H51" s="3">
        <v>40</v>
      </c>
      <c r="I51" s="3">
        <v>50</v>
      </c>
      <c r="J51" s="3">
        <v>60</v>
      </c>
      <c r="K51" s="3">
        <v>80</v>
      </c>
      <c r="L51" s="3">
        <v>110</v>
      </c>
      <c r="M51" s="3"/>
      <c r="N51" s="3"/>
      <c r="O51" s="3"/>
    </row>
    <row r="52" spans="2:15" ht="15" thickBot="1">
      <c r="B52" s="3" t="s">
        <v>329</v>
      </c>
      <c r="C52" s="5"/>
      <c r="D52" s="51">
        <v>4.0999999999999996</v>
      </c>
      <c r="E52" s="51">
        <v>4.0999999999999996</v>
      </c>
      <c r="F52" s="51">
        <v>4.0999999999999996</v>
      </c>
      <c r="G52" s="51">
        <v>4.0999999999999996</v>
      </c>
      <c r="H52" s="51">
        <v>4.0999999999999996</v>
      </c>
      <c r="I52" s="51">
        <v>4.0999999999999996</v>
      </c>
      <c r="J52" s="51">
        <v>4.0999999999999996</v>
      </c>
      <c r="K52" s="51">
        <v>4.0999999999999996</v>
      </c>
      <c r="L52" s="51">
        <v>4.0999999999999996</v>
      </c>
      <c r="M52" s="52">
        <v>0.2</v>
      </c>
      <c r="N52" s="3" t="s">
        <v>330</v>
      </c>
      <c r="O52" s="3" t="s">
        <v>250</v>
      </c>
    </row>
    <row r="53" spans="2:15" ht="15" thickBot="1">
      <c r="B53" s="3" t="s">
        <v>332</v>
      </c>
      <c r="C53" s="5"/>
      <c r="D53" s="51">
        <v>3.28</v>
      </c>
      <c r="E53" s="51">
        <v>3.28</v>
      </c>
      <c r="F53" s="51">
        <v>3.28</v>
      </c>
      <c r="G53" s="51">
        <v>3.28</v>
      </c>
      <c r="H53" s="51">
        <v>3.28</v>
      </c>
      <c r="I53" s="51">
        <v>3.28</v>
      </c>
      <c r="J53" s="51">
        <v>3.28</v>
      </c>
      <c r="K53" s="51">
        <v>3.28</v>
      </c>
      <c r="L53" s="51">
        <v>3.28</v>
      </c>
      <c r="M53" s="52">
        <v>0.2</v>
      </c>
      <c r="N53" s="3" t="s">
        <v>330</v>
      </c>
      <c r="O53" s="51" t="s">
        <v>250</v>
      </c>
    </row>
    <row r="54" spans="2:15" ht="15" thickBot="1">
      <c r="B54" s="3" t="s">
        <v>334</v>
      </c>
      <c r="C54" s="5"/>
      <c r="D54" s="51">
        <v>2.84</v>
      </c>
      <c r="E54" s="51">
        <v>2.84</v>
      </c>
      <c r="F54" s="51">
        <v>2.84</v>
      </c>
      <c r="G54" s="51">
        <v>2.84</v>
      </c>
      <c r="H54" s="51">
        <v>2.84</v>
      </c>
      <c r="I54" s="51">
        <v>2.84</v>
      </c>
      <c r="J54" s="51">
        <v>2.84</v>
      </c>
      <c r="K54" s="51">
        <v>2.84</v>
      </c>
      <c r="L54" s="51">
        <v>2.84</v>
      </c>
      <c r="M54" s="52">
        <v>0.2</v>
      </c>
      <c r="N54" s="3" t="s">
        <v>330</v>
      </c>
      <c r="O54" s="51" t="s">
        <v>250</v>
      </c>
    </row>
    <row r="55" spans="2:15" ht="15" thickBot="1">
      <c r="B55" s="3" t="s">
        <v>226</v>
      </c>
      <c r="C55" s="5" t="s">
        <v>227</v>
      </c>
      <c r="D55" s="3">
        <v>18</v>
      </c>
      <c r="E55" s="3">
        <v>18</v>
      </c>
      <c r="F55" s="3">
        <v>18</v>
      </c>
      <c r="G55" s="3">
        <v>18</v>
      </c>
      <c r="H55" s="3">
        <v>18</v>
      </c>
      <c r="I55" s="3">
        <v>18</v>
      </c>
      <c r="J55" s="3">
        <v>18</v>
      </c>
      <c r="K55" s="3">
        <v>18</v>
      </c>
      <c r="L55" s="3">
        <v>18</v>
      </c>
      <c r="M55" s="3"/>
      <c r="N55" s="3" t="s">
        <v>151</v>
      </c>
      <c r="O55" s="3"/>
    </row>
    <row r="56" spans="2:15" ht="15" thickBot="1">
      <c r="B56" s="1" t="s">
        <v>229</v>
      </c>
      <c r="C56" s="2" t="s">
        <v>216</v>
      </c>
      <c r="D56" s="1"/>
      <c r="E56" s="1"/>
      <c r="F56" s="1"/>
      <c r="G56" s="1"/>
      <c r="H56" s="1"/>
      <c r="I56" s="1"/>
      <c r="J56" s="1"/>
      <c r="K56" s="1"/>
      <c r="L56" s="1"/>
      <c r="M56" s="1"/>
      <c r="N56" s="1"/>
      <c r="O56" s="1"/>
    </row>
    <row r="57" spans="2:15" ht="15" thickBot="1">
      <c r="B57" s="3" t="s">
        <v>230</v>
      </c>
      <c r="C57" s="3" t="s">
        <v>231</v>
      </c>
      <c r="D57" s="41">
        <v>1909</v>
      </c>
      <c r="E57" s="41">
        <v>1654</v>
      </c>
      <c r="F57" s="41">
        <v>1433</v>
      </c>
      <c r="G57" s="41">
        <v>1152</v>
      </c>
      <c r="H57" s="41">
        <v>1023</v>
      </c>
      <c r="I57" s="41">
        <v>1185</v>
      </c>
      <c r="J57" s="41">
        <v>1142</v>
      </c>
      <c r="K57" s="41">
        <v>1076</v>
      </c>
      <c r="L57" s="41">
        <v>1006</v>
      </c>
      <c r="M57" s="52">
        <v>0.45</v>
      </c>
      <c r="N57" s="3" t="s">
        <v>151</v>
      </c>
      <c r="O57" s="13" t="s">
        <v>244</v>
      </c>
    </row>
    <row r="58" spans="2:15" ht="15" thickBot="1">
      <c r="B58" s="36" t="s">
        <v>236</v>
      </c>
      <c r="C58" s="3" t="s">
        <v>223</v>
      </c>
      <c r="D58" s="46">
        <v>60</v>
      </c>
      <c r="E58" s="46">
        <v>72</v>
      </c>
      <c r="F58" s="46">
        <v>82</v>
      </c>
      <c r="G58" s="46">
        <v>90</v>
      </c>
      <c r="H58" s="46">
        <v>90</v>
      </c>
      <c r="I58" s="46">
        <v>90</v>
      </c>
      <c r="J58" s="46">
        <v>90</v>
      </c>
      <c r="K58" s="46">
        <v>90</v>
      </c>
      <c r="L58" s="46">
        <v>90</v>
      </c>
      <c r="M58" s="54"/>
      <c r="N58" s="3" t="s">
        <v>151</v>
      </c>
      <c r="O58" s="54"/>
    </row>
    <row r="59" spans="2:15" ht="15" thickBot="1">
      <c r="B59" s="36" t="s">
        <v>237</v>
      </c>
      <c r="C59" s="3" t="s">
        <v>223</v>
      </c>
      <c r="D59" s="46">
        <v>40</v>
      </c>
      <c r="E59" s="46">
        <v>28</v>
      </c>
      <c r="F59" s="46">
        <v>18</v>
      </c>
      <c r="G59" s="46">
        <v>10</v>
      </c>
      <c r="H59" s="46">
        <v>10</v>
      </c>
      <c r="I59" s="46">
        <v>10</v>
      </c>
      <c r="J59" s="46">
        <v>10</v>
      </c>
      <c r="K59" s="46">
        <v>10</v>
      </c>
      <c r="L59" s="46">
        <v>10</v>
      </c>
      <c r="M59" s="54"/>
      <c r="N59" s="3" t="s">
        <v>151</v>
      </c>
      <c r="O59" s="54"/>
    </row>
    <row r="60" spans="2:15" ht="15" thickBot="1">
      <c r="B60" s="30" t="s">
        <v>339</v>
      </c>
      <c r="C60" s="3" t="s">
        <v>239</v>
      </c>
      <c r="D60" s="41">
        <v>9500</v>
      </c>
      <c r="E60" s="41">
        <v>16500</v>
      </c>
      <c r="F60" s="41">
        <v>28700</v>
      </c>
      <c r="G60" s="41">
        <v>34600</v>
      </c>
      <c r="H60" s="41">
        <v>40900</v>
      </c>
      <c r="I60" s="41">
        <v>59200</v>
      </c>
      <c r="J60" s="41">
        <v>68500</v>
      </c>
      <c r="K60" s="41">
        <v>86100</v>
      </c>
      <c r="L60" s="41">
        <v>110700</v>
      </c>
      <c r="M60" s="52">
        <v>0.45</v>
      </c>
      <c r="N60" s="3" t="s">
        <v>151</v>
      </c>
      <c r="O60" s="55"/>
    </row>
    <row r="61" spans="2:15" ht="15" thickBot="1">
      <c r="B61" s="3" t="s">
        <v>242</v>
      </c>
      <c r="C61" s="3" t="s">
        <v>309</v>
      </c>
      <c r="D61" s="41">
        <v>76</v>
      </c>
      <c r="E61" s="41">
        <v>38</v>
      </c>
      <c r="F61" s="41">
        <v>19</v>
      </c>
      <c r="G61" s="41">
        <v>16</v>
      </c>
      <c r="H61" s="41">
        <v>15</v>
      </c>
      <c r="I61" s="41">
        <v>14</v>
      </c>
      <c r="J61" s="41">
        <v>14</v>
      </c>
      <c r="K61" s="41">
        <v>13</v>
      </c>
      <c r="L61" s="41">
        <v>12</v>
      </c>
      <c r="M61" s="13"/>
      <c r="N61" s="3" t="s">
        <v>151</v>
      </c>
      <c r="O61" s="13" t="s">
        <v>240</v>
      </c>
    </row>
    <row r="62" spans="2:15" ht="15" thickBot="1">
      <c r="B62" s="1" t="s">
        <v>246</v>
      </c>
      <c r="C62" s="2" t="s">
        <v>216</v>
      </c>
      <c r="D62" s="1"/>
      <c r="E62" s="1"/>
      <c r="F62" s="1"/>
      <c r="G62" s="1"/>
      <c r="H62" s="1"/>
      <c r="I62" s="1"/>
      <c r="J62" s="1"/>
      <c r="K62" s="1"/>
      <c r="L62" s="1"/>
      <c r="M62" s="1"/>
      <c r="N62" s="1"/>
      <c r="O62" s="1"/>
    </row>
    <row r="63" spans="2:15" ht="15" thickBot="1">
      <c r="B63" s="3" t="s">
        <v>343</v>
      </c>
      <c r="C63" s="30" t="s">
        <v>231</v>
      </c>
      <c r="D63" s="41">
        <v>671</v>
      </c>
      <c r="E63" s="41">
        <v>540</v>
      </c>
      <c r="F63" s="41">
        <v>469</v>
      </c>
      <c r="G63" s="41">
        <v>385</v>
      </c>
      <c r="H63" s="41">
        <v>352</v>
      </c>
      <c r="I63" s="41">
        <v>329</v>
      </c>
      <c r="J63" s="41">
        <v>310</v>
      </c>
      <c r="K63" s="41">
        <v>284</v>
      </c>
      <c r="L63" s="41">
        <v>257</v>
      </c>
      <c r="M63" s="3"/>
      <c r="N63" s="3" t="s">
        <v>172</v>
      </c>
      <c r="O63" s="3" t="s">
        <v>252</v>
      </c>
    </row>
    <row r="64" spans="2:15" ht="15" thickBot="1">
      <c r="B64" s="3" t="s">
        <v>343</v>
      </c>
      <c r="C64" s="30" t="s">
        <v>239</v>
      </c>
      <c r="D64" s="34">
        <v>3350</v>
      </c>
      <c r="E64" s="34">
        <v>5400</v>
      </c>
      <c r="F64" s="34">
        <v>9370</v>
      </c>
      <c r="G64" s="34">
        <v>11550</v>
      </c>
      <c r="H64" s="34">
        <v>14080</v>
      </c>
      <c r="I64" s="34">
        <v>16430</v>
      </c>
      <c r="J64" s="34">
        <v>18630</v>
      </c>
      <c r="K64" s="34">
        <v>22720</v>
      </c>
      <c r="L64" s="34">
        <v>28300</v>
      </c>
      <c r="M64" s="3"/>
      <c r="N64" s="3"/>
      <c r="O64" s="3"/>
    </row>
    <row r="65" spans="2:15" ht="15" thickBot="1">
      <c r="B65" s="30" t="s">
        <v>258</v>
      </c>
      <c r="C65" s="30" t="s">
        <v>239</v>
      </c>
      <c r="D65" s="41">
        <v>1025</v>
      </c>
      <c r="E65" s="41">
        <v>1025</v>
      </c>
      <c r="F65" s="41">
        <v>1726</v>
      </c>
      <c r="G65" s="41">
        <v>1726</v>
      </c>
      <c r="H65" s="41">
        <v>11445</v>
      </c>
      <c r="I65" s="41">
        <v>11445</v>
      </c>
      <c r="J65" s="41">
        <v>11445</v>
      </c>
      <c r="K65" s="41">
        <v>15260</v>
      </c>
      <c r="L65" s="41">
        <v>15260</v>
      </c>
      <c r="M65" s="3"/>
      <c r="N65" s="3" t="s">
        <v>151</v>
      </c>
      <c r="O65" s="3" t="s">
        <v>249</v>
      </c>
    </row>
    <row r="66" spans="2:15" ht="15" thickBot="1">
      <c r="B66" s="36" t="s">
        <v>259</v>
      </c>
      <c r="C66" s="30" t="s">
        <v>260</v>
      </c>
      <c r="D66" s="41">
        <v>500</v>
      </c>
      <c r="E66" s="41">
        <v>500</v>
      </c>
      <c r="F66" s="41">
        <v>1000</v>
      </c>
      <c r="G66" s="41">
        <v>1000</v>
      </c>
      <c r="H66" s="41">
        <v>1500</v>
      </c>
      <c r="I66" s="41">
        <v>1500</v>
      </c>
      <c r="J66" s="41">
        <v>1500</v>
      </c>
      <c r="K66" s="41">
        <v>2000</v>
      </c>
      <c r="L66" s="41">
        <v>2000</v>
      </c>
      <c r="M66" s="3"/>
      <c r="N66" s="3"/>
      <c r="O66" s="3"/>
    </row>
    <row r="67" spans="2:15" ht="15" thickBot="1">
      <c r="B67" s="36" t="s">
        <v>261</v>
      </c>
      <c r="C67" s="30" t="s">
        <v>262</v>
      </c>
      <c r="D67" s="42">
        <v>2</v>
      </c>
      <c r="E67" s="42">
        <v>2</v>
      </c>
      <c r="F67" s="42">
        <v>1.7</v>
      </c>
      <c r="G67" s="42">
        <v>1.7</v>
      </c>
      <c r="H67" s="42">
        <v>7.6</v>
      </c>
      <c r="I67" s="42">
        <v>7.6</v>
      </c>
      <c r="J67" s="42">
        <v>7.6</v>
      </c>
      <c r="K67" s="42">
        <v>7.6</v>
      </c>
      <c r="L67" s="42">
        <v>7.6</v>
      </c>
      <c r="M67" s="3"/>
      <c r="N67" s="3" t="s">
        <v>151</v>
      </c>
      <c r="O67" s="3"/>
    </row>
    <row r="68" spans="2:15" ht="15" thickBot="1">
      <c r="B68" s="38" t="s">
        <v>263</v>
      </c>
      <c r="C68" s="39" t="s">
        <v>239</v>
      </c>
      <c r="D68" s="40">
        <v>13900</v>
      </c>
      <c r="E68" s="40">
        <v>22900</v>
      </c>
      <c r="F68" s="40">
        <v>39800</v>
      </c>
      <c r="G68" s="40">
        <v>47900</v>
      </c>
      <c r="H68" s="40">
        <v>66400</v>
      </c>
      <c r="I68" s="40">
        <v>87100</v>
      </c>
      <c r="J68" s="40">
        <v>98600</v>
      </c>
      <c r="K68" s="40">
        <v>124100</v>
      </c>
      <c r="L68" s="40">
        <v>154300</v>
      </c>
      <c r="M68" s="52">
        <v>0.45</v>
      </c>
      <c r="N68" s="3"/>
      <c r="O68" s="3"/>
    </row>
    <row r="69" spans="2:15">
      <c r="D69" s="56"/>
      <c r="E69" s="56"/>
      <c r="F69" s="56"/>
      <c r="G69" s="56"/>
      <c r="H69" s="56"/>
      <c r="I69" s="56"/>
      <c r="J69" s="56"/>
      <c r="K69" s="56"/>
      <c r="L69" s="56"/>
    </row>
    <row r="70" spans="2:15">
      <c r="D70" s="56"/>
      <c r="E70" s="56"/>
      <c r="F70" s="56"/>
      <c r="G70" s="56"/>
      <c r="H70" s="56"/>
      <c r="I70" s="56"/>
      <c r="J70" s="56"/>
      <c r="K70" s="56"/>
      <c r="L70" s="56"/>
    </row>
  </sheetData>
  <mergeCells count="1">
    <mergeCell ref="G2:L3"/>
  </mergeCells>
  <conditionalFormatting sqref="M15">
    <cfRule type="colorScale" priority="6">
      <colorScale>
        <cfvo type="num" val="0"/>
        <cfvo type="num" val="0.5"/>
        <color theme="0"/>
        <color theme="5"/>
      </colorScale>
    </cfRule>
  </conditionalFormatting>
  <conditionalFormatting sqref="M23">
    <cfRule type="colorScale" priority="5">
      <colorScale>
        <cfvo type="num" val="0"/>
        <cfvo type="num" val="0.5"/>
        <color theme="0"/>
        <color theme="5"/>
      </colorScale>
    </cfRule>
  </conditionalFormatting>
  <conditionalFormatting sqref="M35 M12 M57 AB8:AB9 M7:M9 M30:M32 M52:M54">
    <cfRule type="colorScale" priority="7">
      <colorScale>
        <cfvo type="num" val="0"/>
        <cfvo type="num" val="0.5"/>
        <color theme="0"/>
        <color theme="5"/>
      </colorScale>
    </cfRule>
  </conditionalFormatting>
  <conditionalFormatting sqref="M38">
    <cfRule type="colorScale" priority="4">
      <colorScale>
        <cfvo type="num" val="0"/>
        <cfvo type="num" val="0.5"/>
        <color theme="0"/>
        <color theme="5"/>
      </colorScale>
    </cfRule>
  </conditionalFormatting>
  <conditionalFormatting sqref="M46">
    <cfRule type="colorScale" priority="3">
      <colorScale>
        <cfvo type="num" val="0"/>
        <cfvo type="num" val="0.5"/>
        <color theme="0"/>
        <color theme="5"/>
      </colorScale>
    </cfRule>
  </conditionalFormatting>
  <conditionalFormatting sqref="M60">
    <cfRule type="colorScale" priority="2">
      <colorScale>
        <cfvo type="num" val="0"/>
        <cfvo type="num" val="0.5"/>
        <color theme="0"/>
        <color theme="5"/>
      </colorScale>
    </cfRule>
  </conditionalFormatting>
  <conditionalFormatting sqref="M68">
    <cfRule type="colorScale" priority="1">
      <colorScale>
        <cfvo type="num" val="0"/>
        <cfvo type="num" val="0.5"/>
        <color theme="0"/>
        <color theme="5"/>
      </colorScale>
    </cfRule>
  </conditionalFormatting>
  <hyperlinks>
    <hyperlink ref="A1" location="Inhalt!A1" display="Zum Inhalt" xr:uid="{D262BA70-BD05-4362-A303-3D0A90F39B10}"/>
  </hyperlinks>
  <pageMargins left="0.7" right="0.7" top="0.78740157499999996" bottom="0.78740157499999996" header="0.3" footer="0.3"/>
  <pageSetup paperSize="9"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A15CA-277A-410E-B04F-12AC47329A55}">
  <sheetPr codeName="Tabelle13"/>
  <dimension ref="A1:AC80"/>
  <sheetViews>
    <sheetView zoomScaleNormal="100" workbookViewId="0"/>
  </sheetViews>
  <sheetFormatPr baseColWidth="10" defaultColWidth="11.44140625" defaultRowHeight="14.4"/>
  <cols>
    <col min="2" max="2" width="43.5546875" customWidth="1"/>
    <col min="17" max="17" width="12.88671875" customWidth="1"/>
  </cols>
  <sheetData>
    <row r="1" spans="1:29" ht="28.2" thickBot="1">
      <c r="A1" s="99" t="s">
        <v>143</v>
      </c>
    </row>
    <row r="2" spans="1:29">
      <c r="H2" s="142" t="s">
        <v>212</v>
      </c>
      <c r="I2" s="143"/>
      <c r="J2" s="143"/>
      <c r="K2" s="143"/>
      <c r="L2" s="143"/>
      <c r="M2" s="144"/>
    </row>
    <row r="3" spans="1:29" ht="19.5" customHeight="1" thickBot="1">
      <c r="B3" s="4" t="s">
        <v>213</v>
      </c>
      <c r="C3" s="4" t="s">
        <v>71</v>
      </c>
      <c r="H3" s="145"/>
      <c r="I3" s="146"/>
      <c r="J3" s="146"/>
      <c r="K3" s="146"/>
      <c r="L3" s="146"/>
      <c r="M3" s="147"/>
    </row>
    <row r="4" spans="1:29">
      <c r="B4" s="4" t="s">
        <v>214</v>
      </c>
      <c r="C4" s="4">
        <v>2023</v>
      </c>
    </row>
    <row r="5" spans="1:29" ht="15" thickBot="1">
      <c r="B5" s="1" t="s">
        <v>215</v>
      </c>
      <c r="C5" s="2" t="s">
        <v>216</v>
      </c>
      <c r="D5" s="1"/>
      <c r="E5" s="2"/>
      <c r="F5" s="1"/>
      <c r="G5" s="1"/>
      <c r="H5" s="1"/>
      <c r="I5" s="1"/>
      <c r="J5" s="1"/>
      <c r="K5" s="1"/>
      <c r="L5" s="1"/>
      <c r="M5" s="1" t="s">
        <v>217</v>
      </c>
      <c r="N5" s="1" t="s">
        <v>147</v>
      </c>
      <c r="O5" s="1" t="s">
        <v>148</v>
      </c>
      <c r="Q5" s="4" t="s">
        <v>218</v>
      </c>
      <c r="R5" s="12" t="s">
        <v>219</v>
      </c>
    </row>
    <row r="6" spans="1:29" ht="15" thickBot="1">
      <c r="B6" s="3" t="s">
        <v>220</v>
      </c>
      <c r="C6" s="30" t="s">
        <v>221</v>
      </c>
      <c r="D6" s="3">
        <v>5</v>
      </c>
      <c r="E6" s="31">
        <v>10</v>
      </c>
      <c r="F6" s="3">
        <v>20</v>
      </c>
      <c r="G6" s="3">
        <v>30</v>
      </c>
      <c r="H6" s="3">
        <v>40</v>
      </c>
      <c r="I6" s="3">
        <v>50</v>
      </c>
      <c r="J6" s="3">
        <v>60</v>
      </c>
      <c r="K6" s="3">
        <v>80</v>
      </c>
      <c r="L6" s="3">
        <v>110</v>
      </c>
      <c r="M6" s="3"/>
      <c r="N6" s="3"/>
      <c r="O6" s="3" t="s">
        <v>250</v>
      </c>
      <c r="Q6" s="4" t="s">
        <v>214</v>
      </c>
      <c r="R6" s="4">
        <v>2023</v>
      </c>
      <c r="S6" s="4">
        <v>2030</v>
      </c>
      <c r="T6" s="4">
        <v>2040</v>
      </c>
    </row>
    <row r="7" spans="1:29" ht="15" thickBot="1">
      <c r="B7" s="3" t="s">
        <v>329</v>
      </c>
      <c r="C7" s="5"/>
      <c r="D7" s="3">
        <v>5.35</v>
      </c>
      <c r="E7" s="3">
        <v>5.35</v>
      </c>
      <c r="F7" s="3">
        <v>5.35</v>
      </c>
      <c r="G7" s="3">
        <v>5.35</v>
      </c>
      <c r="H7" s="3">
        <v>5.35</v>
      </c>
      <c r="I7" s="3">
        <v>5.35</v>
      </c>
      <c r="J7" s="3">
        <v>5.35</v>
      </c>
      <c r="K7" s="3">
        <v>5.35</v>
      </c>
      <c r="L7" s="3">
        <v>5.35</v>
      </c>
      <c r="M7" s="33">
        <v>0.1</v>
      </c>
      <c r="N7" s="3" t="s">
        <v>290</v>
      </c>
      <c r="O7" s="3"/>
      <c r="Q7" s="12" t="s">
        <v>225</v>
      </c>
      <c r="R7" s="12">
        <v>6760</v>
      </c>
      <c r="S7" s="12">
        <v>6415.5</v>
      </c>
      <c r="T7" s="12">
        <v>6213.1</v>
      </c>
    </row>
    <row r="8" spans="1:29" ht="15" thickBot="1">
      <c r="B8" s="3" t="s">
        <v>332</v>
      </c>
      <c r="C8" s="5"/>
      <c r="D8" s="3">
        <v>4.55</v>
      </c>
      <c r="E8" s="3">
        <v>4.55</v>
      </c>
      <c r="F8" s="3">
        <v>4.55</v>
      </c>
      <c r="G8" s="3">
        <v>4.55</v>
      </c>
      <c r="H8" s="3">
        <v>4.55</v>
      </c>
      <c r="I8" s="3">
        <v>4.55</v>
      </c>
      <c r="J8" s="3">
        <v>4.55</v>
      </c>
      <c r="K8" s="3">
        <v>4.55</v>
      </c>
      <c r="L8" s="3">
        <v>4.55</v>
      </c>
      <c r="M8" s="33">
        <v>0.1</v>
      </c>
      <c r="N8" s="3" t="s">
        <v>290</v>
      </c>
      <c r="O8" s="3" t="s">
        <v>252</v>
      </c>
      <c r="Q8" s="12" t="s">
        <v>228</v>
      </c>
      <c r="R8" s="12">
        <v>-0.26700000000000002</v>
      </c>
      <c r="S8" s="12">
        <v>-0.24199999999999999</v>
      </c>
      <c r="T8" s="12">
        <v>-0.20200000000000001</v>
      </c>
      <c r="AC8" s="44"/>
    </row>
    <row r="9" spans="1:29" ht="15" thickBot="1">
      <c r="B9" s="3" t="s">
        <v>334</v>
      </c>
      <c r="C9" s="5"/>
      <c r="D9" s="51">
        <v>3.96</v>
      </c>
      <c r="E9" s="51">
        <v>3.96</v>
      </c>
      <c r="F9" s="51">
        <v>3.96</v>
      </c>
      <c r="G9" s="51">
        <v>3.96</v>
      </c>
      <c r="H9" s="51">
        <v>3.96</v>
      </c>
      <c r="I9" s="51">
        <v>3.96</v>
      </c>
      <c r="J9" s="51">
        <v>3.96</v>
      </c>
      <c r="K9" s="51">
        <v>3.96</v>
      </c>
      <c r="L9" s="51">
        <v>3.96</v>
      </c>
      <c r="M9" s="33">
        <v>0.1</v>
      </c>
      <c r="N9" s="3" t="s">
        <v>290</v>
      </c>
      <c r="O9" s="3" t="s">
        <v>252</v>
      </c>
      <c r="Q9" s="12" t="s">
        <v>23</v>
      </c>
      <c r="R9" s="12" t="s">
        <v>349</v>
      </c>
      <c r="AC9" s="44"/>
    </row>
    <row r="10" spans="1:29" ht="15" thickBot="1">
      <c r="B10" s="3" t="s">
        <v>226</v>
      </c>
      <c r="C10" s="5" t="s">
        <v>227</v>
      </c>
      <c r="D10" s="3">
        <v>20</v>
      </c>
      <c r="E10" s="3">
        <v>20</v>
      </c>
      <c r="F10" s="3">
        <v>20</v>
      </c>
      <c r="G10" s="3">
        <v>20</v>
      </c>
      <c r="H10" s="3">
        <v>20</v>
      </c>
      <c r="I10" s="3">
        <v>20</v>
      </c>
      <c r="J10" s="3">
        <v>20</v>
      </c>
      <c r="K10" s="3">
        <v>20</v>
      </c>
      <c r="L10" s="3">
        <v>20</v>
      </c>
      <c r="M10" s="3"/>
      <c r="N10" s="3" t="s">
        <v>151</v>
      </c>
      <c r="O10" s="3"/>
    </row>
    <row r="11" spans="1:29" ht="15" thickBot="1">
      <c r="B11" s="1" t="s">
        <v>229</v>
      </c>
      <c r="C11" s="2" t="s">
        <v>216</v>
      </c>
      <c r="D11" s="1"/>
      <c r="E11" s="1"/>
      <c r="F11" s="1"/>
      <c r="G11" s="1"/>
      <c r="H11" s="1"/>
      <c r="I11" s="1"/>
      <c r="J11" s="1"/>
      <c r="K11" s="1"/>
      <c r="L11" s="1"/>
      <c r="M11" s="1"/>
      <c r="N11" s="1"/>
      <c r="O11" s="1"/>
      <c r="Q11" s="4" t="s">
        <v>234</v>
      </c>
      <c r="R11" s="12" t="s">
        <v>306</v>
      </c>
    </row>
    <row r="12" spans="1:29" ht="15" thickBot="1">
      <c r="B12" s="3" t="s">
        <v>230</v>
      </c>
      <c r="C12" s="3" t="s">
        <v>231</v>
      </c>
      <c r="D12" s="41">
        <v>3012</v>
      </c>
      <c r="E12" s="41">
        <v>1938</v>
      </c>
      <c r="F12" s="41">
        <v>1271</v>
      </c>
      <c r="G12" s="41">
        <v>1000</v>
      </c>
      <c r="H12" s="41">
        <v>846</v>
      </c>
      <c r="I12" s="41">
        <v>744</v>
      </c>
      <c r="J12" s="41">
        <v>671</v>
      </c>
      <c r="K12" s="41">
        <v>570</v>
      </c>
      <c r="L12" s="41">
        <v>477</v>
      </c>
      <c r="M12" s="52">
        <v>0.25</v>
      </c>
      <c r="N12" s="3" t="s">
        <v>151</v>
      </c>
      <c r="O12" s="3" t="s">
        <v>224</v>
      </c>
    </row>
    <row r="13" spans="1:29" ht="15" thickBot="1">
      <c r="B13" s="36" t="s">
        <v>236</v>
      </c>
      <c r="C13" s="3" t="s">
        <v>223</v>
      </c>
      <c r="D13" s="46">
        <v>72</v>
      </c>
      <c r="E13" s="46">
        <v>78</v>
      </c>
      <c r="F13" s="46">
        <v>84</v>
      </c>
      <c r="G13" s="46">
        <v>86</v>
      </c>
      <c r="H13" s="46">
        <v>88</v>
      </c>
      <c r="I13" s="46">
        <v>89</v>
      </c>
      <c r="J13" s="46">
        <v>90</v>
      </c>
      <c r="K13" s="46">
        <v>90</v>
      </c>
      <c r="L13" s="46">
        <v>90</v>
      </c>
      <c r="M13" s="3"/>
      <c r="N13" s="3" t="s">
        <v>151</v>
      </c>
      <c r="O13" s="3"/>
      <c r="Q13" s="4" t="s">
        <v>148</v>
      </c>
    </row>
    <row r="14" spans="1:29" ht="15" thickBot="1">
      <c r="B14" s="36" t="s">
        <v>237</v>
      </c>
      <c r="C14" s="3" t="s">
        <v>223</v>
      </c>
      <c r="D14" s="46">
        <v>28</v>
      </c>
      <c r="E14" s="46">
        <v>22</v>
      </c>
      <c r="F14" s="46">
        <v>16</v>
      </c>
      <c r="G14" s="46">
        <v>14</v>
      </c>
      <c r="H14" s="46">
        <v>12</v>
      </c>
      <c r="I14" s="46">
        <v>11</v>
      </c>
      <c r="J14" s="46">
        <v>10</v>
      </c>
      <c r="K14" s="46">
        <v>10</v>
      </c>
      <c r="L14" s="46">
        <v>10</v>
      </c>
      <c r="M14" s="3"/>
      <c r="N14" s="3" t="s">
        <v>151</v>
      </c>
      <c r="O14" s="3" t="s">
        <v>240</v>
      </c>
      <c r="Q14" s="12" t="s">
        <v>240</v>
      </c>
      <c r="R14" s="12" t="s">
        <v>350</v>
      </c>
    </row>
    <row r="15" spans="1:29" ht="15" thickBot="1">
      <c r="B15" s="30" t="s">
        <v>351</v>
      </c>
      <c r="C15" s="3" t="s">
        <v>231</v>
      </c>
      <c r="D15" s="41">
        <v>1635</v>
      </c>
      <c r="E15" s="41">
        <v>1635</v>
      </c>
      <c r="F15" s="41">
        <v>1635</v>
      </c>
      <c r="G15" s="41">
        <v>1635</v>
      </c>
      <c r="H15" s="41">
        <v>1635</v>
      </c>
      <c r="I15" s="41">
        <v>1635</v>
      </c>
      <c r="J15" s="41">
        <v>1635</v>
      </c>
      <c r="K15" s="41">
        <v>1635</v>
      </c>
      <c r="L15" s="41">
        <v>1635</v>
      </c>
      <c r="M15" s="3"/>
      <c r="N15" s="3" t="s">
        <v>151</v>
      </c>
      <c r="O15" s="3"/>
      <c r="Q15" s="12" t="s">
        <v>244</v>
      </c>
      <c r="R15" s="12" t="s">
        <v>340</v>
      </c>
    </row>
    <row r="16" spans="1:29" ht="15" thickBot="1">
      <c r="B16" s="30" t="s">
        <v>352</v>
      </c>
      <c r="C16" s="3" t="s">
        <v>231</v>
      </c>
      <c r="D16" s="41">
        <v>4647</v>
      </c>
      <c r="E16" s="41">
        <v>3573</v>
      </c>
      <c r="F16" s="41">
        <v>2906</v>
      </c>
      <c r="G16" s="41">
        <v>2635</v>
      </c>
      <c r="H16" s="41">
        <v>2481</v>
      </c>
      <c r="I16" s="41">
        <v>2379</v>
      </c>
      <c r="J16" s="41">
        <v>2306</v>
      </c>
      <c r="K16" s="41">
        <v>2205</v>
      </c>
      <c r="L16" s="41">
        <v>2112</v>
      </c>
      <c r="M16" s="52">
        <v>0.25</v>
      </c>
      <c r="N16" s="3"/>
      <c r="O16" s="3"/>
      <c r="Q16" s="12" t="s">
        <v>224</v>
      </c>
      <c r="R16" s="12" t="s">
        <v>353</v>
      </c>
    </row>
    <row r="17" spans="2:18" ht="15" thickBot="1">
      <c r="B17" s="30" t="s">
        <v>263</v>
      </c>
      <c r="C17" s="3" t="s">
        <v>239</v>
      </c>
      <c r="D17" s="41">
        <v>23200</v>
      </c>
      <c r="E17" s="41">
        <v>35700</v>
      </c>
      <c r="F17" s="41">
        <v>58100</v>
      </c>
      <c r="G17" s="41">
        <v>79000</v>
      </c>
      <c r="H17" s="41">
        <v>99200</v>
      </c>
      <c r="I17" s="41">
        <v>118900</v>
      </c>
      <c r="J17" s="41">
        <v>138300</v>
      </c>
      <c r="K17" s="41">
        <v>176400</v>
      </c>
      <c r="L17" s="41">
        <v>232300</v>
      </c>
      <c r="M17" s="52">
        <v>0.25</v>
      </c>
      <c r="N17" s="3"/>
      <c r="O17" s="3"/>
      <c r="Q17" s="12" t="s">
        <v>250</v>
      </c>
      <c r="R17" s="12" t="s">
        <v>354</v>
      </c>
    </row>
    <row r="18" spans="2:18" ht="15" thickBot="1">
      <c r="B18" s="3" t="s">
        <v>242</v>
      </c>
      <c r="C18" s="3" t="s">
        <v>309</v>
      </c>
      <c r="D18" s="41">
        <v>76</v>
      </c>
      <c r="E18" s="41">
        <v>38</v>
      </c>
      <c r="F18" s="41">
        <v>19</v>
      </c>
      <c r="G18" s="41">
        <v>15</v>
      </c>
      <c r="H18" s="41">
        <v>13</v>
      </c>
      <c r="I18" s="41">
        <v>11</v>
      </c>
      <c r="J18" s="41">
        <v>10</v>
      </c>
      <c r="K18" s="41">
        <v>9</v>
      </c>
      <c r="L18" s="41">
        <v>7</v>
      </c>
      <c r="M18" s="3"/>
      <c r="N18" s="3" t="s">
        <v>355</v>
      </c>
      <c r="O18" s="3" t="s">
        <v>244</v>
      </c>
      <c r="Q18" s="12" t="s">
        <v>252</v>
      </c>
      <c r="R18" s="12" t="s">
        <v>356</v>
      </c>
    </row>
    <row r="19" spans="2:18" ht="15" thickBot="1">
      <c r="B19" s="1" t="s">
        <v>246</v>
      </c>
      <c r="C19" s="2" t="s">
        <v>216</v>
      </c>
      <c r="D19" s="1"/>
      <c r="E19" s="1"/>
      <c r="F19" s="1"/>
      <c r="G19" s="1"/>
      <c r="H19" s="1"/>
      <c r="I19" s="1"/>
      <c r="J19" s="1"/>
      <c r="K19" s="1"/>
      <c r="L19" s="1"/>
      <c r="M19" s="1"/>
      <c r="N19" s="1"/>
      <c r="O19" s="1"/>
      <c r="Q19" s="12" t="s">
        <v>249</v>
      </c>
      <c r="R19" s="12" t="s">
        <v>345</v>
      </c>
    </row>
    <row r="20" spans="2:18" ht="15" thickBot="1">
      <c r="B20" s="3" t="s">
        <v>343</v>
      </c>
      <c r="C20" s="30" t="s">
        <v>231</v>
      </c>
      <c r="D20" s="41">
        <v>671</v>
      </c>
      <c r="E20" s="41">
        <v>540</v>
      </c>
      <c r="F20" s="41">
        <v>469</v>
      </c>
      <c r="G20" s="41">
        <v>385</v>
      </c>
      <c r="H20" s="41">
        <v>352</v>
      </c>
      <c r="I20" s="41">
        <v>329</v>
      </c>
      <c r="J20" s="41">
        <v>310</v>
      </c>
      <c r="K20" s="41">
        <v>284</v>
      </c>
      <c r="L20" s="41">
        <v>257</v>
      </c>
      <c r="M20" s="3"/>
      <c r="N20" s="3" t="s">
        <v>172</v>
      </c>
      <c r="O20" s="3" t="s">
        <v>249</v>
      </c>
      <c r="Q20" s="12" t="s">
        <v>243</v>
      </c>
      <c r="R20" s="12" t="s">
        <v>253</v>
      </c>
    </row>
    <row r="21" spans="2:18" ht="15" thickBot="1">
      <c r="B21" s="3" t="s">
        <v>343</v>
      </c>
      <c r="C21" s="30" t="s">
        <v>239</v>
      </c>
      <c r="D21" s="41">
        <v>3354</v>
      </c>
      <c r="E21" s="41">
        <v>5404</v>
      </c>
      <c r="F21" s="41">
        <v>9374</v>
      </c>
      <c r="G21" s="41">
        <v>11547</v>
      </c>
      <c r="H21" s="41">
        <v>14082</v>
      </c>
      <c r="I21" s="41">
        <v>16426</v>
      </c>
      <c r="J21" s="41">
        <v>18628</v>
      </c>
      <c r="K21" s="41">
        <v>22719</v>
      </c>
      <c r="L21" s="41">
        <v>28302</v>
      </c>
      <c r="M21" s="3"/>
      <c r="N21" s="3"/>
      <c r="O21" s="3"/>
      <c r="Q21" s="12"/>
    </row>
    <row r="22" spans="2:18" ht="15" thickBot="1">
      <c r="B22" s="3" t="s">
        <v>258</v>
      </c>
      <c r="C22" s="30" t="s">
        <v>239</v>
      </c>
      <c r="D22" s="41">
        <v>1025</v>
      </c>
      <c r="E22" s="41">
        <v>1025</v>
      </c>
      <c r="F22" s="41">
        <v>1726</v>
      </c>
      <c r="G22" s="41">
        <v>1726</v>
      </c>
      <c r="H22" s="41">
        <v>11445</v>
      </c>
      <c r="I22" s="41">
        <v>11445</v>
      </c>
      <c r="J22" s="41">
        <v>11445</v>
      </c>
      <c r="K22" s="41">
        <v>15260</v>
      </c>
      <c r="L22" s="41">
        <v>15260</v>
      </c>
      <c r="M22" s="3"/>
      <c r="N22" s="3" t="s">
        <v>151</v>
      </c>
      <c r="O22" s="3" t="s">
        <v>243</v>
      </c>
      <c r="Q22" s="4" t="s">
        <v>147</v>
      </c>
    </row>
    <row r="23" spans="2:18" ht="15" thickBot="1">
      <c r="B23" s="36" t="s">
        <v>259</v>
      </c>
      <c r="C23" s="30" t="s">
        <v>260</v>
      </c>
      <c r="D23" s="41">
        <v>500</v>
      </c>
      <c r="E23" s="41">
        <v>500</v>
      </c>
      <c r="F23" s="41">
        <v>1000</v>
      </c>
      <c r="G23" s="41">
        <v>1000</v>
      </c>
      <c r="H23" s="41">
        <v>1500</v>
      </c>
      <c r="I23" s="41">
        <v>1500</v>
      </c>
      <c r="J23" s="41">
        <v>1500</v>
      </c>
      <c r="K23" s="41">
        <v>2000</v>
      </c>
      <c r="L23" s="41">
        <v>2000</v>
      </c>
      <c r="M23" s="3"/>
      <c r="N23" s="3"/>
      <c r="O23" s="3"/>
      <c r="Q23" s="12" t="s">
        <v>151</v>
      </c>
      <c r="R23" s="12" t="s">
        <v>185</v>
      </c>
    </row>
    <row r="24" spans="2:18" ht="15" thickBot="1">
      <c r="B24" s="36" t="s">
        <v>261</v>
      </c>
      <c r="C24" s="30" t="s">
        <v>262</v>
      </c>
      <c r="D24" s="42">
        <v>2</v>
      </c>
      <c r="E24" s="42">
        <v>2</v>
      </c>
      <c r="F24" s="42">
        <v>1.7</v>
      </c>
      <c r="G24" s="42">
        <v>1.7</v>
      </c>
      <c r="H24" s="42">
        <v>7.6</v>
      </c>
      <c r="I24" s="42">
        <v>7.6</v>
      </c>
      <c r="J24" s="42">
        <v>7.6</v>
      </c>
      <c r="K24" s="42">
        <v>7.6</v>
      </c>
      <c r="L24" s="42">
        <v>7.6</v>
      </c>
      <c r="M24" s="3"/>
      <c r="N24" s="3" t="s">
        <v>151</v>
      </c>
      <c r="O24" s="3"/>
      <c r="Q24" s="12" t="s">
        <v>184</v>
      </c>
      <c r="R24" s="12" t="s">
        <v>357</v>
      </c>
    </row>
    <row r="25" spans="2:18" ht="15" thickBot="1">
      <c r="B25" s="38" t="s">
        <v>263</v>
      </c>
      <c r="C25" s="39" t="s">
        <v>239</v>
      </c>
      <c r="D25" s="40">
        <v>27600</v>
      </c>
      <c r="E25" s="40">
        <v>42100</v>
      </c>
      <c r="F25" s="40">
        <v>69200</v>
      </c>
      <c r="G25" s="40">
        <v>92300</v>
      </c>
      <c r="H25" s="40">
        <v>124700</v>
      </c>
      <c r="I25" s="40">
        <v>146800</v>
      </c>
      <c r="J25" s="40">
        <v>168400</v>
      </c>
      <c r="K25" s="40">
        <v>214400</v>
      </c>
      <c r="L25" s="40">
        <v>275900</v>
      </c>
      <c r="M25" s="52">
        <v>0.25</v>
      </c>
      <c r="N25" s="3"/>
      <c r="O25" s="3"/>
      <c r="Q25" s="12" t="s">
        <v>186</v>
      </c>
      <c r="R25" s="12" t="s">
        <v>358</v>
      </c>
    </row>
    <row r="26" spans="2:18">
      <c r="D26" s="57"/>
      <c r="E26" s="57"/>
      <c r="F26" s="57"/>
      <c r="G26" s="57"/>
      <c r="H26" s="57"/>
      <c r="I26" s="57"/>
      <c r="J26" s="57"/>
      <c r="K26" s="57"/>
      <c r="L26" s="57"/>
      <c r="Q26" s="12" t="s">
        <v>188</v>
      </c>
      <c r="R26" s="12" t="s">
        <v>359</v>
      </c>
    </row>
    <row r="27" spans="2:18">
      <c r="D27" s="57"/>
      <c r="E27" s="57"/>
      <c r="F27" s="57"/>
      <c r="G27" s="57"/>
      <c r="H27" s="57"/>
      <c r="I27" s="57"/>
      <c r="J27" s="57"/>
      <c r="K27" s="57"/>
      <c r="L27" s="57"/>
      <c r="Q27" s="12" t="s">
        <v>192</v>
      </c>
      <c r="R27" s="12" t="s">
        <v>360</v>
      </c>
    </row>
    <row r="28" spans="2:18">
      <c r="B28" s="4" t="s">
        <v>214</v>
      </c>
      <c r="C28" s="4">
        <v>2030</v>
      </c>
      <c r="Q28" s="12" t="s">
        <v>172</v>
      </c>
      <c r="R28" s="12" t="s">
        <v>267</v>
      </c>
    </row>
    <row r="29" spans="2:18" ht="15" thickBot="1">
      <c r="B29" s="1" t="s">
        <v>215</v>
      </c>
      <c r="C29" s="2" t="s">
        <v>216</v>
      </c>
      <c r="D29" s="1"/>
      <c r="E29" s="2"/>
      <c r="F29" s="1"/>
      <c r="G29" s="1"/>
      <c r="H29" s="1"/>
      <c r="I29" s="1"/>
      <c r="J29" s="1"/>
      <c r="K29" s="1"/>
      <c r="L29" s="1"/>
      <c r="M29" s="1" t="s">
        <v>217</v>
      </c>
      <c r="N29" s="1" t="s">
        <v>147</v>
      </c>
      <c r="O29" s="1" t="s">
        <v>148</v>
      </c>
    </row>
    <row r="30" spans="2:18" ht="15" thickBot="1">
      <c r="B30" s="3" t="s">
        <v>220</v>
      </c>
      <c r="C30" s="30" t="s">
        <v>221</v>
      </c>
      <c r="D30" s="3">
        <v>5</v>
      </c>
      <c r="E30" s="31">
        <v>10</v>
      </c>
      <c r="F30" s="3">
        <v>20</v>
      </c>
      <c r="G30" s="3">
        <v>30</v>
      </c>
      <c r="H30" s="3">
        <v>40</v>
      </c>
      <c r="I30" s="3">
        <v>50</v>
      </c>
      <c r="J30" s="3">
        <v>60</v>
      </c>
      <c r="K30" s="3">
        <v>80</v>
      </c>
      <c r="L30" s="3">
        <v>110</v>
      </c>
      <c r="M30" s="3"/>
      <c r="N30" s="3"/>
      <c r="O30" s="3" t="s">
        <v>250</v>
      </c>
    </row>
    <row r="31" spans="2:18" ht="15" thickBot="1">
      <c r="B31" s="3" t="s">
        <v>329</v>
      </c>
      <c r="C31" s="5"/>
      <c r="D31" s="51">
        <v>5.89</v>
      </c>
      <c r="E31" s="51">
        <v>5.89</v>
      </c>
      <c r="F31" s="51">
        <v>5.89</v>
      </c>
      <c r="G31" s="51">
        <v>5.89</v>
      </c>
      <c r="H31" s="51">
        <v>5.89</v>
      </c>
      <c r="I31" s="51">
        <v>5.89</v>
      </c>
      <c r="J31" s="51">
        <v>5.89</v>
      </c>
      <c r="K31" s="51">
        <v>5.89</v>
      </c>
      <c r="L31" s="51">
        <v>5.89</v>
      </c>
      <c r="M31" s="33">
        <v>0.1</v>
      </c>
      <c r="N31" s="3" t="s">
        <v>290</v>
      </c>
      <c r="O31" s="3"/>
      <c r="Q31" s="12"/>
    </row>
    <row r="32" spans="2:18" ht="15" thickBot="1">
      <c r="B32" s="3" t="s">
        <v>332</v>
      </c>
      <c r="C32" s="5"/>
      <c r="D32" s="51">
        <v>5.01</v>
      </c>
      <c r="E32" s="51">
        <v>5.01</v>
      </c>
      <c r="F32" s="51">
        <v>5.01</v>
      </c>
      <c r="G32" s="51">
        <v>5.01</v>
      </c>
      <c r="H32" s="51">
        <v>5.01</v>
      </c>
      <c r="I32" s="51">
        <v>5.01</v>
      </c>
      <c r="J32" s="51">
        <v>5.01</v>
      </c>
      <c r="K32" s="51">
        <v>5.01</v>
      </c>
      <c r="L32" s="51">
        <v>5.01</v>
      </c>
      <c r="M32" s="33">
        <v>0.1</v>
      </c>
      <c r="N32" s="3" t="s">
        <v>290</v>
      </c>
      <c r="O32" s="3" t="s">
        <v>252</v>
      </c>
      <c r="Q32" s="12"/>
    </row>
    <row r="33" spans="2:18" ht="15" thickBot="1">
      <c r="B33" s="3" t="s">
        <v>334</v>
      </c>
      <c r="C33" s="5"/>
      <c r="D33" s="51">
        <v>4.3499999999999996</v>
      </c>
      <c r="E33" s="51">
        <v>4.3499999999999996</v>
      </c>
      <c r="F33" s="51">
        <v>4.3499999999999996</v>
      </c>
      <c r="G33" s="51">
        <v>4.3499999999999996</v>
      </c>
      <c r="H33" s="51">
        <v>4.3499999999999996</v>
      </c>
      <c r="I33" s="51">
        <v>4.3499999999999996</v>
      </c>
      <c r="J33" s="51">
        <v>4.3499999999999996</v>
      </c>
      <c r="K33" s="51">
        <v>4.3499999999999996</v>
      </c>
      <c r="L33" s="51">
        <v>4.3499999999999996</v>
      </c>
      <c r="M33" s="33">
        <v>0.1</v>
      </c>
      <c r="N33" s="3" t="s">
        <v>290</v>
      </c>
      <c r="O33" s="3" t="s">
        <v>252</v>
      </c>
    </row>
    <row r="34" spans="2:18" ht="15" thickBot="1">
      <c r="B34" s="3" t="s">
        <v>226</v>
      </c>
      <c r="C34" s="5" t="s">
        <v>227</v>
      </c>
      <c r="D34" s="3">
        <v>20</v>
      </c>
      <c r="E34" s="3">
        <v>20</v>
      </c>
      <c r="F34" s="3">
        <v>20</v>
      </c>
      <c r="G34" s="3">
        <v>20</v>
      </c>
      <c r="H34" s="3">
        <v>20</v>
      </c>
      <c r="I34" s="3">
        <v>20</v>
      </c>
      <c r="J34" s="3">
        <v>20</v>
      </c>
      <c r="K34" s="3">
        <v>20</v>
      </c>
      <c r="L34" s="3">
        <v>20</v>
      </c>
      <c r="M34" s="3"/>
      <c r="N34" s="3" t="s">
        <v>151</v>
      </c>
      <c r="O34" s="3"/>
      <c r="Q34" s="4"/>
      <c r="R34" s="12"/>
    </row>
    <row r="35" spans="2:18" ht="15" thickBot="1">
      <c r="B35" s="1" t="s">
        <v>229</v>
      </c>
      <c r="C35" s="2" t="s">
        <v>216</v>
      </c>
      <c r="D35" s="1"/>
      <c r="E35" s="1"/>
      <c r="F35" s="1"/>
      <c r="G35" s="1"/>
      <c r="H35" s="1"/>
      <c r="I35" s="1"/>
      <c r="J35" s="1"/>
      <c r="K35" s="1"/>
      <c r="L35" s="1"/>
      <c r="M35" s="1"/>
      <c r="N35" s="1"/>
      <c r="O35" s="1"/>
      <c r="Q35" s="12"/>
    </row>
    <row r="36" spans="2:18" ht="15" thickBot="1">
      <c r="B36" s="3" t="s">
        <v>230</v>
      </c>
      <c r="C36" s="3" t="s">
        <v>231</v>
      </c>
      <c r="D36" s="41">
        <v>2780</v>
      </c>
      <c r="E36" s="41">
        <v>1788</v>
      </c>
      <c r="F36" s="41">
        <v>1172</v>
      </c>
      <c r="G36" s="41">
        <v>923</v>
      </c>
      <c r="H36" s="41">
        <v>780</v>
      </c>
      <c r="I36" s="41">
        <v>687</v>
      </c>
      <c r="J36" s="41">
        <v>619</v>
      </c>
      <c r="K36" s="41">
        <v>526</v>
      </c>
      <c r="L36" s="41">
        <v>440</v>
      </c>
      <c r="M36" s="52">
        <v>0.35</v>
      </c>
      <c r="N36" s="3" t="s">
        <v>151</v>
      </c>
      <c r="O36" s="3" t="s">
        <v>224</v>
      </c>
      <c r="Q36" s="12"/>
    </row>
    <row r="37" spans="2:18" ht="15" thickBot="1">
      <c r="B37" s="36" t="s">
        <v>236</v>
      </c>
      <c r="C37" s="3" t="s">
        <v>223</v>
      </c>
      <c r="D37" s="46">
        <v>67</v>
      </c>
      <c r="E37" s="46">
        <v>74</v>
      </c>
      <c r="F37" s="46">
        <v>80</v>
      </c>
      <c r="G37" s="46">
        <v>83</v>
      </c>
      <c r="H37" s="46">
        <v>85</v>
      </c>
      <c r="I37" s="46">
        <v>86</v>
      </c>
      <c r="J37" s="46">
        <v>87</v>
      </c>
      <c r="K37" s="46">
        <v>89</v>
      </c>
      <c r="L37" s="46">
        <v>90</v>
      </c>
      <c r="M37" s="3"/>
      <c r="N37" s="3" t="s">
        <v>151</v>
      </c>
      <c r="O37" s="3"/>
    </row>
    <row r="38" spans="2:18" ht="15" thickBot="1">
      <c r="B38" s="36" t="s">
        <v>237</v>
      </c>
      <c r="C38" s="3" t="s">
        <v>223</v>
      </c>
      <c r="D38" s="46">
        <v>33</v>
      </c>
      <c r="E38" s="46">
        <v>26</v>
      </c>
      <c r="F38" s="46">
        <v>20</v>
      </c>
      <c r="G38" s="46">
        <v>17</v>
      </c>
      <c r="H38" s="46">
        <v>15</v>
      </c>
      <c r="I38" s="46">
        <v>14</v>
      </c>
      <c r="J38" s="46">
        <v>13</v>
      </c>
      <c r="K38" s="46">
        <v>11</v>
      </c>
      <c r="L38" s="46">
        <v>10</v>
      </c>
      <c r="M38" s="3"/>
      <c r="N38" s="3" t="s">
        <v>151</v>
      </c>
      <c r="O38" s="3" t="s">
        <v>240</v>
      </c>
    </row>
    <row r="39" spans="2:18" ht="15" thickBot="1">
      <c r="B39" s="30" t="s">
        <v>351</v>
      </c>
      <c r="C39" s="3" t="s">
        <v>231</v>
      </c>
      <c r="D39" s="41">
        <v>1806</v>
      </c>
      <c r="E39" s="41">
        <v>1806</v>
      </c>
      <c r="F39" s="41">
        <v>1806</v>
      </c>
      <c r="G39" s="41">
        <v>1806</v>
      </c>
      <c r="H39" s="41">
        <v>1806</v>
      </c>
      <c r="I39" s="41">
        <v>1806</v>
      </c>
      <c r="J39" s="41">
        <v>1806</v>
      </c>
      <c r="K39" s="41">
        <v>1806</v>
      </c>
      <c r="L39" s="41">
        <v>1806</v>
      </c>
      <c r="M39" s="3"/>
      <c r="N39" s="3" t="s">
        <v>151</v>
      </c>
      <c r="O39" s="3"/>
    </row>
    <row r="40" spans="2:18" ht="15" thickBot="1">
      <c r="B40" s="30" t="s">
        <v>352</v>
      </c>
      <c r="C40" s="3" t="s">
        <v>231</v>
      </c>
      <c r="D40" s="41">
        <v>4586</v>
      </c>
      <c r="E40" s="41">
        <v>3594</v>
      </c>
      <c r="F40" s="41">
        <v>2978</v>
      </c>
      <c r="G40" s="41">
        <v>2729</v>
      </c>
      <c r="H40" s="41">
        <v>2587</v>
      </c>
      <c r="I40" s="41">
        <v>2493</v>
      </c>
      <c r="J40" s="41">
        <v>2425</v>
      </c>
      <c r="K40" s="41">
        <v>2332</v>
      </c>
      <c r="L40" s="41">
        <v>2246</v>
      </c>
      <c r="M40" s="52">
        <v>0.35</v>
      </c>
      <c r="N40" s="3"/>
      <c r="O40" s="3"/>
    </row>
    <row r="41" spans="2:18" ht="15" thickBot="1">
      <c r="B41" s="30" t="s">
        <v>263</v>
      </c>
      <c r="C41" s="3" t="s">
        <v>239</v>
      </c>
      <c r="D41" s="41">
        <v>22900</v>
      </c>
      <c r="E41" s="41">
        <v>35900</v>
      </c>
      <c r="F41" s="41">
        <v>59600</v>
      </c>
      <c r="G41" s="41">
        <v>81900</v>
      </c>
      <c r="H41" s="41">
        <v>103500</v>
      </c>
      <c r="I41" s="41">
        <v>124600</v>
      </c>
      <c r="J41" s="41">
        <v>145500</v>
      </c>
      <c r="K41" s="41">
        <v>186600</v>
      </c>
      <c r="L41" s="41">
        <v>247100</v>
      </c>
      <c r="M41" s="52">
        <v>0.35</v>
      </c>
      <c r="N41" s="3"/>
      <c r="O41" s="3"/>
    </row>
    <row r="42" spans="2:18" ht="15" thickBot="1">
      <c r="B42" s="3" t="s">
        <v>242</v>
      </c>
      <c r="C42" s="3" t="s">
        <v>309</v>
      </c>
      <c r="D42" s="41">
        <v>76</v>
      </c>
      <c r="E42" s="41">
        <v>38</v>
      </c>
      <c r="F42" s="41">
        <v>19</v>
      </c>
      <c r="G42" s="41">
        <v>14</v>
      </c>
      <c r="H42" s="41">
        <v>12</v>
      </c>
      <c r="I42" s="41">
        <v>10</v>
      </c>
      <c r="J42" s="41">
        <v>9</v>
      </c>
      <c r="K42" s="41">
        <v>8</v>
      </c>
      <c r="L42" s="41">
        <v>7</v>
      </c>
      <c r="M42" s="3"/>
      <c r="N42" s="3" t="s">
        <v>355</v>
      </c>
      <c r="O42" s="3" t="s">
        <v>244</v>
      </c>
    </row>
    <row r="43" spans="2:18" ht="15" thickBot="1">
      <c r="B43" s="1" t="s">
        <v>246</v>
      </c>
      <c r="C43" s="2" t="s">
        <v>216</v>
      </c>
      <c r="D43" s="1"/>
      <c r="E43" s="1"/>
      <c r="F43" s="1"/>
      <c r="G43" s="1"/>
      <c r="H43" s="1"/>
      <c r="I43" s="1"/>
      <c r="J43" s="1"/>
      <c r="K43" s="1"/>
      <c r="L43" s="1"/>
      <c r="M43" s="1"/>
      <c r="N43" s="1"/>
      <c r="O43" s="1"/>
    </row>
    <row r="44" spans="2:18" ht="15" thickBot="1">
      <c r="B44" s="3" t="s">
        <v>343</v>
      </c>
      <c r="C44" s="30" t="s">
        <v>231</v>
      </c>
      <c r="D44" s="41">
        <v>671</v>
      </c>
      <c r="E44" s="41">
        <v>540</v>
      </c>
      <c r="F44" s="41">
        <v>469</v>
      </c>
      <c r="G44" s="41">
        <v>385</v>
      </c>
      <c r="H44" s="41">
        <v>352</v>
      </c>
      <c r="I44" s="41">
        <v>329</v>
      </c>
      <c r="J44" s="41">
        <v>310</v>
      </c>
      <c r="K44" s="41">
        <v>284</v>
      </c>
      <c r="L44" s="41">
        <v>257</v>
      </c>
      <c r="M44" s="3"/>
      <c r="N44" s="3" t="s">
        <v>172</v>
      </c>
      <c r="O44" s="3" t="s">
        <v>249</v>
      </c>
    </row>
    <row r="45" spans="2:18" ht="15" thickBot="1">
      <c r="B45" s="3" t="s">
        <v>343</v>
      </c>
      <c r="C45" s="30" t="s">
        <v>239</v>
      </c>
      <c r="D45" s="41">
        <v>3354</v>
      </c>
      <c r="E45" s="41">
        <v>5404</v>
      </c>
      <c r="F45" s="41">
        <v>9374</v>
      </c>
      <c r="G45" s="41">
        <v>11547</v>
      </c>
      <c r="H45" s="41">
        <v>14082</v>
      </c>
      <c r="I45" s="41">
        <v>16426</v>
      </c>
      <c r="J45" s="41">
        <v>18628</v>
      </c>
      <c r="K45" s="41">
        <v>22719</v>
      </c>
      <c r="L45" s="41">
        <v>28302</v>
      </c>
      <c r="M45" s="3"/>
      <c r="N45" s="3"/>
      <c r="O45" s="3"/>
    </row>
    <row r="46" spans="2:18" ht="15" thickBot="1">
      <c r="B46" s="3" t="s">
        <v>258</v>
      </c>
      <c r="C46" s="30" t="s">
        <v>239</v>
      </c>
      <c r="D46" s="41">
        <v>1025</v>
      </c>
      <c r="E46" s="41">
        <v>1025</v>
      </c>
      <c r="F46" s="41">
        <v>1726</v>
      </c>
      <c r="G46" s="41">
        <v>1726</v>
      </c>
      <c r="H46" s="41">
        <v>11445</v>
      </c>
      <c r="I46" s="41">
        <v>11445</v>
      </c>
      <c r="J46" s="41">
        <v>11445</v>
      </c>
      <c r="K46" s="41">
        <v>15260</v>
      </c>
      <c r="L46" s="41">
        <v>15260</v>
      </c>
      <c r="M46" s="3"/>
      <c r="N46" s="3" t="s">
        <v>151</v>
      </c>
      <c r="O46" s="3" t="s">
        <v>243</v>
      </c>
    </row>
    <row r="47" spans="2:18" ht="15" thickBot="1">
      <c r="B47" s="36" t="s">
        <v>259</v>
      </c>
      <c r="C47" s="30" t="s">
        <v>260</v>
      </c>
      <c r="D47" s="41">
        <v>500</v>
      </c>
      <c r="E47" s="41">
        <v>500</v>
      </c>
      <c r="F47" s="41">
        <v>1000</v>
      </c>
      <c r="G47" s="41">
        <v>1000</v>
      </c>
      <c r="H47" s="41">
        <v>1500</v>
      </c>
      <c r="I47" s="41">
        <v>1500</v>
      </c>
      <c r="J47" s="41">
        <v>1500</v>
      </c>
      <c r="K47" s="41">
        <v>2000</v>
      </c>
      <c r="L47" s="41">
        <v>2000</v>
      </c>
      <c r="M47" s="3"/>
      <c r="N47" s="3"/>
      <c r="O47" s="3"/>
    </row>
    <row r="48" spans="2:18" ht="15" thickBot="1">
      <c r="B48" s="36" t="s">
        <v>261</v>
      </c>
      <c r="C48" s="30" t="s">
        <v>262</v>
      </c>
      <c r="D48" s="42">
        <v>2</v>
      </c>
      <c r="E48" s="42">
        <v>2</v>
      </c>
      <c r="F48" s="42">
        <v>1.7</v>
      </c>
      <c r="G48" s="42">
        <v>1.7</v>
      </c>
      <c r="H48" s="42">
        <v>7.6</v>
      </c>
      <c r="I48" s="42">
        <v>7.6</v>
      </c>
      <c r="J48" s="42">
        <v>7.6</v>
      </c>
      <c r="K48" s="42">
        <v>7.6</v>
      </c>
      <c r="L48" s="42">
        <v>7.6</v>
      </c>
      <c r="M48" s="3"/>
      <c r="N48" s="3" t="s">
        <v>151</v>
      </c>
      <c r="O48" s="3"/>
    </row>
    <row r="49" spans="2:15" ht="15" thickBot="1">
      <c r="B49" s="38" t="s">
        <v>263</v>
      </c>
      <c r="C49" s="39" t="s">
        <v>239</v>
      </c>
      <c r="D49" s="40">
        <v>27300</v>
      </c>
      <c r="E49" s="40">
        <v>42300</v>
      </c>
      <c r="F49" s="40">
        <v>70700</v>
      </c>
      <c r="G49" s="40">
        <v>95200</v>
      </c>
      <c r="H49" s="40">
        <v>129000</v>
      </c>
      <c r="I49" s="40">
        <v>152500</v>
      </c>
      <c r="J49" s="40">
        <v>175600</v>
      </c>
      <c r="K49" s="40">
        <v>224600</v>
      </c>
      <c r="L49" s="40">
        <v>290700</v>
      </c>
      <c r="M49" s="52">
        <v>0.35</v>
      </c>
      <c r="N49" s="3"/>
      <c r="O49" s="3"/>
    </row>
    <row r="50" spans="2:15">
      <c r="D50" s="57"/>
      <c r="E50" s="57"/>
      <c r="F50" s="57"/>
      <c r="G50" s="57"/>
      <c r="H50" s="57"/>
      <c r="I50" s="57"/>
      <c r="J50" s="57"/>
      <c r="K50" s="57"/>
      <c r="L50" s="57"/>
    </row>
    <row r="51" spans="2:15">
      <c r="D51" s="57"/>
      <c r="E51" s="57"/>
      <c r="F51" s="57"/>
      <c r="G51" s="57"/>
      <c r="H51" s="57"/>
      <c r="I51" s="57"/>
      <c r="J51" s="57"/>
      <c r="K51" s="57"/>
      <c r="L51" s="57"/>
    </row>
    <row r="52" spans="2:15">
      <c r="B52" s="4" t="s">
        <v>214</v>
      </c>
      <c r="C52" s="4">
        <v>2040</v>
      </c>
    </row>
    <row r="53" spans="2:15" ht="15" thickBot="1">
      <c r="B53" s="1" t="s">
        <v>215</v>
      </c>
      <c r="C53" s="2" t="s">
        <v>216</v>
      </c>
      <c r="D53" s="1"/>
      <c r="E53" s="2"/>
      <c r="F53" s="1"/>
      <c r="G53" s="1"/>
      <c r="H53" s="1"/>
      <c r="I53" s="1"/>
      <c r="J53" s="1"/>
      <c r="K53" s="1"/>
      <c r="L53" s="1"/>
      <c r="M53" s="1" t="s">
        <v>217</v>
      </c>
      <c r="N53" s="1" t="s">
        <v>147</v>
      </c>
      <c r="O53" s="1" t="s">
        <v>148</v>
      </c>
    </row>
    <row r="54" spans="2:15" ht="15" thickBot="1">
      <c r="B54" s="3" t="s">
        <v>220</v>
      </c>
      <c r="C54" s="30" t="s">
        <v>221</v>
      </c>
      <c r="D54" s="3">
        <v>5</v>
      </c>
      <c r="E54" s="31">
        <v>10</v>
      </c>
      <c r="F54" s="3">
        <v>20</v>
      </c>
      <c r="G54" s="3">
        <v>30</v>
      </c>
      <c r="H54" s="3">
        <v>40</v>
      </c>
      <c r="I54" s="3">
        <v>50</v>
      </c>
      <c r="J54" s="3">
        <v>60</v>
      </c>
      <c r="K54" s="3">
        <v>80</v>
      </c>
      <c r="L54" s="3">
        <v>110</v>
      </c>
      <c r="M54" s="3"/>
      <c r="N54" s="3"/>
      <c r="O54" s="3" t="s">
        <v>250</v>
      </c>
    </row>
    <row r="55" spans="2:15" ht="15" thickBot="1">
      <c r="B55" s="3" t="s">
        <v>329</v>
      </c>
      <c r="C55" s="5"/>
      <c r="D55" s="51">
        <v>6.94</v>
      </c>
      <c r="E55" s="51">
        <v>6.94</v>
      </c>
      <c r="F55" s="51">
        <v>6.94</v>
      </c>
      <c r="G55" s="51">
        <v>6.94</v>
      </c>
      <c r="H55" s="51">
        <v>6.94</v>
      </c>
      <c r="I55" s="51">
        <v>6.94</v>
      </c>
      <c r="J55" s="51">
        <v>6.94</v>
      </c>
      <c r="K55" s="51">
        <v>6.94</v>
      </c>
      <c r="L55" s="51">
        <v>6.94</v>
      </c>
      <c r="M55" s="33">
        <v>0.1</v>
      </c>
      <c r="N55" s="3" t="s">
        <v>290</v>
      </c>
      <c r="O55" s="3"/>
    </row>
    <row r="56" spans="2:15" ht="15" thickBot="1">
      <c r="B56" s="3" t="s">
        <v>332</v>
      </c>
      <c r="C56" s="5"/>
      <c r="D56" s="51">
        <v>5.91</v>
      </c>
      <c r="E56" s="51">
        <v>5.91</v>
      </c>
      <c r="F56" s="51">
        <v>5.91</v>
      </c>
      <c r="G56" s="51">
        <v>5.91</v>
      </c>
      <c r="H56" s="51">
        <v>5.91</v>
      </c>
      <c r="I56" s="51">
        <v>5.91</v>
      </c>
      <c r="J56" s="51">
        <v>5.91</v>
      </c>
      <c r="K56" s="51">
        <v>5.91</v>
      </c>
      <c r="L56" s="51">
        <v>5.91</v>
      </c>
      <c r="M56" s="33">
        <v>0.1</v>
      </c>
      <c r="N56" s="3" t="s">
        <v>290</v>
      </c>
      <c r="O56" s="3" t="s">
        <v>252</v>
      </c>
    </row>
    <row r="57" spans="2:15" ht="15" thickBot="1">
      <c r="B57" s="3" t="s">
        <v>334</v>
      </c>
      <c r="C57" s="5"/>
      <c r="D57" s="51">
        <v>5.14</v>
      </c>
      <c r="E57" s="51">
        <v>5.14</v>
      </c>
      <c r="F57" s="51">
        <v>5.14</v>
      </c>
      <c r="G57" s="51">
        <v>5.14</v>
      </c>
      <c r="H57" s="51">
        <v>5.14</v>
      </c>
      <c r="I57" s="51">
        <v>5.14</v>
      </c>
      <c r="J57" s="51">
        <v>5.14</v>
      </c>
      <c r="K57" s="51">
        <v>5.14</v>
      </c>
      <c r="L57" s="51">
        <v>5.14</v>
      </c>
      <c r="M57" s="33">
        <v>0.1</v>
      </c>
      <c r="N57" s="3" t="s">
        <v>290</v>
      </c>
      <c r="O57" s="3" t="s">
        <v>252</v>
      </c>
    </row>
    <row r="58" spans="2:15" ht="15" thickBot="1">
      <c r="B58" s="3" t="s">
        <v>226</v>
      </c>
      <c r="C58" s="5" t="s">
        <v>227</v>
      </c>
      <c r="D58" s="3">
        <v>20</v>
      </c>
      <c r="E58" s="3">
        <v>20</v>
      </c>
      <c r="F58" s="3">
        <v>20</v>
      </c>
      <c r="G58" s="3">
        <v>20</v>
      </c>
      <c r="H58" s="3">
        <v>20</v>
      </c>
      <c r="I58" s="3">
        <v>20</v>
      </c>
      <c r="J58" s="3">
        <v>20</v>
      </c>
      <c r="K58" s="3">
        <v>20</v>
      </c>
      <c r="L58" s="3">
        <v>20</v>
      </c>
      <c r="M58" s="3"/>
      <c r="N58" s="3" t="s">
        <v>151</v>
      </c>
      <c r="O58" s="3"/>
    </row>
    <row r="59" spans="2:15" ht="15" thickBot="1">
      <c r="B59" s="1" t="s">
        <v>229</v>
      </c>
      <c r="C59" s="2" t="s">
        <v>216</v>
      </c>
      <c r="D59" s="1"/>
      <c r="E59" s="1"/>
      <c r="F59" s="1"/>
      <c r="G59" s="1"/>
      <c r="H59" s="1"/>
      <c r="I59" s="1"/>
      <c r="J59" s="1"/>
      <c r="K59" s="1"/>
      <c r="L59" s="1"/>
      <c r="M59" s="1"/>
      <c r="N59" s="1"/>
      <c r="O59" s="1"/>
    </row>
    <row r="60" spans="2:15" ht="15" thickBot="1">
      <c r="B60" s="3" t="s">
        <v>230</v>
      </c>
      <c r="C60" s="3" t="s">
        <v>231</v>
      </c>
      <c r="D60" s="41">
        <v>2514</v>
      </c>
      <c r="E60" s="41">
        <v>1617</v>
      </c>
      <c r="F60" s="41">
        <v>1060</v>
      </c>
      <c r="G60" s="41">
        <v>834</v>
      </c>
      <c r="H60" s="41">
        <v>706</v>
      </c>
      <c r="I60" s="41">
        <v>621</v>
      </c>
      <c r="J60" s="41">
        <v>560</v>
      </c>
      <c r="K60" s="41">
        <v>476</v>
      </c>
      <c r="L60" s="41">
        <v>398</v>
      </c>
      <c r="M60" s="52">
        <v>0.45</v>
      </c>
      <c r="N60" s="3" t="s">
        <v>151</v>
      </c>
      <c r="O60" s="3"/>
    </row>
    <row r="61" spans="2:15" ht="15" thickBot="1">
      <c r="B61" s="36" t="s">
        <v>236</v>
      </c>
      <c r="C61" s="3" t="s">
        <v>223</v>
      </c>
      <c r="D61" s="46">
        <v>60</v>
      </c>
      <c r="E61" s="46">
        <v>68</v>
      </c>
      <c r="F61" s="46">
        <v>75</v>
      </c>
      <c r="G61" s="46">
        <v>78</v>
      </c>
      <c r="H61" s="46">
        <v>81</v>
      </c>
      <c r="I61" s="46">
        <v>82</v>
      </c>
      <c r="J61" s="46">
        <v>83</v>
      </c>
      <c r="K61" s="46">
        <v>85</v>
      </c>
      <c r="L61" s="46">
        <v>87</v>
      </c>
      <c r="M61" s="3"/>
      <c r="N61" s="3" t="s">
        <v>151</v>
      </c>
      <c r="O61" s="3"/>
    </row>
    <row r="62" spans="2:15" ht="15" thickBot="1">
      <c r="B62" s="36" t="s">
        <v>237</v>
      </c>
      <c r="C62" s="3" t="s">
        <v>223</v>
      </c>
      <c r="D62" s="46">
        <v>40</v>
      </c>
      <c r="E62" s="46">
        <v>32</v>
      </c>
      <c r="F62" s="46">
        <v>25</v>
      </c>
      <c r="G62" s="46">
        <v>22</v>
      </c>
      <c r="H62" s="46">
        <v>19</v>
      </c>
      <c r="I62" s="46">
        <v>18</v>
      </c>
      <c r="J62" s="46">
        <v>17</v>
      </c>
      <c r="K62" s="46">
        <v>15</v>
      </c>
      <c r="L62" s="46">
        <v>13</v>
      </c>
      <c r="M62" s="3"/>
      <c r="N62" s="3" t="s">
        <v>151</v>
      </c>
      <c r="O62" s="3" t="s">
        <v>240</v>
      </c>
    </row>
    <row r="63" spans="2:15" ht="15" thickBot="1">
      <c r="B63" s="30" t="s">
        <v>351</v>
      </c>
      <c r="C63" s="3" t="s">
        <v>231</v>
      </c>
      <c r="D63" s="41">
        <v>2204</v>
      </c>
      <c r="E63" s="41">
        <v>2204</v>
      </c>
      <c r="F63" s="41">
        <v>2204</v>
      </c>
      <c r="G63" s="41">
        <v>2204</v>
      </c>
      <c r="H63" s="41">
        <v>2204</v>
      </c>
      <c r="I63" s="41">
        <v>2204</v>
      </c>
      <c r="J63" s="41">
        <v>2204</v>
      </c>
      <c r="K63" s="41">
        <v>2204</v>
      </c>
      <c r="L63" s="41">
        <v>2204</v>
      </c>
      <c r="M63" s="3"/>
      <c r="N63" s="3" t="s">
        <v>151</v>
      </c>
      <c r="O63" s="3"/>
    </row>
    <row r="64" spans="2:15" ht="15" thickBot="1">
      <c r="B64" s="30" t="s">
        <v>352</v>
      </c>
      <c r="C64" s="3" t="s">
        <v>231</v>
      </c>
      <c r="D64" s="41">
        <v>4718</v>
      </c>
      <c r="E64" s="41">
        <v>3821</v>
      </c>
      <c r="F64" s="41">
        <v>3264</v>
      </c>
      <c r="G64" s="41">
        <v>3038</v>
      </c>
      <c r="H64" s="41">
        <v>2910</v>
      </c>
      <c r="I64" s="41">
        <v>2825</v>
      </c>
      <c r="J64" s="41">
        <v>2764</v>
      </c>
      <c r="K64" s="41">
        <v>2680</v>
      </c>
      <c r="L64" s="41">
        <v>2602</v>
      </c>
      <c r="M64" s="52">
        <v>0.45</v>
      </c>
      <c r="N64" s="3"/>
      <c r="O64" s="3"/>
    </row>
    <row r="65" spans="2:15" ht="15" thickBot="1">
      <c r="B65" s="30" t="s">
        <v>263</v>
      </c>
      <c r="C65" s="3" t="s">
        <v>239</v>
      </c>
      <c r="D65" s="41">
        <v>23600</v>
      </c>
      <c r="E65" s="41">
        <v>38200</v>
      </c>
      <c r="F65" s="41">
        <v>65300</v>
      </c>
      <c r="G65" s="41">
        <v>91100</v>
      </c>
      <c r="H65" s="41">
        <v>116400</v>
      </c>
      <c r="I65" s="41">
        <v>141200</v>
      </c>
      <c r="J65" s="41">
        <v>165800</v>
      </c>
      <c r="K65" s="41">
        <v>214400</v>
      </c>
      <c r="L65" s="41">
        <v>286200</v>
      </c>
      <c r="M65" s="52">
        <v>0.45</v>
      </c>
      <c r="N65" s="3"/>
      <c r="O65" s="3"/>
    </row>
    <row r="66" spans="2:15" ht="15" thickBot="1">
      <c r="B66" s="3" t="s">
        <v>242</v>
      </c>
      <c r="C66" s="3" t="s">
        <v>309</v>
      </c>
      <c r="D66" s="41">
        <v>76</v>
      </c>
      <c r="E66" s="41">
        <v>38</v>
      </c>
      <c r="F66" s="41">
        <v>19</v>
      </c>
      <c r="G66" s="41">
        <v>13</v>
      </c>
      <c r="H66" s="41">
        <v>11</v>
      </c>
      <c r="I66" s="41">
        <v>9</v>
      </c>
      <c r="J66" s="41">
        <v>8</v>
      </c>
      <c r="K66" s="41">
        <v>7</v>
      </c>
      <c r="L66" s="41">
        <v>6</v>
      </c>
      <c r="M66" s="3"/>
      <c r="N66" s="3" t="s">
        <v>355</v>
      </c>
      <c r="O66" s="3" t="s">
        <v>244</v>
      </c>
    </row>
    <row r="67" spans="2:15" ht="15" thickBot="1">
      <c r="B67" s="1" t="s">
        <v>246</v>
      </c>
      <c r="C67" s="2" t="s">
        <v>216</v>
      </c>
      <c r="D67" s="1"/>
      <c r="E67" s="1"/>
      <c r="F67" s="1"/>
      <c r="G67" s="1"/>
      <c r="H67" s="1"/>
      <c r="I67" s="1"/>
      <c r="J67" s="1"/>
      <c r="K67" s="1"/>
      <c r="L67" s="1"/>
      <c r="M67" s="1"/>
      <c r="N67" s="1"/>
      <c r="O67" s="1"/>
    </row>
    <row r="68" spans="2:15" ht="15" thickBot="1">
      <c r="B68" s="3" t="s">
        <v>343</v>
      </c>
      <c r="C68" s="30" t="s">
        <v>231</v>
      </c>
      <c r="D68" s="41">
        <v>671</v>
      </c>
      <c r="E68" s="41">
        <v>540</v>
      </c>
      <c r="F68" s="41">
        <v>469</v>
      </c>
      <c r="G68" s="41">
        <v>385</v>
      </c>
      <c r="H68" s="41">
        <v>352</v>
      </c>
      <c r="I68" s="41">
        <v>329</v>
      </c>
      <c r="J68" s="41">
        <v>310</v>
      </c>
      <c r="K68" s="41">
        <v>284</v>
      </c>
      <c r="L68" s="41">
        <v>257</v>
      </c>
      <c r="M68" s="3"/>
      <c r="N68" s="3" t="s">
        <v>172</v>
      </c>
      <c r="O68" s="3" t="s">
        <v>249</v>
      </c>
    </row>
    <row r="69" spans="2:15" ht="15" thickBot="1">
      <c r="B69" s="3" t="s">
        <v>343</v>
      </c>
      <c r="C69" s="30" t="s">
        <v>239</v>
      </c>
      <c r="D69" s="41">
        <v>3354</v>
      </c>
      <c r="E69" s="41">
        <v>5404</v>
      </c>
      <c r="F69" s="41">
        <v>9374</v>
      </c>
      <c r="G69" s="41">
        <v>11547</v>
      </c>
      <c r="H69" s="41">
        <v>14082</v>
      </c>
      <c r="I69" s="41">
        <v>16426</v>
      </c>
      <c r="J69" s="41">
        <v>18628</v>
      </c>
      <c r="K69" s="41">
        <v>22719</v>
      </c>
      <c r="L69" s="41">
        <v>28302</v>
      </c>
      <c r="M69" s="3"/>
      <c r="N69" s="3"/>
      <c r="O69" s="3"/>
    </row>
    <row r="70" spans="2:15" ht="15" thickBot="1">
      <c r="B70" s="3" t="s">
        <v>258</v>
      </c>
      <c r="C70" s="30" t="s">
        <v>239</v>
      </c>
      <c r="D70" s="41">
        <v>1025</v>
      </c>
      <c r="E70" s="41">
        <v>1025</v>
      </c>
      <c r="F70" s="41">
        <v>1726</v>
      </c>
      <c r="G70" s="41">
        <v>1726</v>
      </c>
      <c r="H70" s="41">
        <v>11445</v>
      </c>
      <c r="I70" s="41">
        <v>11445</v>
      </c>
      <c r="J70" s="41">
        <v>11445</v>
      </c>
      <c r="K70" s="41">
        <v>15260</v>
      </c>
      <c r="L70" s="41">
        <v>15260</v>
      </c>
      <c r="M70" s="3"/>
      <c r="N70" s="3" t="s">
        <v>151</v>
      </c>
      <c r="O70" s="3" t="s">
        <v>243</v>
      </c>
    </row>
    <row r="71" spans="2:15" ht="15" thickBot="1">
      <c r="B71" s="36" t="s">
        <v>259</v>
      </c>
      <c r="C71" s="30" t="s">
        <v>260</v>
      </c>
      <c r="D71" s="41">
        <v>500</v>
      </c>
      <c r="E71" s="41">
        <v>500</v>
      </c>
      <c r="F71" s="41">
        <v>1000</v>
      </c>
      <c r="G71" s="41">
        <v>1000</v>
      </c>
      <c r="H71" s="41">
        <v>1500</v>
      </c>
      <c r="I71" s="41">
        <v>1500</v>
      </c>
      <c r="J71" s="41">
        <v>1500</v>
      </c>
      <c r="K71" s="41">
        <v>2000</v>
      </c>
      <c r="L71" s="41">
        <v>2000</v>
      </c>
      <c r="M71" s="3"/>
      <c r="N71" s="3"/>
      <c r="O71" s="3"/>
    </row>
    <row r="72" spans="2:15" ht="15" thickBot="1">
      <c r="B72" s="36" t="s">
        <v>261</v>
      </c>
      <c r="C72" s="30" t="s">
        <v>262</v>
      </c>
      <c r="D72" s="42">
        <v>2</v>
      </c>
      <c r="E72" s="42">
        <v>2</v>
      </c>
      <c r="F72" s="42">
        <v>1.7</v>
      </c>
      <c r="G72" s="42">
        <v>1.7</v>
      </c>
      <c r="H72" s="42">
        <v>7.6</v>
      </c>
      <c r="I72" s="42">
        <v>7.6</v>
      </c>
      <c r="J72" s="42">
        <v>7.6</v>
      </c>
      <c r="K72" s="42">
        <v>7.6</v>
      </c>
      <c r="L72" s="42">
        <v>7.6</v>
      </c>
      <c r="M72" s="3"/>
      <c r="N72" s="3" t="s">
        <v>151</v>
      </c>
      <c r="O72" s="3"/>
    </row>
    <row r="73" spans="2:15" ht="15" thickBot="1">
      <c r="B73" s="38" t="s">
        <v>263</v>
      </c>
      <c r="C73" s="39" t="s">
        <v>239</v>
      </c>
      <c r="D73" s="40">
        <v>28000</v>
      </c>
      <c r="E73" s="40">
        <v>44600</v>
      </c>
      <c r="F73" s="40">
        <v>76400</v>
      </c>
      <c r="G73" s="40">
        <v>104400</v>
      </c>
      <c r="H73" s="40">
        <v>141900</v>
      </c>
      <c r="I73" s="40">
        <v>169100</v>
      </c>
      <c r="J73" s="40">
        <v>195900</v>
      </c>
      <c r="K73" s="40">
        <v>252400</v>
      </c>
      <c r="L73" s="40">
        <v>329800</v>
      </c>
      <c r="M73" s="52">
        <v>0.45</v>
      </c>
      <c r="N73" s="3"/>
      <c r="O73" s="3"/>
    </row>
    <row r="74" spans="2:15">
      <c r="D74" s="57"/>
      <c r="E74" s="57"/>
      <c r="F74" s="57"/>
      <c r="G74" s="57"/>
      <c r="H74" s="57"/>
      <c r="I74" s="57"/>
      <c r="J74" s="57"/>
      <c r="K74" s="57"/>
      <c r="L74" s="57"/>
    </row>
    <row r="75" spans="2:15">
      <c r="D75" s="57"/>
      <c r="E75" s="57"/>
      <c r="F75" s="57"/>
      <c r="G75" s="57"/>
      <c r="H75" s="57"/>
      <c r="I75" s="57"/>
      <c r="J75" s="57"/>
      <c r="K75" s="57"/>
      <c r="L75" s="57"/>
    </row>
    <row r="80" spans="2:15">
      <c r="C80" s="10"/>
    </row>
  </sheetData>
  <mergeCells count="1">
    <mergeCell ref="H2:M3"/>
  </mergeCells>
  <conditionalFormatting sqref="M16">
    <cfRule type="colorScale" priority="3">
      <colorScale>
        <cfvo type="num" val="0"/>
        <cfvo type="num" val="0.5"/>
        <color theme="0"/>
        <color theme="5"/>
      </colorScale>
    </cfRule>
  </conditionalFormatting>
  <conditionalFormatting sqref="M17">
    <cfRule type="colorScale" priority="2">
      <colorScale>
        <cfvo type="num" val="0"/>
        <cfvo type="num" val="0.5"/>
        <color theme="0"/>
        <color theme="5"/>
      </colorScale>
    </cfRule>
  </conditionalFormatting>
  <conditionalFormatting sqref="M20">
    <cfRule type="colorScale" priority="15">
      <colorScale>
        <cfvo type="num" val="0"/>
        <cfvo type="num" val="0.5"/>
        <color theme="0"/>
        <color theme="5"/>
      </colorScale>
    </cfRule>
  </conditionalFormatting>
  <conditionalFormatting sqref="M21 M12 M45 M69">
    <cfRule type="colorScale" priority="12">
      <colorScale>
        <cfvo type="num" val="0"/>
        <cfvo type="num" val="0.5"/>
        <color theme="0"/>
        <color theme="5"/>
      </colorScale>
    </cfRule>
  </conditionalFormatting>
  <conditionalFormatting sqref="M25">
    <cfRule type="colorScale" priority="1">
      <colorScale>
        <cfvo type="num" val="0"/>
        <cfvo type="num" val="0.5"/>
        <color theme="0"/>
        <color theme="5"/>
      </colorScale>
    </cfRule>
  </conditionalFormatting>
  <conditionalFormatting sqref="M36">
    <cfRule type="colorScale" priority="4">
      <colorScale>
        <cfvo type="num" val="0"/>
        <cfvo type="num" val="0.5"/>
        <color theme="0"/>
        <color theme="5"/>
      </colorScale>
    </cfRule>
  </conditionalFormatting>
  <conditionalFormatting sqref="M40">
    <cfRule type="colorScale" priority="5">
      <colorScale>
        <cfvo type="num" val="0"/>
        <cfvo type="num" val="0.5"/>
        <color theme="0"/>
        <color theme="5"/>
      </colorScale>
    </cfRule>
  </conditionalFormatting>
  <conditionalFormatting sqref="M41">
    <cfRule type="colorScale" priority="6">
      <colorScale>
        <cfvo type="num" val="0"/>
        <cfvo type="num" val="0.5"/>
        <color theme="0"/>
        <color theme="5"/>
      </colorScale>
    </cfRule>
  </conditionalFormatting>
  <conditionalFormatting sqref="M42 M18 M66 AC8:AC9 M55:M57 M31:M33 M7:M9">
    <cfRule type="colorScale" priority="16">
      <colorScale>
        <cfvo type="num" val="0"/>
        <cfvo type="num" val="0.5"/>
        <color theme="0"/>
        <color theme="5"/>
      </colorScale>
    </cfRule>
  </conditionalFormatting>
  <conditionalFormatting sqref="M44">
    <cfRule type="colorScale" priority="14">
      <colorScale>
        <cfvo type="num" val="0"/>
        <cfvo type="num" val="0.5"/>
        <color theme="0"/>
        <color theme="5"/>
      </colorScale>
    </cfRule>
  </conditionalFormatting>
  <conditionalFormatting sqref="M49">
    <cfRule type="colorScale" priority="11">
      <colorScale>
        <cfvo type="num" val="0"/>
        <cfvo type="num" val="0.5"/>
        <color theme="0"/>
        <color theme="5"/>
      </colorScale>
    </cfRule>
  </conditionalFormatting>
  <conditionalFormatting sqref="M60">
    <cfRule type="colorScale" priority="7">
      <colorScale>
        <cfvo type="num" val="0"/>
        <cfvo type="num" val="0.5"/>
        <color theme="0"/>
        <color theme="5"/>
      </colorScale>
    </cfRule>
  </conditionalFormatting>
  <conditionalFormatting sqref="M64">
    <cfRule type="colorScale" priority="8">
      <colorScale>
        <cfvo type="num" val="0"/>
        <cfvo type="num" val="0.5"/>
        <color theme="0"/>
        <color theme="5"/>
      </colorScale>
    </cfRule>
  </conditionalFormatting>
  <conditionalFormatting sqref="M65">
    <cfRule type="colorScale" priority="9">
      <colorScale>
        <cfvo type="num" val="0"/>
        <cfvo type="num" val="0.5"/>
        <color theme="0"/>
        <color theme="5"/>
      </colorScale>
    </cfRule>
  </conditionalFormatting>
  <conditionalFormatting sqref="M68">
    <cfRule type="colorScale" priority="13">
      <colorScale>
        <cfvo type="num" val="0"/>
        <cfvo type="num" val="0.5"/>
        <color theme="0"/>
        <color theme="5"/>
      </colorScale>
    </cfRule>
  </conditionalFormatting>
  <conditionalFormatting sqref="M73">
    <cfRule type="colorScale" priority="10">
      <colorScale>
        <cfvo type="num" val="0"/>
        <cfvo type="num" val="0.5"/>
        <color theme="0"/>
        <color theme="5"/>
      </colorScale>
    </cfRule>
  </conditionalFormatting>
  <conditionalFormatting sqref="AC8:AC9">
    <cfRule type="colorScale" priority="17">
      <colorScale>
        <cfvo type="min"/>
        <cfvo type="max"/>
        <color theme="0"/>
        <color theme="5"/>
      </colorScale>
    </cfRule>
  </conditionalFormatting>
  <hyperlinks>
    <hyperlink ref="A1" location="Inhalt!A1" display="Zum Inhalt" xr:uid="{0A4B0D07-9084-4BBA-BD8F-E5DE8548153B}"/>
  </hyperlinks>
  <pageMargins left="0.7" right="0.7" top="0.78740157499999996" bottom="0.78740157499999996" header="0.3" footer="0.3"/>
  <pageSetup paperSize="9"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9D8E-EFB1-4382-B309-2E9901A63714}">
  <sheetPr codeName="Tabelle14"/>
  <dimension ref="A1:AB79"/>
  <sheetViews>
    <sheetView zoomScaleNormal="100" workbookViewId="0"/>
  </sheetViews>
  <sheetFormatPr baseColWidth="10" defaultColWidth="11.44140625" defaultRowHeight="14.4"/>
  <cols>
    <col min="2" max="2" width="41.44140625" bestFit="1" customWidth="1"/>
    <col min="13" max="13" width="10.5546875" bestFit="1" customWidth="1"/>
    <col min="15" max="15" width="10" bestFit="1" customWidth="1"/>
    <col min="17" max="17" width="13.88671875" bestFit="1" customWidth="1"/>
  </cols>
  <sheetData>
    <row r="1" spans="1:28" ht="28.2" thickBot="1">
      <c r="A1" s="99" t="s">
        <v>143</v>
      </c>
    </row>
    <row r="2" spans="1:28">
      <c r="I2" s="142" t="s">
        <v>212</v>
      </c>
      <c r="J2" s="143"/>
      <c r="K2" s="143"/>
      <c r="L2" s="143"/>
      <c r="M2" s="143"/>
      <c r="N2" s="144"/>
    </row>
    <row r="3" spans="1:28" ht="21" customHeight="1" thickBot="1">
      <c r="B3" s="4" t="s">
        <v>213</v>
      </c>
      <c r="C3" s="4" t="s">
        <v>75</v>
      </c>
      <c r="I3" s="145"/>
      <c r="J3" s="146"/>
      <c r="K3" s="146"/>
      <c r="L3" s="146"/>
      <c r="M3" s="146"/>
      <c r="N3" s="147"/>
    </row>
    <row r="4" spans="1:28">
      <c r="B4" s="4" t="s">
        <v>214</v>
      </c>
      <c r="C4" s="4">
        <v>2023</v>
      </c>
    </row>
    <row r="5" spans="1:28" ht="15" thickBot="1">
      <c r="B5" s="1" t="s">
        <v>215</v>
      </c>
      <c r="C5" s="2" t="s">
        <v>216</v>
      </c>
      <c r="D5" s="1"/>
      <c r="E5" s="2"/>
      <c r="F5" s="1"/>
      <c r="G5" s="1"/>
      <c r="H5" s="1"/>
      <c r="I5" s="1"/>
      <c r="J5" s="1"/>
      <c r="K5" s="1"/>
      <c r="L5" s="1"/>
      <c r="M5" s="1" t="s">
        <v>217</v>
      </c>
      <c r="N5" s="1" t="s">
        <v>147</v>
      </c>
      <c r="O5" s="1" t="s">
        <v>148</v>
      </c>
      <c r="Q5" s="4" t="s">
        <v>218</v>
      </c>
      <c r="R5" s="12" t="s">
        <v>315</v>
      </c>
    </row>
    <row r="6" spans="1:28" ht="15" thickBot="1">
      <c r="B6" s="3" t="s">
        <v>220</v>
      </c>
      <c r="C6" s="30" t="s">
        <v>316</v>
      </c>
      <c r="D6" s="3">
        <v>5</v>
      </c>
      <c r="E6" s="31">
        <v>10</v>
      </c>
      <c r="F6" s="3">
        <v>20</v>
      </c>
      <c r="G6" s="3">
        <v>30</v>
      </c>
      <c r="H6" s="3">
        <v>40</v>
      </c>
      <c r="I6" s="3">
        <v>50</v>
      </c>
      <c r="J6" s="3">
        <v>60</v>
      </c>
      <c r="K6" s="3">
        <v>80</v>
      </c>
      <c r="L6" s="3">
        <v>110</v>
      </c>
      <c r="M6" s="3"/>
      <c r="N6" s="3"/>
      <c r="O6" s="3" t="s">
        <v>250</v>
      </c>
      <c r="Q6" s="4" t="s">
        <v>214</v>
      </c>
      <c r="R6" s="4">
        <v>2023</v>
      </c>
      <c r="S6" s="4">
        <v>2030</v>
      </c>
      <c r="T6" s="4">
        <v>2040</v>
      </c>
    </row>
    <row r="7" spans="1:28" ht="15" thickBot="1">
      <c r="B7" s="3" t="s">
        <v>329</v>
      </c>
      <c r="C7" s="5"/>
      <c r="D7" s="51">
        <v>4.5999999999999996</v>
      </c>
      <c r="E7" s="51">
        <v>4.5999999999999996</v>
      </c>
      <c r="F7" s="51">
        <v>4.5999999999999996</v>
      </c>
      <c r="G7" s="51">
        <v>4.5999999999999996</v>
      </c>
      <c r="H7" s="51">
        <v>4.5999999999999996</v>
      </c>
      <c r="I7" s="51">
        <v>4.5999999999999996</v>
      </c>
      <c r="J7" s="51">
        <v>4.5999999999999996</v>
      </c>
      <c r="K7" s="51">
        <v>4.5999999999999996</v>
      </c>
      <c r="L7" s="51">
        <v>4.5999999999999996</v>
      </c>
      <c r="M7" s="52">
        <v>0.2</v>
      </c>
      <c r="N7" s="3" t="s">
        <v>361</v>
      </c>
      <c r="O7" s="3" t="s">
        <v>249</v>
      </c>
      <c r="Q7" s="12" t="s">
        <v>225</v>
      </c>
      <c r="R7" s="12">
        <v>7419.4</v>
      </c>
      <c r="S7" s="12">
        <v>6975.3</v>
      </c>
      <c r="T7" s="12">
        <v>6472.4</v>
      </c>
    </row>
    <row r="8" spans="1:28" ht="15" thickBot="1">
      <c r="B8" s="3" t="s">
        <v>332</v>
      </c>
      <c r="C8" s="5"/>
      <c r="D8" s="51">
        <v>3.6</v>
      </c>
      <c r="E8" s="51">
        <v>3.6</v>
      </c>
      <c r="F8" s="51">
        <v>3.6</v>
      </c>
      <c r="G8" s="51">
        <v>3.6</v>
      </c>
      <c r="H8" s="51">
        <v>3.6</v>
      </c>
      <c r="I8" s="51">
        <v>3.6</v>
      </c>
      <c r="J8" s="51">
        <v>3.6</v>
      </c>
      <c r="K8" s="51">
        <v>3.6</v>
      </c>
      <c r="L8" s="51">
        <v>3.6</v>
      </c>
      <c r="M8" s="52">
        <v>0.2</v>
      </c>
      <c r="N8" s="3" t="s">
        <v>361</v>
      </c>
      <c r="O8" s="3" t="s">
        <v>249</v>
      </c>
      <c r="Q8" s="12" t="s">
        <v>228</v>
      </c>
      <c r="R8" s="12">
        <v>-0.28199999999999997</v>
      </c>
      <c r="S8" s="12">
        <v>-0.26600000000000001</v>
      </c>
      <c r="T8" s="12">
        <v>-0.23699999999999999</v>
      </c>
      <c r="AB8" s="44"/>
    </row>
    <row r="9" spans="1:28" ht="15" thickBot="1">
      <c r="A9" s="44"/>
      <c r="B9" s="3" t="s">
        <v>334</v>
      </c>
      <c r="C9" s="5"/>
      <c r="D9" s="51">
        <v>3.15</v>
      </c>
      <c r="E9" s="51">
        <v>3.15</v>
      </c>
      <c r="F9" s="51">
        <v>3.15</v>
      </c>
      <c r="G9" s="51">
        <v>3.15</v>
      </c>
      <c r="H9" s="51">
        <v>3.15</v>
      </c>
      <c r="I9" s="51">
        <v>3.15</v>
      </c>
      <c r="J9" s="51">
        <v>3.15</v>
      </c>
      <c r="K9" s="51">
        <v>3.15</v>
      </c>
      <c r="L9" s="51">
        <v>3.15</v>
      </c>
      <c r="M9" s="52">
        <v>0.2</v>
      </c>
      <c r="N9" s="3" t="s">
        <v>361</v>
      </c>
      <c r="O9" s="3" t="s">
        <v>249</v>
      </c>
      <c r="Q9" s="12" t="s">
        <v>23</v>
      </c>
      <c r="R9" s="12" t="s">
        <v>349</v>
      </c>
      <c r="AB9" s="44"/>
    </row>
    <row r="10" spans="1:28" ht="15" thickBot="1">
      <c r="B10" s="3" t="s">
        <v>362</v>
      </c>
      <c r="C10" s="5" t="s">
        <v>227</v>
      </c>
      <c r="D10" s="3">
        <v>20</v>
      </c>
      <c r="E10" s="3">
        <v>20</v>
      </c>
      <c r="F10" s="3">
        <v>20</v>
      </c>
      <c r="G10" s="3">
        <v>20</v>
      </c>
      <c r="H10" s="3">
        <v>20</v>
      </c>
      <c r="I10" s="3">
        <v>20</v>
      </c>
      <c r="J10" s="3">
        <v>20</v>
      </c>
      <c r="K10" s="3">
        <v>20</v>
      </c>
      <c r="L10" s="3">
        <v>20</v>
      </c>
      <c r="M10" s="3"/>
      <c r="N10" s="3" t="s">
        <v>151</v>
      </c>
      <c r="O10" s="3"/>
      <c r="Q10" s="12"/>
      <c r="AB10" s="44"/>
    </row>
    <row r="11" spans="1:28" ht="15" thickBot="1">
      <c r="B11" s="3" t="s">
        <v>363</v>
      </c>
      <c r="C11" s="5" t="s">
        <v>227</v>
      </c>
      <c r="D11" s="3">
        <v>50</v>
      </c>
      <c r="E11" s="3">
        <v>50</v>
      </c>
      <c r="F11" s="3">
        <v>50</v>
      </c>
      <c r="G11" s="3">
        <v>50</v>
      </c>
      <c r="H11" s="3">
        <v>50</v>
      </c>
      <c r="I11" s="3">
        <v>50</v>
      </c>
      <c r="J11" s="3">
        <v>50</v>
      </c>
      <c r="K11" s="3">
        <v>50</v>
      </c>
      <c r="L11" s="3">
        <v>50</v>
      </c>
      <c r="M11" s="3"/>
      <c r="N11" s="3" t="s">
        <v>364</v>
      </c>
      <c r="O11" s="3"/>
      <c r="Q11" s="4" t="s">
        <v>234</v>
      </c>
      <c r="R11" s="12" t="s">
        <v>338</v>
      </c>
    </row>
    <row r="12" spans="1:28" ht="15" thickBot="1">
      <c r="B12" s="1" t="s">
        <v>229</v>
      </c>
      <c r="C12" s="2" t="s">
        <v>216</v>
      </c>
      <c r="D12" s="1"/>
      <c r="E12" s="1"/>
      <c r="F12" s="1"/>
      <c r="G12" s="1"/>
      <c r="H12" s="1"/>
      <c r="I12" s="1"/>
      <c r="J12" s="1"/>
      <c r="K12" s="1"/>
      <c r="L12" s="1"/>
      <c r="M12" s="1"/>
      <c r="N12" s="1"/>
      <c r="O12" s="1"/>
      <c r="Q12" s="4"/>
      <c r="R12" s="12"/>
    </row>
    <row r="13" spans="1:28" ht="15" thickBot="1">
      <c r="B13" s="3" t="s">
        <v>230</v>
      </c>
      <c r="C13" s="3" t="s">
        <v>318</v>
      </c>
      <c r="D13" s="41">
        <v>3065</v>
      </c>
      <c r="E13" s="41">
        <v>2118</v>
      </c>
      <c r="F13" s="41">
        <v>1508</v>
      </c>
      <c r="G13" s="41">
        <v>1250</v>
      </c>
      <c r="H13" s="41">
        <v>1098</v>
      </c>
      <c r="I13" s="41">
        <v>996</v>
      </c>
      <c r="J13" s="41">
        <v>920</v>
      </c>
      <c r="K13" s="41">
        <v>813</v>
      </c>
      <c r="L13" s="41">
        <v>712</v>
      </c>
      <c r="M13" s="52">
        <v>0.25</v>
      </c>
      <c r="N13" s="3" t="s">
        <v>365</v>
      </c>
      <c r="O13" s="13" t="s">
        <v>249</v>
      </c>
      <c r="Q13" s="4" t="s">
        <v>148</v>
      </c>
    </row>
    <row r="14" spans="1:28" ht="15" thickBot="1">
      <c r="B14" s="36" t="s">
        <v>236</v>
      </c>
      <c r="C14" s="3" t="s">
        <v>223</v>
      </c>
      <c r="D14" s="46">
        <v>71</v>
      </c>
      <c r="E14" s="46">
        <v>79</v>
      </c>
      <c r="F14" s="46">
        <v>85</v>
      </c>
      <c r="G14" s="46">
        <v>88</v>
      </c>
      <c r="H14" s="46">
        <v>90</v>
      </c>
      <c r="I14" s="46">
        <v>90</v>
      </c>
      <c r="J14" s="46">
        <v>90</v>
      </c>
      <c r="K14" s="46">
        <v>90</v>
      </c>
      <c r="L14" s="46">
        <v>90</v>
      </c>
      <c r="M14" s="54"/>
      <c r="N14" s="3"/>
      <c r="O14" s="54"/>
      <c r="Q14" s="12" t="s">
        <v>240</v>
      </c>
      <c r="R14" s="12" t="s">
        <v>366</v>
      </c>
    </row>
    <row r="15" spans="1:28" ht="15" thickBot="1">
      <c r="B15" s="36" t="s">
        <v>237</v>
      </c>
      <c r="C15" s="3" t="s">
        <v>223</v>
      </c>
      <c r="D15" s="46">
        <v>29</v>
      </c>
      <c r="E15" s="46">
        <v>21</v>
      </c>
      <c r="F15" s="46">
        <v>15</v>
      </c>
      <c r="G15" s="46">
        <v>12</v>
      </c>
      <c r="H15" s="46">
        <v>10</v>
      </c>
      <c r="I15" s="46">
        <v>10</v>
      </c>
      <c r="J15" s="46">
        <v>10</v>
      </c>
      <c r="K15" s="46">
        <v>10</v>
      </c>
      <c r="L15" s="46">
        <v>10</v>
      </c>
      <c r="M15" s="54"/>
      <c r="N15" s="3"/>
      <c r="O15" s="54" t="s">
        <v>240</v>
      </c>
      <c r="Q15" s="12" t="s">
        <v>244</v>
      </c>
      <c r="R15" s="12" t="s">
        <v>340</v>
      </c>
    </row>
    <row r="16" spans="1:28" ht="15" thickBot="1">
      <c r="B16" s="30" t="s">
        <v>367</v>
      </c>
      <c r="C16" s="3" t="s">
        <v>318</v>
      </c>
      <c r="D16" s="41">
        <v>1800</v>
      </c>
      <c r="E16" s="41">
        <v>1637</v>
      </c>
      <c r="F16" s="41">
        <v>1591</v>
      </c>
      <c r="G16" s="41">
        <v>1579</v>
      </c>
      <c r="H16" s="41">
        <v>1573</v>
      </c>
      <c r="I16" s="41">
        <v>1487</v>
      </c>
      <c r="J16" s="41">
        <v>1410</v>
      </c>
      <c r="K16" s="41">
        <v>1348</v>
      </c>
      <c r="L16" s="41">
        <v>1273</v>
      </c>
      <c r="M16" s="54"/>
      <c r="N16" s="3" t="s">
        <v>368</v>
      </c>
      <c r="O16" s="54" t="s">
        <v>369</v>
      </c>
      <c r="Q16" s="12" t="s">
        <v>224</v>
      </c>
      <c r="R16" s="12" t="s">
        <v>370</v>
      </c>
    </row>
    <row r="17" spans="2:18" ht="15" thickBot="1">
      <c r="B17" s="30" t="s">
        <v>352</v>
      </c>
      <c r="C17" s="3" t="s">
        <v>318</v>
      </c>
      <c r="D17" s="41">
        <v>4865</v>
      </c>
      <c r="E17" s="41">
        <v>3755</v>
      </c>
      <c r="F17" s="41">
        <v>3099</v>
      </c>
      <c r="G17" s="41">
        <v>2829</v>
      </c>
      <c r="H17" s="41">
        <v>2671</v>
      </c>
      <c r="I17" s="41">
        <v>2482</v>
      </c>
      <c r="J17" s="41">
        <v>2330</v>
      </c>
      <c r="K17" s="41">
        <v>2162</v>
      </c>
      <c r="L17" s="41">
        <v>1985</v>
      </c>
      <c r="M17" s="52">
        <v>0.25</v>
      </c>
      <c r="N17" s="3"/>
      <c r="O17" s="54"/>
      <c r="Q17" s="12" t="s">
        <v>250</v>
      </c>
      <c r="R17" s="12" t="s">
        <v>354</v>
      </c>
    </row>
    <row r="18" spans="2:18" ht="15" thickBot="1">
      <c r="B18" s="30" t="s">
        <v>371</v>
      </c>
      <c r="C18" s="3" t="s">
        <v>239</v>
      </c>
      <c r="D18" s="41">
        <v>24300</v>
      </c>
      <c r="E18" s="41">
        <v>37500</v>
      </c>
      <c r="F18" s="41">
        <v>62000</v>
      </c>
      <c r="G18" s="41">
        <v>84900</v>
      </c>
      <c r="H18" s="41">
        <v>106800</v>
      </c>
      <c r="I18" s="41">
        <v>124100</v>
      </c>
      <c r="J18" s="41">
        <v>139800</v>
      </c>
      <c r="K18" s="41">
        <v>172900</v>
      </c>
      <c r="L18" s="41">
        <v>218300</v>
      </c>
      <c r="M18" s="52">
        <v>0.25</v>
      </c>
      <c r="N18" s="3"/>
      <c r="O18" s="55"/>
      <c r="Q18" s="12" t="s">
        <v>252</v>
      </c>
      <c r="R18" s="12" t="s">
        <v>372</v>
      </c>
    </row>
    <row r="19" spans="2:18" ht="15" thickBot="1">
      <c r="B19" s="3" t="s">
        <v>242</v>
      </c>
      <c r="C19" s="3" t="s">
        <v>321</v>
      </c>
      <c r="D19" s="41">
        <v>76</v>
      </c>
      <c r="E19" s="41">
        <v>38</v>
      </c>
      <c r="F19" s="41">
        <v>23</v>
      </c>
      <c r="G19" s="41">
        <v>19</v>
      </c>
      <c r="H19" s="41">
        <v>16</v>
      </c>
      <c r="I19" s="41">
        <v>15</v>
      </c>
      <c r="J19" s="41">
        <v>14</v>
      </c>
      <c r="K19" s="41">
        <v>12</v>
      </c>
      <c r="L19" s="41">
        <v>11</v>
      </c>
      <c r="M19" s="13"/>
      <c r="N19" s="3" t="s">
        <v>186</v>
      </c>
      <c r="O19" s="13" t="s">
        <v>373</v>
      </c>
      <c r="Q19" s="12" t="s">
        <v>249</v>
      </c>
      <c r="R19" s="12" t="s">
        <v>374</v>
      </c>
    </row>
    <row r="20" spans="2:18" ht="15" thickBot="1">
      <c r="B20" s="1" t="s">
        <v>246</v>
      </c>
      <c r="C20" s="2" t="s">
        <v>216</v>
      </c>
      <c r="D20" s="1"/>
      <c r="E20" s="1"/>
      <c r="F20" s="1"/>
      <c r="G20" s="1"/>
      <c r="H20" s="1"/>
      <c r="I20" s="1"/>
      <c r="J20" s="1"/>
      <c r="K20" s="1"/>
      <c r="L20" s="1"/>
      <c r="M20" s="1"/>
      <c r="N20" s="1"/>
      <c r="O20" s="1"/>
      <c r="Q20" s="12" t="s">
        <v>243</v>
      </c>
      <c r="R20" s="12" t="s">
        <v>375</v>
      </c>
    </row>
    <row r="21" spans="2:18" ht="15" thickBot="1">
      <c r="B21" s="3" t="s">
        <v>343</v>
      </c>
      <c r="C21" s="3" t="s">
        <v>318</v>
      </c>
      <c r="D21" s="41">
        <v>671</v>
      </c>
      <c r="E21" s="41">
        <v>540</v>
      </c>
      <c r="F21" s="41">
        <v>469</v>
      </c>
      <c r="G21" s="41">
        <v>385</v>
      </c>
      <c r="H21" s="41">
        <v>352</v>
      </c>
      <c r="I21" s="41">
        <v>329</v>
      </c>
      <c r="J21" s="41">
        <v>310</v>
      </c>
      <c r="K21" s="41">
        <v>284</v>
      </c>
      <c r="L21" s="41">
        <v>257</v>
      </c>
      <c r="M21" s="13"/>
      <c r="N21" s="13" t="s">
        <v>179</v>
      </c>
      <c r="O21" s="13" t="s">
        <v>260</v>
      </c>
      <c r="Q21" s="12" t="s">
        <v>376</v>
      </c>
      <c r="R21" s="12" t="s">
        <v>377</v>
      </c>
    </row>
    <row r="22" spans="2:18" ht="15" thickBot="1">
      <c r="B22" s="3" t="s">
        <v>343</v>
      </c>
      <c r="C22" s="30" t="s">
        <v>239</v>
      </c>
      <c r="D22" s="41">
        <v>3354</v>
      </c>
      <c r="E22" s="41">
        <v>5404</v>
      </c>
      <c r="F22" s="41">
        <v>9374</v>
      </c>
      <c r="G22" s="41">
        <v>11547</v>
      </c>
      <c r="H22" s="41">
        <v>14082</v>
      </c>
      <c r="I22" s="41">
        <v>16426</v>
      </c>
      <c r="J22" s="41">
        <v>18628</v>
      </c>
      <c r="K22" s="41">
        <v>22719</v>
      </c>
      <c r="L22" s="41">
        <v>28302</v>
      </c>
      <c r="M22" s="13"/>
      <c r="N22" s="13"/>
      <c r="O22" s="13"/>
      <c r="Q22" s="12" t="s">
        <v>378</v>
      </c>
      <c r="R22" s="12" t="s">
        <v>379</v>
      </c>
    </row>
    <row r="23" spans="2:18" ht="15" thickBot="1">
      <c r="B23" s="3" t="s">
        <v>258</v>
      </c>
      <c r="C23" s="30" t="s">
        <v>239</v>
      </c>
      <c r="D23" s="41">
        <v>1025</v>
      </c>
      <c r="E23" s="41">
        <v>1025</v>
      </c>
      <c r="F23" s="41">
        <v>1726</v>
      </c>
      <c r="G23" s="41">
        <v>1726</v>
      </c>
      <c r="H23" s="41">
        <v>11445</v>
      </c>
      <c r="I23" s="41">
        <v>11445</v>
      </c>
      <c r="J23" s="41">
        <v>11445</v>
      </c>
      <c r="K23" s="41">
        <v>15260</v>
      </c>
      <c r="L23" s="41">
        <v>15260</v>
      </c>
      <c r="M23" s="3"/>
      <c r="N23" s="3" t="s">
        <v>151</v>
      </c>
      <c r="O23" s="3" t="s">
        <v>380</v>
      </c>
      <c r="Q23" s="12" t="s">
        <v>381</v>
      </c>
      <c r="R23" s="12" t="s">
        <v>382</v>
      </c>
    </row>
    <row r="24" spans="2:18" ht="15" thickBot="1">
      <c r="B24" s="36" t="s">
        <v>259</v>
      </c>
      <c r="C24" s="30" t="s">
        <v>260</v>
      </c>
      <c r="D24" s="41">
        <v>500</v>
      </c>
      <c r="E24" s="41">
        <v>500</v>
      </c>
      <c r="F24" s="41">
        <v>1000</v>
      </c>
      <c r="G24" s="41">
        <v>1000</v>
      </c>
      <c r="H24" s="41">
        <v>1500</v>
      </c>
      <c r="I24" s="41">
        <v>1500</v>
      </c>
      <c r="J24" s="41">
        <v>1500</v>
      </c>
      <c r="K24" s="41">
        <v>2000</v>
      </c>
      <c r="L24" s="41">
        <v>2000</v>
      </c>
      <c r="M24" s="3"/>
      <c r="N24" s="3"/>
      <c r="O24" s="3"/>
      <c r="Q24" s="12" t="s">
        <v>383</v>
      </c>
      <c r="R24" s="12" t="s">
        <v>384</v>
      </c>
    </row>
    <row r="25" spans="2:18" ht="15" thickBot="1">
      <c r="B25" s="36" t="s">
        <v>261</v>
      </c>
      <c r="C25" s="30" t="s">
        <v>262</v>
      </c>
      <c r="D25" s="42">
        <v>2</v>
      </c>
      <c r="E25" s="42">
        <v>2</v>
      </c>
      <c r="F25" s="42">
        <v>1.7</v>
      </c>
      <c r="G25" s="42">
        <v>1.7</v>
      </c>
      <c r="H25" s="42">
        <v>7.6</v>
      </c>
      <c r="I25" s="42">
        <v>7.6</v>
      </c>
      <c r="J25" s="42">
        <v>7.6</v>
      </c>
      <c r="K25" s="42">
        <v>7.6</v>
      </c>
      <c r="L25" s="42">
        <v>7.6</v>
      </c>
      <c r="M25" s="3"/>
      <c r="N25" s="3" t="s">
        <v>151</v>
      </c>
      <c r="O25" s="3"/>
      <c r="Q25" s="12" t="s">
        <v>260</v>
      </c>
      <c r="R25" s="12" t="s">
        <v>345</v>
      </c>
    </row>
    <row r="26" spans="2:18" ht="15" thickBot="1">
      <c r="B26" s="38" t="s">
        <v>263</v>
      </c>
      <c r="C26" s="30"/>
      <c r="D26" s="40">
        <v>28700</v>
      </c>
      <c r="E26" s="40">
        <v>43900</v>
      </c>
      <c r="F26" s="40">
        <v>73100</v>
      </c>
      <c r="G26" s="40">
        <v>98200</v>
      </c>
      <c r="H26" s="40">
        <v>132300</v>
      </c>
      <c r="I26" s="40">
        <v>152000</v>
      </c>
      <c r="J26" s="40">
        <v>169900</v>
      </c>
      <c r="K26" s="40">
        <v>210900</v>
      </c>
      <c r="L26" s="40">
        <v>261900</v>
      </c>
      <c r="M26" s="52">
        <v>0.25</v>
      </c>
      <c r="N26" s="3"/>
      <c r="O26" s="3"/>
      <c r="Q26" s="12" t="s">
        <v>380</v>
      </c>
      <c r="R26" s="12" t="s">
        <v>253</v>
      </c>
    </row>
    <row r="27" spans="2:18">
      <c r="C27" s="29"/>
      <c r="D27" s="10"/>
      <c r="E27" s="10"/>
      <c r="F27" s="10"/>
      <c r="G27" s="10"/>
      <c r="H27" s="10"/>
      <c r="I27" s="10"/>
      <c r="J27" s="10"/>
      <c r="K27" s="10"/>
      <c r="L27" s="10"/>
      <c r="Q27" s="12" t="s">
        <v>385</v>
      </c>
      <c r="R27" s="12" t="s">
        <v>386</v>
      </c>
    </row>
    <row r="28" spans="2:18">
      <c r="D28" s="10"/>
      <c r="E28" s="10"/>
      <c r="F28" s="10"/>
      <c r="G28" s="10"/>
      <c r="H28" s="10"/>
      <c r="I28" s="10"/>
      <c r="J28" s="10"/>
      <c r="K28" s="10"/>
      <c r="L28" s="10"/>
      <c r="Q28" s="12"/>
    </row>
    <row r="29" spans="2:18">
      <c r="D29" s="10"/>
      <c r="E29" s="10"/>
      <c r="F29" s="10"/>
      <c r="G29" s="10"/>
      <c r="H29" s="10"/>
      <c r="I29" s="10"/>
      <c r="J29" s="10"/>
      <c r="K29" s="10"/>
      <c r="L29" s="10"/>
      <c r="Q29" s="4" t="s">
        <v>147</v>
      </c>
    </row>
    <row r="30" spans="2:18">
      <c r="B30" s="4" t="s">
        <v>214</v>
      </c>
      <c r="C30" s="4">
        <v>2030</v>
      </c>
      <c r="D30" s="58"/>
      <c r="E30" s="58"/>
      <c r="F30" s="58"/>
      <c r="G30" s="58"/>
      <c r="H30" s="58"/>
      <c r="I30" s="58"/>
      <c r="J30" s="58"/>
      <c r="K30" s="58"/>
      <c r="L30" s="58"/>
      <c r="Q30" s="12" t="s">
        <v>151</v>
      </c>
      <c r="R30" s="12" t="s">
        <v>185</v>
      </c>
    </row>
    <row r="31" spans="2:18" ht="15" thickBot="1">
      <c r="B31" s="1" t="s">
        <v>215</v>
      </c>
      <c r="C31" s="2" t="s">
        <v>216</v>
      </c>
      <c r="D31" s="1"/>
      <c r="E31" s="2"/>
      <c r="F31" s="1"/>
      <c r="G31" s="1"/>
      <c r="H31" s="1"/>
      <c r="I31" s="1"/>
      <c r="J31" s="1"/>
      <c r="K31" s="1"/>
      <c r="L31" s="1"/>
      <c r="M31" s="1" t="s">
        <v>217</v>
      </c>
      <c r="N31" s="1" t="s">
        <v>147</v>
      </c>
      <c r="O31" s="1" t="s">
        <v>148</v>
      </c>
      <c r="Q31" s="12" t="s">
        <v>184</v>
      </c>
      <c r="R31" s="12" t="s">
        <v>346</v>
      </c>
    </row>
    <row r="32" spans="2:18" ht="15" thickBot="1">
      <c r="B32" s="3" t="s">
        <v>220</v>
      </c>
      <c r="C32" s="30" t="s">
        <v>316</v>
      </c>
      <c r="D32" s="3">
        <v>5</v>
      </c>
      <c r="E32" s="31">
        <v>10</v>
      </c>
      <c r="F32" s="3">
        <v>20</v>
      </c>
      <c r="G32" s="3">
        <v>30</v>
      </c>
      <c r="H32" s="3">
        <v>40</v>
      </c>
      <c r="I32" s="3">
        <v>50</v>
      </c>
      <c r="J32" s="3">
        <v>60</v>
      </c>
      <c r="K32" s="3">
        <v>80</v>
      </c>
      <c r="L32" s="3">
        <v>110</v>
      </c>
      <c r="M32" s="3"/>
      <c r="N32" s="3"/>
      <c r="O32" s="3" t="s">
        <v>250</v>
      </c>
      <c r="Q32" s="12" t="s">
        <v>186</v>
      </c>
      <c r="R32" s="12" t="s">
        <v>359</v>
      </c>
    </row>
    <row r="33" spans="2:18" ht="15" thickBot="1">
      <c r="B33" s="3" t="s">
        <v>329</v>
      </c>
      <c r="C33" s="5"/>
      <c r="D33" s="51">
        <v>5.0599999999999996</v>
      </c>
      <c r="E33" s="51">
        <v>5.0599999999999996</v>
      </c>
      <c r="F33" s="51">
        <v>5.0599999999999996</v>
      </c>
      <c r="G33" s="51">
        <v>5.0599999999999996</v>
      </c>
      <c r="H33" s="51">
        <v>5.0599999999999996</v>
      </c>
      <c r="I33" s="51">
        <v>5.0599999999999996</v>
      </c>
      <c r="J33" s="51">
        <v>5.0599999999999996</v>
      </c>
      <c r="K33" s="51">
        <v>5.0599999999999996</v>
      </c>
      <c r="L33" s="51">
        <v>5.0599999999999996</v>
      </c>
      <c r="M33" s="52">
        <v>0.2</v>
      </c>
      <c r="N33" s="3" t="s">
        <v>361</v>
      </c>
      <c r="O33" s="3" t="s">
        <v>310</v>
      </c>
      <c r="Q33" s="12" t="s">
        <v>188</v>
      </c>
      <c r="R33" s="12" t="s">
        <v>264</v>
      </c>
    </row>
    <row r="34" spans="2:18" ht="15" thickBot="1">
      <c r="B34" s="3" t="s">
        <v>332</v>
      </c>
      <c r="C34" s="5"/>
      <c r="D34" s="51">
        <v>3.96</v>
      </c>
      <c r="E34" s="51">
        <v>3.96</v>
      </c>
      <c r="F34" s="51">
        <v>3.96</v>
      </c>
      <c r="G34" s="51">
        <v>3.96</v>
      </c>
      <c r="H34" s="51">
        <v>3.96</v>
      </c>
      <c r="I34" s="51">
        <v>3.96</v>
      </c>
      <c r="J34" s="51">
        <v>3.96</v>
      </c>
      <c r="K34" s="51">
        <v>3.96</v>
      </c>
      <c r="L34" s="51">
        <v>3.96</v>
      </c>
      <c r="M34" s="52">
        <v>0.2</v>
      </c>
      <c r="N34" s="3" t="s">
        <v>361</v>
      </c>
      <c r="O34" s="3" t="s">
        <v>310</v>
      </c>
      <c r="Q34" s="12" t="s">
        <v>192</v>
      </c>
      <c r="R34" s="12" t="s">
        <v>265</v>
      </c>
    </row>
    <row r="35" spans="2:18" ht="15" thickBot="1">
      <c r="B35" s="3" t="s">
        <v>334</v>
      </c>
      <c r="C35" s="5"/>
      <c r="D35" s="51">
        <v>3.47</v>
      </c>
      <c r="E35" s="51">
        <v>3.47</v>
      </c>
      <c r="F35" s="51">
        <v>3.47</v>
      </c>
      <c r="G35" s="51">
        <v>3.47</v>
      </c>
      <c r="H35" s="51">
        <v>3.47</v>
      </c>
      <c r="I35" s="51">
        <v>3.47</v>
      </c>
      <c r="J35" s="51">
        <v>3.47</v>
      </c>
      <c r="K35" s="51">
        <v>3.47</v>
      </c>
      <c r="L35" s="51">
        <v>3.47</v>
      </c>
      <c r="M35" s="52">
        <v>0.2</v>
      </c>
      <c r="N35" s="3" t="s">
        <v>361</v>
      </c>
      <c r="O35" s="3" t="s">
        <v>310</v>
      </c>
      <c r="Q35" s="12" t="s">
        <v>172</v>
      </c>
      <c r="R35" s="12" t="s">
        <v>266</v>
      </c>
    </row>
    <row r="36" spans="2:18" ht="15" thickBot="1">
      <c r="B36" s="3" t="s">
        <v>362</v>
      </c>
      <c r="C36" s="5" t="s">
        <v>227</v>
      </c>
      <c r="D36" s="3">
        <v>20</v>
      </c>
      <c r="E36" s="3">
        <v>20</v>
      </c>
      <c r="F36" s="3">
        <v>20</v>
      </c>
      <c r="G36" s="3">
        <v>20</v>
      </c>
      <c r="H36" s="3">
        <v>20</v>
      </c>
      <c r="I36" s="3">
        <v>20</v>
      </c>
      <c r="J36" s="3">
        <v>20</v>
      </c>
      <c r="K36" s="3">
        <v>20</v>
      </c>
      <c r="L36" s="3">
        <v>20</v>
      </c>
      <c r="M36" s="3"/>
      <c r="N36" s="3" t="s">
        <v>151</v>
      </c>
      <c r="O36" s="3"/>
      <c r="Q36" s="12" t="s">
        <v>179</v>
      </c>
      <c r="R36" s="12" t="s">
        <v>267</v>
      </c>
    </row>
    <row r="37" spans="2:18" ht="15" thickBot="1">
      <c r="B37" s="3" t="s">
        <v>363</v>
      </c>
      <c r="C37" s="5" t="s">
        <v>227</v>
      </c>
      <c r="D37" s="3">
        <v>50</v>
      </c>
      <c r="E37" s="3">
        <v>50</v>
      </c>
      <c r="F37" s="3">
        <v>50</v>
      </c>
      <c r="G37" s="3">
        <v>50</v>
      </c>
      <c r="H37" s="3">
        <v>50</v>
      </c>
      <c r="I37" s="3">
        <v>50</v>
      </c>
      <c r="J37" s="3">
        <v>50</v>
      </c>
      <c r="K37" s="3">
        <v>50</v>
      </c>
      <c r="L37" s="3">
        <v>50</v>
      </c>
      <c r="M37" s="3"/>
      <c r="N37" s="3" t="s">
        <v>364</v>
      </c>
      <c r="O37" s="3"/>
      <c r="Q37" s="12" t="s">
        <v>196</v>
      </c>
      <c r="R37" s="12" t="s">
        <v>347</v>
      </c>
    </row>
    <row r="38" spans="2:18" ht="15" thickBot="1">
      <c r="B38" s="1" t="s">
        <v>229</v>
      </c>
      <c r="C38" s="2" t="s">
        <v>216</v>
      </c>
      <c r="D38" s="1"/>
      <c r="E38" s="1"/>
      <c r="F38" s="1"/>
      <c r="G38" s="1"/>
      <c r="H38" s="1"/>
      <c r="I38" s="1"/>
      <c r="J38" s="1"/>
      <c r="K38" s="1"/>
      <c r="L38" s="1"/>
      <c r="M38" s="1"/>
      <c r="N38" s="1"/>
      <c r="O38" s="1"/>
      <c r="Q38" s="12" t="s">
        <v>198</v>
      </c>
      <c r="R38" s="12" t="s">
        <v>348</v>
      </c>
    </row>
    <row r="39" spans="2:18" ht="15" thickBot="1">
      <c r="B39" s="3" t="s">
        <v>230</v>
      </c>
      <c r="C39" s="3" t="s">
        <v>318</v>
      </c>
      <c r="D39" s="41">
        <v>2828</v>
      </c>
      <c r="E39" s="41">
        <v>1954</v>
      </c>
      <c r="F39" s="41">
        <v>1391</v>
      </c>
      <c r="G39" s="41">
        <v>1153</v>
      </c>
      <c r="H39" s="41">
        <v>1013</v>
      </c>
      <c r="I39" s="41">
        <v>919</v>
      </c>
      <c r="J39" s="41">
        <v>849</v>
      </c>
      <c r="K39" s="41">
        <v>751</v>
      </c>
      <c r="L39" s="41">
        <v>657</v>
      </c>
      <c r="M39" s="52">
        <v>0.35</v>
      </c>
      <c r="N39" s="3" t="s">
        <v>365</v>
      </c>
      <c r="O39" s="13" t="s">
        <v>387</v>
      </c>
      <c r="Q39" s="12" t="s">
        <v>200</v>
      </c>
      <c r="R39" s="12" t="s">
        <v>388</v>
      </c>
    </row>
    <row r="40" spans="2:18" ht="15" thickBot="1">
      <c r="B40" s="36" t="s">
        <v>236</v>
      </c>
      <c r="C40" s="3" t="s">
        <v>223</v>
      </c>
      <c r="D40" s="46">
        <v>66</v>
      </c>
      <c r="E40" s="46">
        <v>75</v>
      </c>
      <c r="F40" s="46">
        <v>82</v>
      </c>
      <c r="G40" s="46">
        <v>86</v>
      </c>
      <c r="H40" s="46">
        <v>88</v>
      </c>
      <c r="I40" s="46">
        <v>89</v>
      </c>
      <c r="J40" s="46">
        <v>90</v>
      </c>
      <c r="K40" s="46">
        <v>90</v>
      </c>
      <c r="L40" s="46">
        <v>90</v>
      </c>
      <c r="M40" s="54"/>
      <c r="N40" s="3"/>
      <c r="O40" s="54"/>
      <c r="Q40" s="12" t="s">
        <v>364</v>
      </c>
      <c r="R40" s="12" t="s">
        <v>389</v>
      </c>
    </row>
    <row r="41" spans="2:18" ht="15" thickBot="1">
      <c r="B41" s="36" t="s">
        <v>237</v>
      </c>
      <c r="C41" s="3" t="s">
        <v>223</v>
      </c>
      <c r="D41" s="46">
        <v>34</v>
      </c>
      <c r="E41" s="46">
        <v>25</v>
      </c>
      <c r="F41" s="46">
        <v>18</v>
      </c>
      <c r="G41" s="46">
        <v>14</v>
      </c>
      <c r="H41" s="46">
        <v>12</v>
      </c>
      <c r="I41" s="46">
        <v>11</v>
      </c>
      <c r="J41" s="46">
        <v>10</v>
      </c>
      <c r="K41" s="46">
        <v>10</v>
      </c>
      <c r="L41" s="46">
        <v>10</v>
      </c>
      <c r="M41" s="54"/>
      <c r="N41" s="3"/>
      <c r="O41" s="54" t="s">
        <v>240</v>
      </c>
      <c r="Q41" s="12" t="s">
        <v>390</v>
      </c>
      <c r="R41" s="12" t="s">
        <v>391</v>
      </c>
    </row>
    <row r="42" spans="2:18" ht="15" thickBot="1">
      <c r="B42" s="30" t="s">
        <v>367</v>
      </c>
      <c r="C42" s="3" t="s">
        <v>318</v>
      </c>
      <c r="D42" s="41">
        <v>1800</v>
      </c>
      <c r="E42" s="41">
        <v>1637</v>
      </c>
      <c r="F42" s="41">
        <v>1591</v>
      </c>
      <c r="G42" s="41">
        <v>1579</v>
      </c>
      <c r="H42" s="41">
        <v>1573</v>
      </c>
      <c r="I42" s="41">
        <v>1487</v>
      </c>
      <c r="J42" s="41">
        <v>1410</v>
      </c>
      <c r="K42" s="41">
        <v>1348</v>
      </c>
      <c r="L42" s="41">
        <v>1273</v>
      </c>
      <c r="M42" s="54"/>
      <c r="N42" s="3" t="s">
        <v>368</v>
      </c>
      <c r="O42" s="54" t="s">
        <v>392</v>
      </c>
    </row>
    <row r="43" spans="2:18" ht="15" thickBot="1">
      <c r="B43" s="30" t="s">
        <v>352</v>
      </c>
      <c r="C43" s="3" t="s">
        <v>318</v>
      </c>
      <c r="D43" s="41">
        <v>4628</v>
      </c>
      <c r="E43" s="41">
        <v>3591</v>
      </c>
      <c r="F43" s="41">
        <v>2983</v>
      </c>
      <c r="G43" s="41">
        <v>2733</v>
      </c>
      <c r="H43" s="41">
        <v>2586</v>
      </c>
      <c r="I43" s="41">
        <v>2405</v>
      </c>
      <c r="J43" s="41">
        <v>2259</v>
      </c>
      <c r="K43" s="41">
        <v>2099</v>
      </c>
      <c r="L43" s="41">
        <v>1930</v>
      </c>
      <c r="M43" s="52">
        <v>0.35</v>
      </c>
      <c r="N43" s="3"/>
      <c r="O43" s="54"/>
    </row>
    <row r="44" spans="2:18" ht="15" thickBot="1">
      <c r="B44" s="30" t="s">
        <v>371</v>
      </c>
      <c r="C44" s="3" t="s">
        <v>239</v>
      </c>
      <c r="D44" s="41">
        <v>23100</v>
      </c>
      <c r="E44" s="41">
        <v>35900</v>
      </c>
      <c r="F44" s="41">
        <v>59700</v>
      </c>
      <c r="G44" s="41">
        <v>82000</v>
      </c>
      <c r="H44" s="41">
        <v>103500</v>
      </c>
      <c r="I44" s="41">
        <v>120300</v>
      </c>
      <c r="J44" s="41">
        <v>135600</v>
      </c>
      <c r="K44" s="41">
        <v>167900</v>
      </c>
      <c r="L44" s="41">
        <v>212300</v>
      </c>
      <c r="M44" s="52">
        <v>0.35</v>
      </c>
      <c r="N44" s="3"/>
      <c r="O44" s="55"/>
    </row>
    <row r="45" spans="2:18" ht="15" thickBot="1">
      <c r="B45" s="3" t="s">
        <v>242</v>
      </c>
      <c r="C45" s="3" t="s">
        <v>321</v>
      </c>
      <c r="D45" s="41">
        <v>76</v>
      </c>
      <c r="E45" s="41">
        <v>38</v>
      </c>
      <c r="F45" s="41">
        <v>21</v>
      </c>
      <c r="G45" s="41">
        <v>17</v>
      </c>
      <c r="H45" s="41">
        <v>15</v>
      </c>
      <c r="I45" s="41">
        <v>14</v>
      </c>
      <c r="J45" s="41">
        <v>13</v>
      </c>
      <c r="K45" s="41">
        <v>11</v>
      </c>
      <c r="L45" s="41">
        <v>10</v>
      </c>
      <c r="M45" s="13"/>
      <c r="N45" s="3" t="s">
        <v>186</v>
      </c>
      <c r="O45" s="13" t="s">
        <v>373</v>
      </c>
      <c r="Q45" s="4"/>
      <c r="R45" s="12"/>
    </row>
    <row r="46" spans="2:18" ht="15" thickBot="1">
      <c r="B46" s="1" t="s">
        <v>246</v>
      </c>
      <c r="C46" s="2" t="s">
        <v>216</v>
      </c>
      <c r="D46" s="1"/>
      <c r="E46" s="1"/>
      <c r="F46" s="1"/>
      <c r="G46" s="1"/>
      <c r="H46" s="1"/>
      <c r="I46" s="1"/>
      <c r="J46" s="1"/>
      <c r="K46" s="1"/>
      <c r="L46" s="1"/>
      <c r="M46" s="1"/>
      <c r="N46" s="1"/>
      <c r="O46" s="1"/>
    </row>
    <row r="47" spans="2:18" ht="15" thickBot="1">
      <c r="B47" s="3" t="s">
        <v>343</v>
      </c>
      <c r="C47" s="3" t="s">
        <v>318</v>
      </c>
      <c r="D47" s="41">
        <v>671</v>
      </c>
      <c r="E47" s="41">
        <v>540</v>
      </c>
      <c r="F47" s="41">
        <v>469</v>
      </c>
      <c r="G47" s="41">
        <v>385</v>
      </c>
      <c r="H47" s="41">
        <v>352</v>
      </c>
      <c r="I47" s="41">
        <v>329</v>
      </c>
      <c r="J47" s="41">
        <v>310</v>
      </c>
      <c r="K47" s="41">
        <v>284</v>
      </c>
      <c r="L47" s="41">
        <v>257</v>
      </c>
      <c r="M47" s="13"/>
      <c r="N47" s="13" t="s">
        <v>179</v>
      </c>
      <c r="O47" s="13" t="s">
        <v>260</v>
      </c>
      <c r="Q47" s="12"/>
      <c r="R47" s="12"/>
    </row>
    <row r="48" spans="2:18" ht="15" thickBot="1">
      <c r="B48" s="3" t="s">
        <v>343</v>
      </c>
      <c r="C48" s="30" t="s">
        <v>239</v>
      </c>
      <c r="D48" s="41">
        <v>3354</v>
      </c>
      <c r="E48" s="41">
        <v>5404</v>
      </c>
      <c r="F48" s="41">
        <v>9374</v>
      </c>
      <c r="G48" s="41">
        <v>11547</v>
      </c>
      <c r="H48" s="41">
        <v>14082</v>
      </c>
      <c r="I48" s="41">
        <v>16426</v>
      </c>
      <c r="J48" s="41">
        <v>18628</v>
      </c>
      <c r="K48" s="41">
        <v>22719</v>
      </c>
      <c r="L48" s="41">
        <v>28302</v>
      </c>
      <c r="M48" s="13"/>
      <c r="N48" s="13"/>
      <c r="O48" s="13"/>
      <c r="Q48" s="12"/>
      <c r="R48" s="12"/>
    </row>
    <row r="49" spans="2:18" ht="15" thickBot="1">
      <c r="B49" s="3" t="s">
        <v>258</v>
      </c>
      <c r="C49" s="30" t="s">
        <v>239</v>
      </c>
      <c r="D49" s="41">
        <v>1025</v>
      </c>
      <c r="E49" s="41">
        <v>1025</v>
      </c>
      <c r="F49" s="41">
        <v>1726</v>
      </c>
      <c r="G49" s="41">
        <v>1726</v>
      </c>
      <c r="H49" s="41">
        <v>11445</v>
      </c>
      <c r="I49" s="41">
        <v>11445</v>
      </c>
      <c r="J49" s="41">
        <v>11445</v>
      </c>
      <c r="K49" s="41">
        <v>15260</v>
      </c>
      <c r="L49" s="41">
        <v>15260</v>
      </c>
      <c r="M49" s="3"/>
      <c r="N49" s="3" t="s">
        <v>151</v>
      </c>
      <c r="O49" s="3" t="s">
        <v>380</v>
      </c>
      <c r="Q49" s="12"/>
    </row>
    <row r="50" spans="2:18" ht="15" thickBot="1">
      <c r="B50" s="36" t="s">
        <v>259</v>
      </c>
      <c r="C50" s="30" t="s">
        <v>260</v>
      </c>
      <c r="D50" s="41">
        <v>500</v>
      </c>
      <c r="E50" s="41">
        <v>500</v>
      </c>
      <c r="F50" s="41">
        <v>1000</v>
      </c>
      <c r="G50" s="41">
        <v>1000</v>
      </c>
      <c r="H50" s="41">
        <v>1500</v>
      </c>
      <c r="I50" s="41">
        <v>1500</v>
      </c>
      <c r="J50" s="41">
        <v>1500</v>
      </c>
      <c r="K50" s="41">
        <v>2000</v>
      </c>
      <c r="L50" s="41">
        <v>2000</v>
      </c>
      <c r="M50" s="3"/>
      <c r="N50" s="3"/>
      <c r="O50" s="3"/>
    </row>
    <row r="51" spans="2:18" ht="15" thickBot="1">
      <c r="B51" s="36" t="s">
        <v>261</v>
      </c>
      <c r="C51" s="30" t="s">
        <v>262</v>
      </c>
      <c r="D51" s="42">
        <v>2</v>
      </c>
      <c r="E51" s="42">
        <v>2</v>
      </c>
      <c r="F51" s="42">
        <v>1.7</v>
      </c>
      <c r="G51" s="42">
        <v>1.7</v>
      </c>
      <c r="H51" s="42">
        <v>7.6</v>
      </c>
      <c r="I51" s="42">
        <v>7.6</v>
      </c>
      <c r="J51" s="42">
        <v>7.6</v>
      </c>
      <c r="K51" s="42">
        <v>7.6</v>
      </c>
      <c r="L51" s="42">
        <v>7.6</v>
      </c>
      <c r="M51" s="3"/>
      <c r="N51" s="3" t="s">
        <v>151</v>
      </c>
      <c r="O51" s="3"/>
    </row>
    <row r="52" spans="2:18" ht="15" thickBot="1">
      <c r="B52" s="38" t="s">
        <v>263</v>
      </c>
      <c r="C52" s="30"/>
      <c r="D52" s="40">
        <v>27500</v>
      </c>
      <c r="E52" s="40">
        <v>42300</v>
      </c>
      <c r="F52" s="40">
        <v>70800</v>
      </c>
      <c r="G52" s="40">
        <v>95300</v>
      </c>
      <c r="H52" s="40">
        <v>129000</v>
      </c>
      <c r="I52" s="40">
        <v>148200</v>
      </c>
      <c r="J52" s="40">
        <v>165700</v>
      </c>
      <c r="K52" s="40">
        <v>205900</v>
      </c>
      <c r="L52" s="40">
        <v>255900</v>
      </c>
      <c r="M52" s="52">
        <v>0.35</v>
      </c>
      <c r="N52" s="3"/>
      <c r="O52" s="3"/>
    </row>
    <row r="53" spans="2:18">
      <c r="C53" s="43"/>
      <c r="D53" s="10"/>
      <c r="E53" s="10"/>
      <c r="F53" s="10"/>
      <c r="G53" s="10"/>
      <c r="H53" s="10"/>
      <c r="I53" s="10"/>
      <c r="J53" s="10"/>
      <c r="K53" s="10"/>
      <c r="L53" s="10"/>
    </row>
    <row r="54" spans="2:18">
      <c r="D54" s="10"/>
      <c r="E54" s="10"/>
      <c r="F54" s="10"/>
      <c r="G54" s="10"/>
      <c r="H54" s="10"/>
      <c r="I54" s="10"/>
      <c r="J54" s="10"/>
      <c r="K54" s="10"/>
      <c r="L54" s="10"/>
    </row>
    <row r="55" spans="2:18">
      <c r="B55" s="4" t="s">
        <v>214</v>
      </c>
      <c r="C55" s="4">
        <v>2040</v>
      </c>
    </row>
    <row r="56" spans="2:18" ht="15" thickBot="1">
      <c r="B56" s="1" t="s">
        <v>215</v>
      </c>
      <c r="C56" s="2" t="s">
        <v>216</v>
      </c>
      <c r="D56" s="1"/>
      <c r="E56" s="2"/>
      <c r="F56" s="1"/>
      <c r="G56" s="1"/>
      <c r="H56" s="1"/>
      <c r="I56" s="1"/>
      <c r="J56" s="1"/>
      <c r="K56" s="1"/>
      <c r="L56" s="1"/>
      <c r="M56" s="1" t="s">
        <v>217</v>
      </c>
      <c r="N56" s="1" t="s">
        <v>147</v>
      </c>
      <c r="O56" s="1" t="s">
        <v>148</v>
      </c>
      <c r="Q56" s="12"/>
      <c r="R56" s="12"/>
    </row>
    <row r="57" spans="2:18" ht="15" thickBot="1">
      <c r="B57" s="3" t="s">
        <v>220</v>
      </c>
      <c r="C57" s="30" t="s">
        <v>316</v>
      </c>
      <c r="D57" s="3">
        <v>5</v>
      </c>
      <c r="E57" s="31">
        <v>10</v>
      </c>
      <c r="F57" s="3">
        <v>20</v>
      </c>
      <c r="G57" s="3">
        <v>30</v>
      </c>
      <c r="H57" s="3">
        <v>40</v>
      </c>
      <c r="I57" s="3">
        <v>50</v>
      </c>
      <c r="J57" s="3">
        <v>60</v>
      </c>
      <c r="K57" s="3">
        <v>80</v>
      </c>
      <c r="L57" s="3">
        <v>110</v>
      </c>
      <c r="M57" s="3"/>
      <c r="N57" s="3"/>
      <c r="O57" s="3" t="s">
        <v>250</v>
      </c>
      <c r="Q57" s="12"/>
      <c r="R57" s="12"/>
    </row>
    <row r="58" spans="2:18" ht="15" thickBot="1">
      <c r="B58" s="3" t="s">
        <v>329</v>
      </c>
      <c r="C58" s="5" t="s">
        <v>223</v>
      </c>
      <c r="D58" s="51">
        <v>5.98</v>
      </c>
      <c r="E58" s="51">
        <v>5.98</v>
      </c>
      <c r="F58" s="51">
        <v>5.98</v>
      </c>
      <c r="G58" s="51">
        <v>5.98</v>
      </c>
      <c r="H58" s="51">
        <v>5.98</v>
      </c>
      <c r="I58" s="51">
        <v>5.98</v>
      </c>
      <c r="J58" s="51">
        <v>5.98</v>
      </c>
      <c r="K58" s="51">
        <v>5.98</v>
      </c>
      <c r="L58" s="51">
        <v>5.98</v>
      </c>
      <c r="M58" s="52">
        <v>0.2</v>
      </c>
      <c r="N58" s="3" t="s">
        <v>361</v>
      </c>
      <c r="O58" s="3" t="s">
        <v>310</v>
      </c>
      <c r="Q58" s="12"/>
      <c r="R58" s="12"/>
    </row>
    <row r="59" spans="2:18" ht="15" thickBot="1">
      <c r="B59" s="3" t="s">
        <v>332</v>
      </c>
      <c r="C59" s="5"/>
      <c r="D59" s="51">
        <v>4.68</v>
      </c>
      <c r="E59" s="51">
        <v>4.68</v>
      </c>
      <c r="F59" s="51">
        <v>4.68</v>
      </c>
      <c r="G59" s="51">
        <v>4.68</v>
      </c>
      <c r="H59" s="51">
        <v>4.68</v>
      </c>
      <c r="I59" s="51">
        <v>4.68</v>
      </c>
      <c r="J59" s="51">
        <v>4.68</v>
      </c>
      <c r="K59" s="51">
        <v>4.68</v>
      </c>
      <c r="L59" s="51">
        <v>4.68</v>
      </c>
      <c r="M59" s="52">
        <v>0.2</v>
      </c>
      <c r="N59" s="3" t="s">
        <v>361</v>
      </c>
      <c r="O59" s="3" t="s">
        <v>310</v>
      </c>
      <c r="Q59" s="12"/>
      <c r="R59" s="12"/>
    </row>
    <row r="60" spans="2:18" ht="15" thickBot="1">
      <c r="B60" s="3" t="s">
        <v>334</v>
      </c>
      <c r="C60" s="5"/>
      <c r="D60" s="51">
        <v>4.0999999999999996</v>
      </c>
      <c r="E60" s="51">
        <v>4.0999999999999996</v>
      </c>
      <c r="F60" s="51">
        <v>4.0999999999999996</v>
      </c>
      <c r="G60" s="51">
        <v>4.0999999999999996</v>
      </c>
      <c r="H60" s="51">
        <v>4.0999999999999996</v>
      </c>
      <c r="I60" s="51">
        <v>4.0999999999999996</v>
      </c>
      <c r="J60" s="51">
        <v>4.0999999999999996</v>
      </c>
      <c r="K60" s="51">
        <v>4.0999999999999996</v>
      </c>
      <c r="L60" s="51">
        <v>4.0999999999999996</v>
      </c>
      <c r="M60" s="52">
        <v>0.2</v>
      </c>
      <c r="N60" s="3" t="s">
        <v>361</v>
      </c>
      <c r="O60" s="3" t="s">
        <v>310</v>
      </c>
      <c r="R60" s="12"/>
    </row>
    <row r="61" spans="2:18" ht="15" thickBot="1">
      <c r="B61" s="3" t="s">
        <v>362</v>
      </c>
      <c r="C61" s="5" t="s">
        <v>227</v>
      </c>
      <c r="D61" s="3">
        <v>20</v>
      </c>
      <c r="E61" s="3">
        <v>20</v>
      </c>
      <c r="F61" s="3">
        <v>20</v>
      </c>
      <c r="G61" s="3">
        <v>20</v>
      </c>
      <c r="H61" s="3">
        <v>20</v>
      </c>
      <c r="I61" s="3">
        <v>20</v>
      </c>
      <c r="J61" s="3">
        <v>20</v>
      </c>
      <c r="K61" s="3">
        <v>20</v>
      </c>
      <c r="L61" s="3">
        <v>20</v>
      </c>
      <c r="M61" s="3"/>
      <c r="N61" s="3" t="s">
        <v>151</v>
      </c>
      <c r="O61" s="3"/>
    </row>
    <row r="62" spans="2:18" ht="15" thickBot="1">
      <c r="B62" s="3" t="s">
        <v>363</v>
      </c>
      <c r="C62" s="5" t="s">
        <v>227</v>
      </c>
      <c r="D62" s="3">
        <v>50</v>
      </c>
      <c r="E62" s="3">
        <v>50</v>
      </c>
      <c r="F62" s="3">
        <v>50</v>
      </c>
      <c r="G62" s="3">
        <v>50</v>
      </c>
      <c r="H62" s="3">
        <v>50</v>
      </c>
      <c r="I62" s="3">
        <v>50</v>
      </c>
      <c r="J62" s="3">
        <v>50</v>
      </c>
      <c r="K62" s="3">
        <v>50</v>
      </c>
      <c r="L62" s="3">
        <v>50</v>
      </c>
      <c r="M62" s="3"/>
      <c r="N62" s="3" t="s">
        <v>364</v>
      </c>
      <c r="O62" s="3"/>
    </row>
    <row r="63" spans="2:18" ht="15" thickBot="1">
      <c r="B63" s="1" t="s">
        <v>229</v>
      </c>
      <c r="C63" s="2" t="s">
        <v>216</v>
      </c>
      <c r="D63" s="1"/>
      <c r="E63" s="1"/>
      <c r="F63" s="1"/>
      <c r="G63" s="1"/>
      <c r="H63" s="1"/>
      <c r="I63" s="1"/>
      <c r="J63" s="1"/>
      <c r="K63" s="1"/>
      <c r="L63" s="1"/>
      <c r="M63" s="1"/>
      <c r="N63" s="1"/>
      <c r="O63" s="1"/>
    </row>
    <row r="64" spans="2:18" ht="15" thickBot="1">
      <c r="B64" s="3" t="s">
        <v>230</v>
      </c>
      <c r="C64" s="3" t="s">
        <v>318</v>
      </c>
      <c r="D64" s="41">
        <v>2558</v>
      </c>
      <c r="E64" s="41">
        <v>1767</v>
      </c>
      <c r="F64" s="41">
        <v>1258</v>
      </c>
      <c r="G64" s="41">
        <v>1043</v>
      </c>
      <c r="H64" s="41">
        <v>917</v>
      </c>
      <c r="I64" s="41">
        <v>831</v>
      </c>
      <c r="J64" s="41">
        <v>768</v>
      </c>
      <c r="K64" s="41">
        <v>679</v>
      </c>
      <c r="L64" s="41">
        <v>594</v>
      </c>
      <c r="M64" s="52">
        <v>0.45</v>
      </c>
      <c r="N64" s="3" t="s">
        <v>365</v>
      </c>
      <c r="O64" s="13" t="s">
        <v>387</v>
      </c>
    </row>
    <row r="65" spans="2:15" ht="15" thickBot="1">
      <c r="B65" s="36" t="s">
        <v>236</v>
      </c>
      <c r="C65" s="3" t="s">
        <v>223</v>
      </c>
      <c r="D65" s="46">
        <v>59</v>
      </c>
      <c r="E65" s="46">
        <v>69</v>
      </c>
      <c r="F65" s="46">
        <v>77</v>
      </c>
      <c r="G65" s="46">
        <v>82</v>
      </c>
      <c r="H65" s="46">
        <v>84</v>
      </c>
      <c r="I65" s="46">
        <v>86</v>
      </c>
      <c r="J65" s="46">
        <v>87</v>
      </c>
      <c r="K65" s="46">
        <v>89</v>
      </c>
      <c r="L65" s="46">
        <v>90</v>
      </c>
      <c r="M65" s="54"/>
      <c r="N65" s="3"/>
      <c r="O65" s="54"/>
    </row>
    <row r="66" spans="2:15" ht="15" thickBot="1">
      <c r="B66" s="36" t="s">
        <v>237</v>
      </c>
      <c r="C66" s="3" t="s">
        <v>223</v>
      </c>
      <c r="D66" s="46">
        <v>41</v>
      </c>
      <c r="E66" s="46">
        <v>31</v>
      </c>
      <c r="F66" s="46">
        <v>23</v>
      </c>
      <c r="G66" s="46">
        <v>18</v>
      </c>
      <c r="H66" s="46">
        <v>16</v>
      </c>
      <c r="I66" s="46">
        <v>14</v>
      </c>
      <c r="J66" s="46">
        <v>13</v>
      </c>
      <c r="K66" s="46">
        <v>11</v>
      </c>
      <c r="L66" s="46">
        <v>10</v>
      </c>
      <c r="M66" s="54"/>
      <c r="N66" s="3"/>
      <c r="O66" s="54" t="s">
        <v>240</v>
      </c>
    </row>
    <row r="67" spans="2:15" ht="15" thickBot="1">
      <c r="B67" s="30" t="s">
        <v>367</v>
      </c>
      <c r="C67" s="3" t="s">
        <v>318</v>
      </c>
      <c r="D67" s="41">
        <v>1800</v>
      </c>
      <c r="E67" s="41">
        <v>1637</v>
      </c>
      <c r="F67" s="41">
        <v>1591</v>
      </c>
      <c r="G67" s="41">
        <v>1579</v>
      </c>
      <c r="H67" s="41">
        <v>1573</v>
      </c>
      <c r="I67" s="41">
        <v>1487</v>
      </c>
      <c r="J67" s="41">
        <v>1410</v>
      </c>
      <c r="K67" s="41">
        <v>1348</v>
      </c>
      <c r="L67" s="41">
        <v>1273</v>
      </c>
      <c r="M67" s="54"/>
      <c r="N67" s="3" t="s">
        <v>368</v>
      </c>
      <c r="O67" s="54" t="s">
        <v>392</v>
      </c>
    </row>
    <row r="68" spans="2:15" ht="15" thickBot="1">
      <c r="B68" s="30" t="s">
        <v>352</v>
      </c>
      <c r="C68" s="3" t="s">
        <v>318</v>
      </c>
      <c r="D68" s="41">
        <v>4358</v>
      </c>
      <c r="E68" s="41">
        <v>3404</v>
      </c>
      <c r="F68" s="41">
        <v>2850</v>
      </c>
      <c r="G68" s="41">
        <v>2622</v>
      </c>
      <c r="H68" s="41">
        <v>2489</v>
      </c>
      <c r="I68" s="41">
        <v>2318</v>
      </c>
      <c r="J68" s="41">
        <v>2178</v>
      </c>
      <c r="K68" s="41">
        <v>2027</v>
      </c>
      <c r="L68" s="41">
        <v>1867</v>
      </c>
      <c r="M68" s="52">
        <v>0.45</v>
      </c>
      <c r="N68" s="3"/>
      <c r="O68" s="54"/>
    </row>
    <row r="69" spans="2:15" ht="15" thickBot="1">
      <c r="B69" s="30" t="s">
        <v>371</v>
      </c>
      <c r="C69" s="3" t="s">
        <v>239</v>
      </c>
      <c r="D69" s="41">
        <v>21800</v>
      </c>
      <c r="E69" s="41">
        <v>34000</v>
      </c>
      <c r="F69" s="41">
        <v>57000</v>
      </c>
      <c r="G69" s="41">
        <v>78700</v>
      </c>
      <c r="H69" s="41">
        <v>99600</v>
      </c>
      <c r="I69" s="41">
        <v>115900</v>
      </c>
      <c r="J69" s="41">
        <v>130700</v>
      </c>
      <c r="K69" s="41">
        <v>162200</v>
      </c>
      <c r="L69" s="41">
        <v>205400</v>
      </c>
      <c r="M69" s="52">
        <v>0.45</v>
      </c>
      <c r="N69" s="3"/>
      <c r="O69" s="55"/>
    </row>
    <row r="70" spans="2:15" ht="15" thickBot="1">
      <c r="B70" s="3" t="s">
        <v>242</v>
      </c>
      <c r="C70" s="3" t="s">
        <v>321</v>
      </c>
      <c r="D70" s="41">
        <v>76</v>
      </c>
      <c r="E70" s="41">
        <v>38</v>
      </c>
      <c r="F70" s="41">
        <v>19</v>
      </c>
      <c r="G70" s="41">
        <v>16</v>
      </c>
      <c r="H70" s="41">
        <v>14</v>
      </c>
      <c r="I70" s="41">
        <v>12</v>
      </c>
      <c r="J70" s="41">
        <v>12</v>
      </c>
      <c r="K70" s="41">
        <v>10</v>
      </c>
      <c r="L70" s="41">
        <v>9</v>
      </c>
      <c r="M70" s="13"/>
      <c r="N70" s="3" t="s">
        <v>186</v>
      </c>
      <c r="O70" s="13" t="s">
        <v>373</v>
      </c>
    </row>
    <row r="71" spans="2:15" ht="15" thickBot="1">
      <c r="B71" s="1" t="s">
        <v>246</v>
      </c>
      <c r="C71" s="2" t="s">
        <v>216</v>
      </c>
      <c r="D71" s="1"/>
      <c r="E71" s="1"/>
      <c r="F71" s="1"/>
      <c r="G71" s="1"/>
      <c r="H71" s="1"/>
      <c r="I71" s="1"/>
      <c r="J71" s="1"/>
      <c r="K71" s="1"/>
      <c r="L71" s="1"/>
      <c r="M71" s="1"/>
      <c r="N71" s="1"/>
      <c r="O71" s="1"/>
    </row>
    <row r="72" spans="2:15" ht="15" thickBot="1">
      <c r="B72" s="3" t="s">
        <v>343</v>
      </c>
      <c r="C72" s="3" t="s">
        <v>318</v>
      </c>
      <c r="D72" s="41">
        <v>671</v>
      </c>
      <c r="E72" s="41">
        <v>540</v>
      </c>
      <c r="F72" s="41">
        <v>469</v>
      </c>
      <c r="G72" s="41">
        <v>385</v>
      </c>
      <c r="H72" s="41">
        <v>352</v>
      </c>
      <c r="I72" s="41">
        <v>329</v>
      </c>
      <c r="J72" s="41">
        <v>310</v>
      </c>
      <c r="K72" s="41">
        <v>284</v>
      </c>
      <c r="L72" s="41">
        <v>257</v>
      </c>
      <c r="M72" s="13"/>
      <c r="N72" s="13" t="s">
        <v>179</v>
      </c>
      <c r="O72" s="13" t="s">
        <v>260</v>
      </c>
    </row>
    <row r="73" spans="2:15" ht="15" thickBot="1">
      <c r="B73" s="3" t="s">
        <v>343</v>
      </c>
      <c r="C73" s="30" t="s">
        <v>239</v>
      </c>
      <c r="D73" s="41">
        <v>3354</v>
      </c>
      <c r="E73" s="41">
        <v>5404</v>
      </c>
      <c r="F73" s="41">
        <v>9374</v>
      </c>
      <c r="G73" s="41">
        <v>11547</v>
      </c>
      <c r="H73" s="41">
        <v>14082</v>
      </c>
      <c r="I73" s="41">
        <v>16426</v>
      </c>
      <c r="J73" s="41">
        <v>18628</v>
      </c>
      <c r="K73" s="41">
        <v>22719</v>
      </c>
      <c r="L73" s="41">
        <v>28302</v>
      </c>
      <c r="M73" s="13"/>
      <c r="N73" s="13"/>
      <c r="O73" s="13"/>
    </row>
    <row r="74" spans="2:15" ht="15" thickBot="1">
      <c r="B74" s="3" t="s">
        <v>258</v>
      </c>
      <c r="C74" s="30" t="s">
        <v>239</v>
      </c>
      <c r="D74" s="41">
        <v>1025</v>
      </c>
      <c r="E74" s="41">
        <v>1025</v>
      </c>
      <c r="F74" s="41">
        <v>1726</v>
      </c>
      <c r="G74" s="41">
        <v>1726</v>
      </c>
      <c r="H74" s="41">
        <v>11445</v>
      </c>
      <c r="I74" s="41">
        <v>11445</v>
      </c>
      <c r="J74" s="41">
        <v>11445</v>
      </c>
      <c r="K74" s="41">
        <v>15260</v>
      </c>
      <c r="L74" s="41">
        <v>15260</v>
      </c>
      <c r="M74" s="3"/>
      <c r="N74" s="3" t="s">
        <v>151</v>
      </c>
      <c r="O74" s="3" t="s">
        <v>380</v>
      </c>
    </row>
    <row r="75" spans="2:15" ht="15" thickBot="1">
      <c r="B75" s="36" t="s">
        <v>259</v>
      </c>
      <c r="C75" s="30" t="s">
        <v>260</v>
      </c>
      <c r="D75" s="41">
        <v>500</v>
      </c>
      <c r="E75" s="41">
        <v>500</v>
      </c>
      <c r="F75" s="41">
        <v>1000</v>
      </c>
      <c r="G75" s="41">
        <v>1000</v>
      </c>
      <c r="H75" s="41">
        <v>1500</v>
      </c>
      <c r="I75" s="41">
        <v>1500</v>
      </c>
      <c r="J75" s="41">
        <v>1500</v>
      </c>
      <c r="K75" s="41">
        <v>2000</v>
      </c>
      <c r="L75" s="41">
        <v>2000</v>
      </c>
      <c r="M75" s="3"/>
      <c r="N75" s="3"/>
      <c r="O75" s="3"/>
    </row>
    <row r="76" spans="2:15" ht="15" thickBot="1">
      <c r="B76" s="36" t="s">
        <v>261</v>
      </c>
      <c r="C76" s="30" t="s">
        <v>262</v>
      </c>
      <c r="D76" s="42">
        <v>2</v>
      </c>
      <c r="E76" s="42">
        <v>2</v>
      </c>
      <c r="F76" s="42">
        <v>1.7</v>
      </c>
      <c r="G76" s="42">
        <v>1.7</v>
      </c>
      <c r="H76" s="42">
        <v>7.6</v>
      </c>
      <c r="I76" s="42">
        <v>7.6</v>
      </c>
      <c r="J76" s="42">
        <v>7.6</v>
      </c>
      <c r="K76" s="42">
        <v>7.6</v>
      </c>
      <c r="L76" s="42">
        <v>7.6</v>
      </c>
      <c r="M76" s="3"/>
      <c r="N76" s="3" t="s">
        <v>151</v>
      </c>
      <c r="O76" s="3"/>
    </row>
    <row r="77" spans="2:15" ht="15" thickBot="1">
      <c r="B77" s="38" t="s">
        <v>263</v>
      </c>
      <c r="C77" s="30"/>
      <c r="D77" s="40">
        <v>26200</v>
      </c>
      <c r="E77" s="40">
        <v>40400</v>
      </c>
      <c r="F77" s="40">
        <v>68100</v>
      </c>
      <c r="G77" s="40">
        <v>92000</v>
      </c>
      <c r="H77" s="40">
        <v>125100</v>
      </c>
      <c r="I77" s="40">
        <v>143800</v>
      </c>
      <c r="J77" s="40">
        <v>160800</v>
      </c>
      <c r="K77" s="40">
        <v>200200</v>
      </c>
      <c r="L77" s="40">
        <v>249000</v>
      </c>
      <c r="M77" s="52">
        <v>0.45</v>
      </c>
      <c r="N77" s="3"/>
      <c r="O77" s="3"/>
    </row>
    <row r="78" spans="2:15">
      <c r="D78" s="10"/>
      <c r="E78" s="10"/>
      <c r="F78" s="10"/>
      <c r="G78" s="10"/>
      <c r="H78" s="10"/>
      <c r="I78" s="10"/>
      <c r="J78" s="10"/>
      <c r="K78" s="10"/>
      <c r="L78" s="10"/>
    </row>
    <row r="79" spans="2:15">
      <c r="D79" s="10"/>
      <c r="E79" s="10"/>
      <c r="F79" s="10"/>
      <c r="G79" s="10"/>
      <c r="H79" s="10"/>
      <c r="I79" s="10"/>
      <c r="J79" s="10"/>
      <c r="K79" s="10"/>
      <c r="L79" s="10"/>
    </row>
  </sheetData>
  <mergeCells count="1">
    <mergeCell ref="I2:N3"/>
  </mergeCells>
  <conditionalFormatting sqref="M17">
    <cfRule type="colorScale" priority="9">
      <colorScale>
        <cfvo type="num" val="0"/>
        <cfvo type="num" val="0.5"/>
        <color theme="0"/>
        <color theme="5"/>
      </colorScale>
    </cfRule>
  </conditionalFormatting>
  <conditionalFormatting sqref="M18">
    <cfRule type="colorScale" priority="8">
      <colorScale>
        <cfvo type="num" val="0"/>
        <cfvo type="num" val="0.5"/>
        <color theme="0"/>
        <color theme="5"/>
      </colorScale>
    </cfRule>
  </conditionalFormatting>
  <conditionalFormatting sqref="M26">
    <cfRule type="colorScale" priority="7">
      <colorScale>
        <cfvo type="num" val="0"/>
        <cfvo type="num" val="0.5"/>
        <color theme="0"/>
        <color theme="5"/>
      </colorScale>
    </cfRule>
  </conditionalFormatting>
  <conditionalFormatting sqref="M43">
    <cfRule type="colorScale" priority="6">
      <colorScale>
        <cfvo type="num" val="0"/>
        <cfvo type="num" val="0.5"/>
        <color theme="0"/>
        <color theme="5"/>
      </colorScale>
    </cfRule>
  </conditionalFormatting>
  <conditionalFormatting sqref="M44">
    <cfRule type="colorScale" priority="5">
      <colorScale>
        <cfvo type="num" val="0"/>
        <cfvo type="num" val="0.5"/>
        <color theme="0"/>
        <color theme="5"/>
      </colorScale>
    </cfRule>
  </conditionalFormatting>
  <conditionalFormatting sqref="M52">
    <cfRule type="colorScale" priority="4">
      <colorScale>
        <cfvo type="num" val="0"/>
        <cfvo type="num" val="0.5"/>
        <color theme="0"/>
        <color theme="5"/>
      </colorScale>
    </cfRule>
  </conditionalFormatting>
  <conditionalFormatting sqref="M68">
    <cfRule type="colorScale" priority="3">
      <colorScale>
        <cfvo type="num" val="0"/>
        <cfvo type="num" val="0.5"/>
        <color theme="0"/>
        <color theme="5"/>
      </colorScale>
    </cfRule>
  </conditionalFormatting>
  <conditionalFormatting sqref="M69">
    <cfRule type="colorScale" priority="2">
      <colorScale>
        <cfvo type="num" val="0"/>
        <cfvo type="num" val="0.5"/>
        <color theme="0"/>
        <color theme="5"/>
      </colorScale>
    </cfRule>
  </conditionalFormatting>
  <conditionalFormatting sqref="M77">
    <cfRule type="colorScale" priority="1">
      <colorScale>
        <cfvo type="num" val="0"/>
        <cfvo type="num" val="0.5"/>
        <color theme="0"/>
        <color theme="5"/>
      </colorScale>
    </cfRule>
  </conditionalFormatting>
  <conditionalFormatting sqref="AB8:AB10 M13 M39 M64 M58:M60 M33:M35 M7:M9">
    <cfRule type="colorScale" priority="10">
      <colorScale>
        <cfvo type="num" val="0"/>
        <cfvo type="num" val="0.5"/>
        <color theme="0"/>
        <color theme="5"/>
      </colorScale>
    </cfRule>
  </conditionalFormatting>
  <hyperlinks>
    <hyperlink ref="A1" location="Inhalt!A1" display="Zum Inhalt" xr:uid="{F1289932-41B7-4664-A49C-CCAD6ABEE793}"/>
  </hyperlinks>
  <pageMargins left="0.7" right="0.7" top="0.78740157499999996" bottom="0.78740157499999996" header="0.3" footer="0.3"/>
  <pageSetup paperSize="9" orientation="portrait"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78A3-0DF8-4FFB-AE95-92DBD8ADF68F}">
  <sheetPr codeName="Tabelle15"/>
  <dimension ref="A1:AB76"/>
  <sheetViews>
    <sheetView zoomScaleNormal="100" workbookViewId="0"/>
  </sheetViews>
  <sheetFormatPr baseColWidth="10" defaultColWidth="11.44140625" defaultRowHeight="14.4"/>
  <cols>
    <col min="2" max="2" width="41" customWidth="1"/>
    <col min="13" max="13" width="10.5546875" bestFit="1" customWidth="1"/>
    <col min="15" max="15" width="10.88671875" bestFit="1" customWidth="1"/>
    <col min="17" max="17" width="13.88671875" bestFit="1" customWidth="1"/>
  </cols>
  <sheetData>
    <row r="1" spans="1:28" ht="28.2" thickBot="1">
      <c r="A1" s="99" t="s">
        <v>143</v>
      </c>
    </row>
    <row r="2" spans="1:28">
      <c r="H2" s="142" t="s">
        <v>212</v>
      </c>
      <c r="I2" s="143"/>
      <c r="J2" s="143"/>
      <c r="K2" s="143"/>
      <c r="L2" s="143"/>
      <c r="M2" s="144"/>
    </row>
    <row r="3" spans="1:28" ht="21.9" customHeight="1" thickBot="1">
      <c r="B3" s="4" t="s">
        <v>213</v>
      </c>
      <c r="C3" s="4" t="s">
        <v>78</v>
      </c>
      <c r="H3" s="145"/>
      <c r="I3" s="146"/>
      <c r="J3" s="146"/>
      <c r="K3" s="146"/>
      <c r="L3" s="146"/>
      <c r="M3" s="147"/>
    </row>
    <row r="4" spans="1:28">
      <c r="B4" s="4" t="s">
        <v>214</v>
      </c>
      <c r="C4" s="4">
        <v>2023</v>
      </c>
    </row>
    <row r="5" spans="1:28" ht="15" thickBot="1">
      <c r="B5" s="1" t="s">
        <v>215</v>
      </c>
      <c r="C5" s="2" t="s">
        <v>216</v>
      </c>
      <c r="D5" s="1"/>
      <c r="E5" s="2"/>
      <c r="F5" s="1"/>
      <c r="G5" s="1"/>
      <c r="H5" s="1"/>
      <c r="I5" s="1"/>
      <c r="J5" s="1"/>
      <c r="K5" s="1"/>
      <c r="L5" s="1"/>
      <c r="M5" s="1" t="s">
        <v>217</v>
      </c>
      <c r="N5" s="1" t="s">
        <v>147</v>
      </c>
      <c r="O5" s="1" t="s">
        <v>148</v>
      </c>
      <c r="Q5" s="4" t="s">
        <v>218</v>
      </c>
      <c r="R5" s="12" t="s">
        <v>315</v>
      </c>
    </row>
    <row r="6" spans="1:28" ht="15" thickBot="1">
      <c r="B6" s="3" t="s">
        <v>220</v>
      </c>
      <c r="C6" s="30" t="s">
        <v>316</v>
      </c>
      <c r="D6" s="3">
        <v>5</v>
      </c>
      <c r="E6" s="31">
        <v>10</v>
      </c>
      <c r="F6" s="3">
        <v>20</v>
      </c>
      <c r="G6" s="3">
        <v>30</v>
      </c>
      <c r="H6" s="3">
        <v>40</v>
      </c>
      <c r="I6" s="3">
        <v>50</v>
      </c>
      <c r="J6" s="3">
        <v>60</v>
      </c>
      <c r="K6" s="3">
        <v>80</v>
      </c>
      <c r="L6" s="3">
        <v>110</v>
      </c>
      <c r="M6" s="3"/>
      <c r="N6" s="3"/>
      <c r="O6" s="3" t="s">
        <v>250</v>
      </c>
      <c r="Q6" s="4" t="s">
        <v>214</v>
      </c>
      <c r="R6" s="4">
        <v>2023</v>
      </c>
      <c r="S6" s="4">
        <v>2030</v>
      </c>
      <c r="T6" s="4">
        <v>2040</v>
      </c>
    </row>
    <row r="7" spans="1:28" ht="15" thickBot="1">
      <c r="B7" s="3" t="s">
        <v>329</v>
      </c>
      <c r="C7" s="5"/>
      <c r="D7" s="51">
        <v>4.5999999999999996</v>
      </c>
      <c r="E7" s="51">
        <v>4.5999999999999996</v>
      </c>
      <c r="F7" s="51">
        <v>4.5999999999999996</v>
      </c>
      <c r="G7" s="51">
        <v>4.5999999999999996</v>
      </c>
      <c r="H7" s="51">
        <v>4.5999999999999996</v>
      </c>
      <c r="I7" s="51">
        <v>4.5999999999999996</v>
      </c>
      <c r="J7" s="51">
        <v>4.5999999999999996</v>
      </c>
      <c r="K7" s="51">
        <v>4.5999999999999996</v>
      </c>
      <c r="L7" s="51">
        <v>4.5999999999999996</v>
      </c>
      <c r="M7" s="52">
        <v>0.2</v>
      </c>
      <c r="N7" s="3" t="s">
        <v>361</v>
      </c>
      <c r="O7" s="3" t="s">
        <v>383</v>
      </c>
      <c r="Q7" s="12" t="s">
        <v>225</v>
      </c>
      <c r="R7" s="12">
        <v>6851.4</v>
      </c>
      <c r="S7" s="12">
        <v>6398</v>
      </c>
      <c r="T7" s="12">
        <v>5884.4</v>
      </c>
    </row>
    <row r="8" spans="1:28" ht="15" thickBot="1">
      <c r="B8" s="3" t="s">
        <v>332</v>
      </c>
      <c r="C8" s="5"/>
      <c r="D8" s="51">
        <v>3.6</v>
      </c>
      <c r="E8" s="51">
        <v>3.6</v>
      </c>
      <c r="F8" s="51">
        <v>3.6</v>
      </c>
      <c r="G8" s="51">
        <v>3.6</v>
      </c>
      <c r="H8" s="51">
        <v>3.6</v>
      </c>
      <c r="I8" s="51">
        <v>3.6</v>
      </c>
      <c r="J8" s="51">
        <v>3.6</v>
      </c>
      <c r="K8" s="51">
        <v>3.6</v>
      </c>
      <c r="L8" s="51">
        <v>3.6</v>
      </c>
      <c r="M8" s="52">
        <v>0.2</v>
      </c>
      <c r="N8" s="3" t="s">
        <v>361</v>
      </c>
      <c r="O8" s="3" t="s">
        <v>383</v>
      </c>
      <c r="Q8" s="12" t="s">
        <v>228</v>
      </c>
      <c r="R8" s="12">
        <v>-0.315</v>
      </c>
      <c r="S8" s="12">
        <v>-0.29899999999999999</v>
      </c>
      <c r="T8" s="12">
        <v>-0.27900000000000003</v>
      </c>
      <c r="AB8" s="44"/>
    </row>
    <row r="9" spans="1:28" ht="15" thickBot="1">
      <c r="B9" s="3" t="s">
        <v>334</v>
      </c>
      <c r="C9" s="5"/>
      <c r="D9" s="51">
        <v>3.15</v>
      </c>
      <c r="E9" s="51">
        <v>3.15</v>
      </c>
      <c r="F9" s="51">
        <v>3.15</v>
      </c>
      <c r="G9" s="51">
        <v>3.15</v>
      </c>
      <c r="H9" s="51">
        <v>3.15</v>
      </c>
      <c r="I9" s="51">
        <v>3.15</v>
      </c>
      <c r="J9" s="51">
        <v>3.15</v>
      </c>
      <c r="K9" s="51">
        <v>3.15</v>
      </c>
      <c r="L9" s="51">
        <v>3.15</v>
      </c>
      <c r="M9" s="52">
        <v>0.2</v>
      </c>
      <c r="N9" s="3" t="s">
        <v>361</v>
      </c>
      <c r="O9" s="3" t="s">
        <v>383</v>
      </c>
      <c r="Q9" s="12" t="s">
        <v>23</v>
      </c>
      <c r="R9" s="12" t="s">
        <v>349</v>
      </c>
      <c r="AB9" s="44"/>
    </row>
    <row r="10" spans="1:28" ht="15" thickBot="1">
      <c r="B10" s="3" t="s">
        <v>362</v>
      </c>
      <c r="C10" s="5" t="s">
        <v>227</v>
      </c>
      <c r="D10" s="3">
        <v>20</v>
      </c>
      <c r="E10" s="3">
        <v>20</v>
      </c>
      <c r="F10" s="3">
        <v>20</v>
      </c>
      <c r="G10" s="3">
        <v>20</v>
      </c>
      <c r="H10" s="3">
        <v>20</v>
      </c>
      <c r="I10" s="3">
        <v>20</v>
      </c>
      <c r="J10" s="3">
        <v>20</v>
      </c>
      <c r="K10" s="3">
        <v>20</v>
      </c>
      <c r="L10" s="3">
        <v>20</v>
      </c>
      <c r="M10" s="3"/>
      <c r="N10" s="3" t="s">
        <v>151</v>
      </c>
      <c r="O10" s="3"/>
      <c r="Q10" s="12"/>
      <c r="AB10" s="44"/>
    </row>
    <row r="11" spans="1:28" ht="15" thickBot="1">
      <c r="B11" s="3" t="s">
        <v>363</v>
      </c>
      <c r="C11" s="5" t="s">
        <v>227</v>
      </c>
      <c r="D11" s="3">
        <v>50</v>
      </c>
      <c r="E11" s="3">
        <v>50</v>
      </c>
      <c r="F11" s="3">
        <v>50</v>
      </c>
      <c r="G11" s="3">
        <v>50</v>
      </c>
      <c r="H11" s="3">
        <v>50</v>
      </c>
      <c r="I11" s="3">
        <v>50</v>
      </c>
      <c r="J11" s="3">
        <v>50</v>
      </c>
      <c r="K11" s="3">
        <v>50</v>
      </c>
      <c r="L11" s="3">
        <v>50</v>
      </c>
      <c r="M11" s="3"/>
      <c r="N11" s="3" t="s">
        <v>364</v>
      </c>
      <c r="O11" s="3"/>
      <c r="Q11" s="4" t="s">
        <v>234</v>
      </c>
      <c r="R11" s="12" t="s">
        <v>338</v>
      </c>
    </row>
    <row r="12" spans="1:28" ht="15" thickBot="1">
      <c r="B12" s="1" t="s">
        <v>229</v>
      </c>
      <c r="C12" s="2" t="s">
        <v>216</v>
      </c>
      <c r="D12" s="1"/>
      <c r="E12" s="1"/>
      <c r="F12" s="1"/>
      <c r="G12" s="1"/>
      <c r="H12" s="1"/>
      <c r="I12" s="1"/>
      <c r="J12" s="1"/>
      <c r="K12" s="1"/>
      <c r="L12" s="1"/>
      <c r="M12" s="1"/>
      <c r="N12" s="1"/>
      <c r="O12" s="1"/>
      <c r="Q12" s="4"/>
      <c r="R12" s="12"/>
    </row>
    <row r="13" spans="1:28" ht="15" thickBot="1">
      <c r="B13" s="3" t="s">
        <v>230</v>
      </c>
      <c r="C13" s="3" t="s">
        <v>318</v>
      </c>
      <c r="D13" s="41">
        <v>3065</v>
      </c>
      <c r="E13" s="41">
        <v>2118</v>
      </c>
      <c r="F13" s="41">
        <v>1508</v>
      </c>
      <c r="G13" s="41">
        <v>1250</v>
      </c>
      <c r="H13" s="41">
        <v>1098</v>
      </c>
      <c r="I13" s="41">
        <v>996</v>
      </c>
      <c r="J13" s="41">
        <v>920</v>
      </c>
      <c r="K13" s="41">
        <v>813</v>
      </c>
      <c r="L13" s="41">
        <v>712</v>
      </c>
      <c r="M13" s="52">
        <v>0.25</v>
      </c>
      <c r="N13" s="3" t="s">
        <v>365</v>
      </c>
      <c r="O13" s="13" t="s">
        <v>249</v>
      </c>
      <c r="Q13" s="4" t="s">
        <v>148</v>
      </c>
    </row>
    <row r="14" spans="1:28" ht="15" thickBot="1">
      <c r="B14" s="36" t="s">
        <v>236</v>
      </c>
      <c r="C14" s="3" t="s">
        <v>223</v>
      </c>
      <c r="D14" s="46">
        <v>71</v>
      </c>
      <c r="E14" s="46">
        <v>79</v>
      </c>
      <c r="F14" s="46">
        <v>85</v>
      </c>
      <c r="G14" s="46">
        <v>88</v>
      </c>
      <c r="H14" s="46">
        <v>90</v>
      </c>
      <c r="I14" s="46">
        <v>90</v>
      </c>
      <c r="J14" s="46">
        <v>90</v>
      </c>
      <c r="K14" s="46">
        <v>90</v>
      </c>
      <c r="L14" s="46">
        <v>90</v>
      </c>
      <c r="M14" s="54"/>
      <c r="N14" s="3"/>
      <c r="O14" s="54"/>
      <c r="Q14" s="12" t="s">
        <v>240</v>
      </c>
      <c r="R14" s="12" t="s">
        <v>393</v>
      </c>
    </row>
    <row r="15" spans="1:28" ht="15" thickBot="1">
      <c r="B15" s="36" t="s">
        <v>237</v>
      </c>
      <c r="C15" s="3" t="s">
        <v>223</v>
      </c>
      <c r="D15" s="46">
        <v>29</v>
      </c>
      <c r="E15" s="46">
        <v>21</v>
      </c>
      <c r="F15" s="46">
        <v>15</v>
      </c>
      <c r="G15" s="46">
        <v>12</v>
      </c>
      <c r="H15" s="46">
        <v>10</v>
      </c>
      <c r="I15" s="46">
        <v>10</v>
      </c>
      <c r="J15" s="46">
        <v>10</v>
      </c>
      <c r="K15" s="46">
        <v>10</v>
      </c>
      <c r="L15" s="46">
        <v>10</v>
      </c>
      <c r="M15" s="54"/>
      <c r="N15" s="3"/>
      <c r="O15" s="54" t="s">
        <v>240</v>
      </c>
      <c r="Q15" s="12" t="s">
        <v>244</v>
      </c>
      <c r="R15" s="12" t="s">
        <v>340</v>
      </c>
    </row>
    <row r="16" spans="1:28" ht="15" thickBot="1">
      <c r="B16" s="30" t="s">
        <v>394</v>
      </c>
      <c r="C16" s="3" t="s">
        <v>318</v>
      </c>
      <c r="D16" s="41">
        <v>1393</v>
      </c>
      <c r="E16" s="41">
        <v>1054</v>
      </c>
      <c r="F16" s="41">
        <v>1007</v>
      </c>
      <c r="G16" s="41">
        <v>1007</v>
      </c>
      <c r="H16" s="41">
        <v>1007</v>
      </c>
      <c r="I16" s="41">
        <v>1007</v>
      </c>
      <c r="J16" s="41">
        <v>1007</v>
      </c>
      <c r="K16" s="41">
        <v>1007</v>
      </c>
      <c r="L16" s="41">
        <v>1007</v>
      </c>
      <c r="M16" s="54"/>
      <c r="N16" s="3" t="s">
        <v>395</v>
      </c>
      <c r="O16" s="54" t="s">
        <v>396</v>
      </c>
      <c r="Q16" s="12" t="s">
        <v>224</v>
      </c>
      <c r="R16" s="12" t="s">
        <v>397</v>
      </c>
    </row>
    <row r="17" spans="2:18" ht="15" thickBot="1">
      <c r="B17" s="30" t="s">
        <v>352</v>
      </c>
      <c r="C17" s="3" t="s">
        <v>318</v>
      </c>
      <c r="D17" s="41">
        <v>4458</v>
      </c>
      <c r="E17" s="41">
        <v>3172</v>
      </c>
      <c r="F17" s="41">
        <v>2515</v>
      </c>
      <c r="G17" s="41">
        <v>2257</v>
      </c>
      <c r="H17" s="41">
        <v>2105</v>
      </c>
      <c r="I17" s="41">
        <v>2003</v>
      </c>
      <c r="J17" s="41">
        <v>1927</v>
      </c>
      <c r="K17" s="41">
        <v>1821</v>
      </c>
      <c r="L17" s="41">
        <v>1719</v>
      </c>
      <c r="M17" s="52">
        <v>0.25</v>
      </c>
      <c r="N17" s="3"/>
      <c r="O17" s="54"/>
      <c r="Q17" s="12" t="s">
        <v>250</v>
      </c>
      <c r="R17" s="12" t="s">
        <v>354</v>
      </c>
    </row>
    <row r="18" spans="2:18" ht="15" thickBot="1">
      <c r="B18" s="30" t="s">
        <v>371</v>
      </c>
      <c r="C18" s="3" t="s">
        <v>239</v>
      </c>
      <c r="D18" s="41">
        <v>22300</v>
      </c>
      <c r="E18" s="41">
        <v>31700</v>
      </c>
      <c r="F18" s="41">
        <v>50300</v>
      </c>
      <c r="G18" s="41">
        <v>67700</v>
      </c>
      <c r="H18" s="41">
        <v>84200</v>
      </c>
      <c r="I18" s="41">
        <v>100100</v>
      </c>
      <c r="J18" s="41">
        <v>115600</v>
      </c>
      <c r="K18" s="41">
        <v>145700</v>
      </c>
      <c r="L18" s="41">
        <v>189100</v>
      </c>
      <c r="M18" s="52">
        <v>0.25</v>
      </c>
      <c r="N18" s="3"/>
      <c r="O18" s="55"/>
      <c r="Q18" s="12" t="s">
        <v>252</v>
      </c>
      <c r="R18" s="12" t="s">
        <v>372</v>
      </c>
    </row>
    <row r="19" spans="2:18" ht="15" thickBot="1">
      <c r="B19" s="3" t="s">
        <v>242</v>
      </c>
      <c r="C19" s="3" t="s">
        <v>321</v>
      </c>
      <c r="D19" s="41">
        <v>76</v>
      </c>
      <c r="E19" s="41">
        <v>38</v>
      </c>
      <c r="F19" s="41">
        <v>23</v>
      </c>
      <c r="G19" s="41">
        <v>19</v>
      </c>
      <c r="H19" s="41">
        <v>16</v>
      </c>
      <c r="I19" s="41">
        <v>15</v>
      </c>
      <c r="J19" s="41">
        <v>14</v>
      </c>
      <c r="K19" s="41">
        <v>12</v>
      </c>
      <c r="L19" s="41">
        <v>11</v>
      </c>
      <c r="M19" s="13"/>
      <c r="N19" s="3" t="s">
        <v>186</v>
      </c>
      <c r="O19" s="13" t="s">
        <v>373</v>
      </c>
      <c r="Q19" s="12" t="s">
        <v>249</v>
      </c>
      <c r="R19" s="12" t="s">
        <v>398</v>
      </c>
    </row>
    <row r="20" spans="2:18" ht="15" thickBot="1">
      <c r="B20" s="1" t="s">
        <v>246</v>
      </c>
      <c r="C20" s="2" t="s">
        <v>216</v>
      </c>
      <c r="D20" s="1"/>
      <c r="E20" s="1"/>
      <c r="F20" s="1"/>
      <c r="G20" s="1"/>
      <c r="H20" s="1"/>
      <c r="I20" s="1"/>
      <c r="J20" s="1"/>
      <c r="K20" s="1"/>
      <c r="L20" s="1"/>
      <c r="M20" s="1"/>
      <c r="N20" s="1"/>
      <c r="O20" s="1"/>
      <c r="Q20" s="12" t="s">
        <v>243</v>
      </c>
      <c r="R20" s="12" t="s">
        <v>399</v>
      </c>
    </row>
    <row r="21" spans="2:18" ht="15" thickBot="1">
      <c r="B21" s="3" t="s">
        <v>343</v>
      </c>
      <c r="C21" s="3" t="s">
        <v>318</v>
      </c>
      <c r="D21" s="41">
        <v>671</v>
      </c>
      <c r="E21" s="41">
        <v>540</v>
      </c>
      <c r="F21" s="41">
        <v>469</v>
      </c>
      <c r="G21" s="41">
        <v>385</v>
      </c>
      <c r="H21" s="41">
        <v>352</v>
      </c>
      <c r="I21" s="41">
        <v>329</v>
      </c>
      <c r="J21" s="41">
        <v>310</v>
      </c>
      <c r="K21" s="41">
        <v>284</v>
      </c>
      <c r="L21" s="41">
        <v>257</v>
      </c>
      <c r="M21" s="13"/>
      <c r="N21" s="13" t="s">
        <v>179</v>
      </c>
      <c r="O21" s="13" t="s">
        <v>380</v>
      </c>
      <c r="Q21" s="12" t="s">
        <v>376</v>
      </c>
      <c r="R21" s="12" t="s">
        <v>377</v>
      </c>
    </row>
    <row r="22" spans="2:18" ht="15" thickBot="1">
      <c r="B22" s="3" t="s">
        <v>343</v>
      </c>
      <c r="C22" s="30" t="s">
        <v>239</v>
      </c>
      <c r="D22" s="41">
        <v>3354</v>
      </c>
      <c r="E22" s="41">
        <v>5404</v>
      </c>
      <c r="F22" s="41">
        <v>9374</v>
      </c>
      <c r="G22" s="41">
        <v>11547</v>
      </c>
      <c r="H22" s="41">
        <v>14082</v>
      </c>
      <c r="I22" s="41">
        <v>16426</v>
      </c>
      <c r="J22" s="41">
        <v>18628</v>
      </c>
      <c r="K22" s="41">
        <v>22719</v>
      </c>
      <c r="L22" s="41">
        <v>28302</v>
      </c>
      <c r="M22" s="13"/>
      <c r="N22" s="13"/>
      <c r="O22" s="13"/>
      <c r="Q22" s="12" t="s">
        <v>381</v>
      </c>
      <c r="R22" s="12" t="s">
        <v>382</v>
      </c>
    </row>
    <row r="23" spans="2:18" ht="15" thickBot="1">
      <c r="B23" s="3" t="s">
        <v>400</v>
      </c>
      <c r="C23" s="30" t="s">
        <v>239</v>
      </c>
      <c r="D23" s="41">
        <v>1025</v>
      </c>
      <c r="E23" s="41">
        <v>1025</v>
      </c>
      <c r="F23" s="41">
        <v>1726</v>
      </c>
      <c r="G23" s="41">
        <v>1726</v>
      </c>
      <c r="H23" s="41">
        <v>11445</v>
      </c>
      <c r="I23" s="41">
        <v>11445</v>
      </c>
      <c r="J23" s="41">
        <v>11445</v>
      </c>
      <c r="K23" s="41">
        <v>15260</v>
      </c>
      <c r="L23" s="41">
        <v>15260</v>
      </c>
      <c r="M23" s="3"/>
      <c r="N23" s="3"/>
      <c r="O23" s="3"/>
      <c r="Q23" s="12" t="s">
        <v>378</v>
      </c>
      <c r="R23" s="12" t="s">
        <v>379</v>
      </c>
    </row>
    <row r="24" spans="2:18" ht="15" thickBot="1">
      <c r="B24" s="36" t="s">
        <v>259</v>
      </c>
      <c r="C24" s="30" t="s">
        <v>260</v>
      </c>
      <c r="D24" s="41">
        <v>500</v>
      </c>
      <c r="E24" s="41">
        <v>500</v>
      </c>
      <c r="F24" s="41">
        <v>1000</v>
      </c>
      <c r="G24" s="41">
        <v>1000</v>
      </c>
      <c r="H24" s="41">
        <v>1500</v>
      </c>
      <c r="I24" s="41">
        <v>1500</v>
      </c>
      <c r="J24" s="41">
        <v>1500</v>
      </c>
      <c r="K24" s="41">
        <v>2000</v>
      </c>
      <c r="L24" s="41">
        <v>2000</v>
      </c>
      <c r="M24" s="3"/>
      <c r="N24" s="3"/>
      <c r="O24" s="3"/>
      <c r="Q24" s="12" t="s">
        <v>383</v>
      </c>
      <c r="R24" s="12" t="s">
        <v>374</v>
      </c>
    </row>
    <row r="25" spans="2:18" ht="15" thickBot="1">
      <c r="B25" s="36" t="s">
        <v>261</v>
      </c>
      <c r="C25" s="30" t="s">
        <v>262</v>
      </c>
      <c r="D25" s="42">
        <v>2</v>
      </c>
      <c r="E25" s="42">
        <v>2</v>
      </c>
      <c r="F25" s="42">
        <v>1.7</v>
      </c>
      <c r="G25" s="42">
        <v>1.7</v>
      </c>
      <c r="H25" s="42">
        <v>7.6</v>
      </c>
      <c r="I25" s="42">
        <v>7.6</v>
      </c>
      <c r="J25" s="42">
        <v>7.6</v>
      </c>
      <c r="K25" s="42">
        <v>7.6</v>
      </c>
      <c r="L25" s="42">
        <v>7.6</v>
      </c>
      <c r="M25" s="3"/>
      <c r="N25" s="3" t="s">
        <v>151</v>
      </c>
      <c r="O25" s="3" t="s">
        <v>385</v>
      </c>
      <c r="Q25" s="12" t="s">
        <v>260</v>
      </c>
      <c r="R25" s="12" t="s">
        <v>384</v>
      </c>
    </row>
    <row r="26" spans="2:18" ht="15" thickBot="1">
      <c r="B26" s="38" t="s">
        <v>263</v>
      </c>
      <c r="C26" s="39" t="s">
        <v>239</v>
      </c>
      <c r="D26" s="40">
        <v>26700</v>
      </c>
      <c r="E26" s="40">
        <v>38100</v>
      </c>
      <c r="F26" s="40">
        <v>61400</v>
      </c>
      <c r="G26" s="40">
        <v>81000</v>
      </c>
      <c r="H26" s="40">
        <v>109700</v>
      </c>
      <c r="I26" s="40">
        <v>128000</v>
      </c>
      <c r="J26" s="40">
        <v>145700</v>
      </c>
      <c r="K26" s="40">
        <v>183700</v>
      </c>
      <c r="L26" s="40">
        <v>232700</v>
      </c>
      <c r="M26" s="52">
        <v>0.25</v>
      </c>
      <c r="N26" s="40"/>
      <c r="O26" s="40"/>
      <c r="Q26" s="12" t="s">
        <v>380</v>
      </c>
      <c r="R26" s="12" t="s">
        <v>345</v>
      </c>
    </row>
    <row r="27" spans="2:18">
      <c r="D27" s="10"/>
      <c r="E27" s="10"/>
      <c r="F27" s="10"/>
      <c r="G27" s="10"/>
      <c r="H27" s="10"/>
      <c r="I27" s="10"/>
      <c r="J27" s="10"/>
      <c r="K27" s="10"/>
      <c r="L27" s="10"/>
      <c r="Q27" s="12" t="s">
        <v>385</v>
      </c>
      <c r="R27" s="12" t="s">
        <v>253</v>
      </c>
    </row>
    <row r="28" spans="2:18">
      <c r="D28" s="57"/>
      <c r="E28" s="57"/>
      <c r="F28" s="57"/>
      <c r="G28" s="57"/>
      <c r="H28" s="57"/>
      <c r="I28" s="57"/>
      <c r="J28" s="57"/>
      <c r="K28" s="57"/>
      <c r="L28" s="57"/>
      <c r="Q28" s="12" t="s">
        <v>401</v>
      </c>
      <c r="R28" s="12" t="s">
        <v>386</v>
      </c>
    </row>
    <row r="29" spans="2:18">
      <c r="B29" s="4" t="s">
        <v>214</v>
      </c>
      <c r="C29" s="4">
        <v>2030</v>
      </c>
      <c r="Q29" s="12"/>
    </row>
    <row r="30" spans="2:18" ht="15" thickBot="1">
      <c r="B30" s="1" t="s">
        <v>215</v>
      </c>
      <c r="C30" s="2" t="s">
        <v>216</v>
      </c>
      <c r="D30" s="1"/>
      <c r="E30" s="2"/>
      <c r="F30" s="1"/>
      <c r="G30" s="1"/>
      <c r="H30" s="1"/>
      <c r="I30" s="1"/>
      <c r="J30" s="1"/>
      <c r="K30" s="1"/>
      <c r="L30" s="1"/>
      <c r="M30" s="1" t="s">
        <v>217</v>
      </c>
      <c r="N30" s="1" t="s">
        <v>147</v>
      </c>
      <c r="O30" s="1" t="s">
        <v>148</v>
      </c>
      <c r="Q30" s="4" t="s">
        <v>147</v>
      </c>
    </row>
    <row r="31" spans="2:18" ht="15" thickBot="1">
      <c r="B31" s="3" t="s">
        <v>220</v>
      </c>
      <c r="C31" s="30" t="s">
        <v>316</v>
      </c>
      <c r="D31" s="3">
        <v>5</v>
      </c>
      <c r="E31" s="31">
        <v>10</v>
      </c>
      <c r="F31" s="3">
        <v>20</v>
      </c>
      <c r="G31" s="3">
        <v>30</v>
      </c>
      <c r="H31" s="3">
        <v>40</v>
      </c>
      <c r="I31" s="3">
        <v>50</v>
      </c>
      <c r="J31" s="3">
        <v>60</v>
      </c>
      <c r="K31" s="3">
        <v>80</v>
      </c>
      <c r="L31" s="3">
        <v>110</v>
      </c>
      <c r="M31" s="3"/>
      <c r="N31" s="3"/>
      <c r="O31" s="3" t="s">
        <v>250</v>
      </c>
      <c r="Q31" s="12" t="s">
        <v>151</v>
      </c>
      <c r="R31" s="12" t="s">
        <v>185</v>
      </c>
    </row>
    <row r="32" spans="2:18" ht="15" thickBot="1">
      <c r="B32" s="3" t="s">
        <v>329</v>
      </c>
      <c r="C32" s="5"/>
      <c r="D32" s="51">
        <v>5.0599999999999996</v>
      </c>
      <c r="E32" s="51">
        <v>5.0599999999999996</v>
      </c>
      <c r="F32" s="51">
        <v>5.0599999999999996</v>
      </c>
      <c r="G32" s="51">
        <v>5.0599999999999996</v>
      </c>
      <c r="H32" s="51">
        <v>5.0599999999999996</v>
      </c>
      <c r="I32" s="51">
        <v>5.0599999999999996</v>
      </c>
      <c r="J32" s="51">
        <v>5.0599999999999996</v>
      </c>
      <c r="K32" s="51">
        <v>5.0599999999999996</v>
      </c>
      <c r="L32" s="51">
        <v>5.0599999999999996</v>
      </c>
      <c r="M32" s="52">
        <v>0.2</v>
      </c>
      <c r="N32" s="3" t="s">
        <v>402</v>
      </c>
      <c r="O32" s="3" t="s">
        <v>403</v>
      </c>
      <c r="Q32" s="12" t="s">
        <v>184</v>
      </c>
      <c r="R32" s="12" t="s">
        <v>346</v>
      </c>
    </row>
    <row r="33" spans="2:18" ht="15" thickBot="1">
      <c r="B33" s="3" t="s">
        <v>332</v>
      </c>
      <c r="C33" s="5"/>
      <c r="D33" s="51">
        <v>3.96</v>
      </c>
      <c r="E33" s="51">
        <v>3.96</v>
      </c>
      <c r="F33" s="51">
        <v>3.96</v>
      </c>
      <c r="G33" s="51">
        <v>3.96</v>
      </c>
      <c r="H33" s="51">
        <v>3.96</v>
      </c>
      <c r="I33" s="51">
        <v>3.96</v>
      </c>
      <c r="J33" s="51">
        <v>3.96</v>
      </c>
      <c r="K33" s="51">
        <v>3.96</v>
      </c>
      <c r="L33" s="51">
        <v>3.96</v>
      </c>
      <c r="M33" s="52">
        <v>0.2</v>
      </c>
      <c r="N33" s="3" t="s">
        <v>402</v>
      </c>
      <c r="O33" s="3" t="s">
        <v>403</v>
      </c>
      <c r="Q33" s="12" t="s">
        <v>186</v>
      </c>
      <c r="R33" s="12" t="s">
        <v>359</v>
      </c>
    </row>
    <row r="34" spans="2:18" ht="15" thickBot="1">
      <c r="B34" s="3" t="s">
        <v>334</v>
      </c>
      <c r="C34" s="5"/>
      <c r="D34" s="51">
        <v>3.47</v>
      </c>
      <c r="E34" s="51">
        <v>3.47</v>
      </c>
      <c r="F34" s="51">
        <v>3.47</v>
      </c>
      <c r="G34" s="51">
        <v>3.47</v>
      </c>
      <c r="H34" s="51">
        <v>3.47</v>
      </c>
      <c r="I34" s="51">
        <v>3.47</v>
      </c>
      <c r="J34" s="51">
        <v>3.47</v>
      </c>
      <c r="K34" s="51">
        <v>3.47</v>
      </c>
      <c r="L34" s="51">
        <v>3.47</v>
      </c>
      <c r="M34" s="52">
        <v>0.2</v>
      </c>
      <c r="N34" s="3" t="s">
        <v>402</v>
      </c>
      <c r="O34" s="3" t="s">
        <v>403</v>
      </c>
      <c r="Q34" s="12" t="s">
        <v>188</v>
      </c>
      <c r="R34" s="12" t="s">
        <v>264</v>
      </c>
    </row>
    <row r="35" spans="2:18" ht="15" thickBot="1">
      <c r="B35" s="3" t="s">
        <v>362</v>
      </c>
      <c r="C35" s="5" t="s">
        <v>227</v>
      </c>
      <c r="D35" s="3">
        <v>20</v>
      </c>
      <c r="E35" s="3">
        <v>20</v>
      </c>
      <c r="F35" s="3">
        <v>20</v>
      </c>
      <c r="G35" s="3">
        <v>20</v>
      </c>
      <c r="H35" s="3">
        <v>20</v>
      </c>
      <c r="I35" s="3">
        <v>20</v>
      </c>
      <c r="J35" s="3">
        <v>20</v>
      </c>
      <c r="K35" s="3">
        <v>20</v>
      </c>
      <c r="L35" s="3">
        <v>20</v>
      </c>
      <c r="M35" s="3"/>
      <c r="N35" s="3" t="s">
        <v>151</v>
      </c>
      <c r="O35" s="3"/>
      <c r="Q35" s="12" t="s">
        <v>192</v>
      </c>
      <c r="R35" s="12" t="s">
        <v>265</v>
      </c>
    </row>
    <row r="36" spans="2:18" ht="15" thickBot="1">
      <c r="B36" s="3" t="s">
        <v>363</v>
      </c>
      <c r="C36" s="5" t="s">
        <v>227</v>
      </c>
      <c r="D36" s="3">
        <v>50</v>
      </c>
      <c r="E36" s="3">
        <v>50</v>
      </c>
      <c r="F36" s="3">
        <v>50</v>
      </c>
      <c r="G36" s="3">
        <v>50</v>
      </c>
      <c r="H36" s="3">
        <v>50</v>
      </c>
      <c r="I36" s="3">
        <v>50</v>
      </c>
      <c r="J36" s="3">
        <v>50</v>
      </c>
      <c r="K36" s="3">
        <v>50</v>
      </c>
      <c r="L36" s="3">
        <v>50</v>
      </c>
      <c r="M36" s="3"/>
      <c r="N36" s="3" t="s">
        <v>364</v>
      </c>
      <c r="O36" s="3"/>
      <c r="Q36" s="12" t="s">
        <v>172</v>
      </c>
      <c r="R36" s="12" t="s">
        <v>266</v>
      </c>
    </row>
    <row r="37" spans="2:18" ht="15" thickBot="1">
      <c r="B37" s="1" t="s">
        <v>229</v>
      </c>
      <c r="C37" s="2" t="s">
        <v>216</v>
      </c>
      <c r="D37" s="1"/>
      <c r="E37" s="1"/>
      <c r="F37" s="1"/>
      <c r="G37" s="1"/>
      <c r="H37" s="1"/>
      <c r="I37" s="1"/>
      <c r="J37" s="1"/>
      <c r="K37" s="1"/>
      <c r="L37" s="1"/>
      <c r="M37" s="1"/>
      <c r="N37" s="1"/>
      <c r="O37" s="1"/>
      <c r="Q37" s="12" t="s">
        <v>179</v>
      </c>
      <c r="R37" s="12" t="s">
        <v>267</v>
      </c>
    </row>
    <row r="38" spans="2:18" ht="15" thickBot="1">
      <c r="B38" s="3" t="s">
        <v>230</v>
      </c>
      <c r="C38" s="3" t="s">
        <v>318</v>
      </c>
      <c r="D38" s="41">
        <v>2828</v>
      </c>
      <c r="E38" s="41">
        <v>1954</v>
      </c>
      <c r="F38" s="41">
        <v>1391</v>
      </c>
      <c r="G38" s="41">
        <v>1153</v>
      </c>
      <c r="H38" s="41">
        <v>1013</v>
      </c>
      <c r="I38" s="41">
        <v>919</v>
      </c>
      <c r="J38" s="41">
        <v>849</v>
      </c>
      <c r="K38" s="41">
        <v>751</v>
      </c>
      <c r="L38" s="41">
        <v>657</v>
      </c>
      <c r="M38" s="52">
        <v>0.35</v>
      </c>
      <c r="N38" s="3" t="s">
        <v>365</v>
      </c>
      <c r="O38" s="13" t="s">
        <v>387</v>
      </c>
      <c r="Q38" s="12" t="s">
        <v>196</v>
      </c>
      <c r="R38" s="12" t="s">
        <v>347</v>
      </c>
    </row>
    <row r="39" spans="2:18" ht="15" thickBot="1">
      <c r="B39" s="36" t="s">
        <v>236</v>
      </c>
      <c r="C39" s="3" t="s">
        <v>223</v>
      </c>
      <c r="D39" s="46">
        <v>66</v>
      </c>
      <c r="E39" s="46">
        <v>75</v>
      </c>
      <c r="F39" s="46">
        <v>82</v>
      </c>
      <c r="G39" s="46">
        <v>86</v>
      </c>
      <c r="H39" s="46">
        <v>88</v>
      </c>
      <c r="I39" s="46">
        <v>89</v>
      </c>
      <c r="J39" s="46">
        <v>90</v>
      </c>
      <c r="K39" s="46">
        <v>90</v>
      </c>
      <c r="L39" s="46">
        <v>90</v>
      </c>
      <c r="M39" s="54"/>
      <c r="N39" s="3"/>
      <c r="O39" s="54"/>
      <c r="Q39" s="12" t="s">
        <v>198</v>
      </c>
      <c r="R39" s="12" t="s">
        <v>348</v>
      </c>
    </row>
    <row r="40" spans="2:18" ht="15" thickBot="1">
      <c r="B40" s="36" t="s">
        <v>237</v>
      </c>
      <c r="C40" s="3" t="s">
        <v>223</v>
      </c>
      <c r="D40" s="46">
        <v>34</v>
      </c>
      <c r="E40" s="46">
        <v>25</v>
      </c>
      <c r="F40" s="46">
        <v>18</v>
      </c>
      <c r="G40" s="46">
        <v>14</v>
      </c>
      <c r="H40" s="46">
        <v>12</v>
      </c>
      <c r="I40" s="46">
        <v>11</v>
      </c>
      <c r="J40" s="46">
        <v>10</v>
      </c>
      <c r="K40" s="46">
        <v>10</v>
      </c>
      <c r="L40" s="46">
        <v>10</v>
      </c>
      <c r="M40" s="54"/>
      <c r="N40" s="3"/>
      <c r="O40" s="54" t="s">
        <v>240</v>
      </c>
      <c r="Q40" s="12" t="s">
        <v>200</v>
      </c>
      <c r="R40" s="12" t="s">
        <v>388</v>
      </c>
    </row>
    <row r="41" spans="2:18" ht="15" thickBot="1">
      <c r="B41" s="30" t="s">
        <v>394</v>
      </c>
      <c r="C41" s="3" t="s">
        <v>318</v>
      </c>
      <c r="D41" s="41">
        <v>1393</v>
      </c>
      <c r="E41" s="41">
        <v>1054</v>
      </c>
      <c r="F41" s="41">
        <v>1007</v>
      </c>
      <c r="G41" s="41">
        <v>1007</v>
      </c>
      <c r="H41" s="41">
        <v>1007</v>
      </c>
      <c r="I41" s="41">
        <v>1007</v>
      </c>
      <c r="J41" s="41">
        <v>1007</v>
      </c>
      <c r="K41" s="41">
        <v>1007</v>
      </c>
      <c r="L41" s="41">
        <v>1007</v>
      </c>
      <c r="M41" s="54"/>
      <c r="N41" s="3" t="s">
        <v>395</v>
      </c>
      <c r="O41" s="54" t="s">
        <v>404</v>
      </c>
      <c r="Q41" s="12" t="s">
        <v>364</v>
      </c>
      <c r="R41" s="12" t="s">
        <v>389</v>
      </c>
    </row>
    <row r="42" spans="2:18" ht="15" thickBot="1">
      <c r="B42" s="30" t="s">
        <v>352</v>
      </c>
      <c r="C42" s="3" t="s">
        <v>318</v>
      </c>
      <c r="D42" s="46">
        <v>4221</v>
      </c>
      <c r="E42" s="46">
        <v>3008</v>
      </c>
      <c r="F42" s="46">
        <v>2398</v>
      </c>
      <c r="G42" s="46">
        <v>2160</v>
      </c>
      <c r="H42" s="46">
        <v>2021</v>
      </c>
      <c r="I42" s="46">
        <v>1926</v>
      </c>
      <c r="J42" s="46">
        <v>1856</v>
      </c>
      <c r="K42" s="46">
        <v>1758</v>
      </c>
      <c r="L42" s="46">
        <v>1664</v>
      </c>
      <c r="M42" s="52">
        <v>0.35</v>
      </c>
      <c r="N42" s="3"/>
      <c r="O42" s="54"/>
      <c r="Q42" s="12" t="s">
        <v>390</v>
      </c>
      <c r="R42" s="12" t="s">
        <v>391</v>
      </c>
    </row>
    <row r="43" spans="2:18" ht="15" thickBot="1">
      <c r="B43" s="30" t="s">
        <v>371</v>
      </c>
      <c r="C43" s="3" t="s">
        <v>239</v>
      </c>
      <c r="D43" s="41">
        <v>21100</v>
      </c>
      <c r="E43" s="41">
        <v>30100</v>
      </c>
      <c r="F43" s="41">
        <v>48000</v>
      </c>
      <c r="G43" s="41">
        <v>64800</v>
      </c>
      <c r="H43" s="41">
        <v>80800</v>
      </c>
      <c r="I43" s="41">
        <v>96300</v>
      </c>
      <c r="J43" s="41">
        <v>111400</v>
      </c>
      <c r="K43" s="41">
        <v>140600</v>
      </c>
      <c r="L43" s="41">
        <v>183000</v>
      </c>
      <c r="M43" s="52">
        <v>0.35</v>
      </c>
      <c r="N43" s="3"/>
      <c r="O43" s="55"/>
    </row>
    <row r="44" spans="2:18" ht="15" thickBot="1">
      <c r="B44" s="3" t="s">
        <v>242</v>
      </c>
      <c r="C44" s="3" t="s">
        <v>321</v>
      </c>
      <c r="D44" s="41">
        <v>76</v>
      </c>
      <c r="E44" s="41">
        <v>38</v>
      </c>
      <c r="F44" s="41">
        <v>21</v>
      </c>
      <c r="G44" s="41">
        <v>17</v>
      </c>
      <c r="H44" s="41">
        <v>15</v>
      </c>
      <c r="I44" s="41">
        <v>14</v>
      </c>
      <c r="J44" s="41">
        <v>13</v>
      </c>
      <c r="K44" s="41">
        <v>11</v>
      </c>
      <c r="L44" s="41">
        <v>10</v>
      </c>
      <c r="M44" s="13"/>
      <c r="N44" s="3" t="s">
        <v>186</v>
      </c>
      <c r="O44" s="13" t="s">
        <v>373</v>
      </c>
    </row>
    <row r="45" spans="2:18" ht="15" thickBot="1">
      <c r="B45" s="1" t="s">
        <v>246</v>
      </c>
      <c r="C45" s="2" t="s">
        <v>216</v>
      </c>
      <c r="D45" s="1"/>
      <c r="E45" s="1"/>
      <c r="F45" s="1"/>
      <c r="G45" s="1"/>
      <c r="H45" s="1"/>
      <c r="I45" s="1"/>
      <c r="J45" s="1"/>
      <c r="K45" s="1"/>
      <c r="L45" s="1"/>
      <c r="M45" s="1"/>
      <c r="N45" s="1"/>
      <c r="O45" s="1"/>
    </row>
    <row r="46" spans="2:18" ht="15" thickBot="1">
      <c r="B46" s="3" t="s">
        <v>343</v>
      </c>
      <c r="C46" s="3" t="s">
        <v>318</v>
      </c>
      <c r="D46" s="41">
        <v>671</v>
      </c>
      <c r="E46" s="41">
        <v>540</v>
      </c>
      <c r="F46" s="41">
        <v>469</v>
      </c>
      <c r="G46" s="41">
        <v>385</v>
      </c>
      <c r="H46" s="41">
        <v>352</v>
      </c>
      <c r="I46" s="41">
        <v>329</v>
      </c>
      <c r="J46" s="41">
        <v>310</v>
      </c>
      <c r="K46" s="41">
        <v>284</v>
      </c>
      <c r="L46" s="41">
        <v>257</v>
      </c>
      <c r="M46" s="13"/>
      <c r="N46" s="13" t="s">
        <v>179</v>
      </c>
      <c r="O46" s="13" t="s">
        <v>380</v>
      </c>
      <c r="Q46" s="4"/>
      <c r="R46" s="12"/>
    </row>
    <row r="47" spans="2:18" ht="15" thickBot="1">
      <c r="B47" s="3" t="s">
        <v>343</v>
      </c>
      <c r="C47" s="30" t="s">
        <v>239</v>
      </c>
      <c r="D47" s="41">
        <v>3354</v>
      </c>
      <c r="E47" s="41">
        <v>5404</v>
      </c>
      <c r="F47" s="41">
        <v>9374</v>
      </c>
      <c r="G47" s="41">
        <v>11547</v>
      </c>
      <c r="H47" s="41">
        <v>14082</v>
      </c>
      <c r="I47" s="41">
        <v>16426</v>
      </c>
      <c r="J47" s="41">
        <v>18628</v>
      </c>
      <c r="K47" s="41">
        <v>22719</v>
      </c>
      <c r="L47" s="41">
        <v>28302</v>
      </c>
      <c r="M47" s="13"/>
      <c r="N47" s="13"/>
      <c r="O47" s="13"/>
      <c r="Q47" s="12"/>
      <c r="R47" s="12"/>
    </row>
    <row r="48" spans="2:18" ht="15" thickBot="1">
      <c r="B48" s="3" t="s">
        <v>400</v>
      </c>
      <c r="C48" s="30" t="s">
        <v>239</v>
      </c>
      <c r="D48" s="41">
        <v>1025</v>
      </c>
      <c r="E48" s="41">
        <v>1025</v>
      </c>
      <c r="F48" s="41">
        <v>1726</v>
      </c>
      <c r="G48" s="41">
        <v>1726</v>
      </c>
      <c r="H48" s="41">
        <v>11445</v>
      </c>
      <c r="I48" s="41">
        <v>11445</v>
      </c>
      <c r="J48" s="41">
        <v>11445</v>
      </c>
      <c r="K48" s="41">
        <v>15260</v>
      </c>
      <c r="L48" s="41">
        <v>15260</v>
      </c>
      <c r="M48" s="3"/>
      <c r="N48" s="3"/>
      <c r="O48" s="3"/>
      <c r="Q48" s="12"/>
      <c r="R48" s="12"/>
    </row>
    <row r="49" spans="2:18" ht="15" thickBot="1">
      <c r="B49" s="36" t="s">
        <v>259</v>
      </c>
      <c r="C49" s="30" t="s">
        <v>260</v>
      </c>
      <c r="D49" s="41">
        <v>500</v>
      </c>
      <c r="E49" s="41">
        <v>500</v>
      </c>
      <c r="F49" s="41">
        <v>1000</v>
      </c>
      <c r="G49" s="41">
        <v>1000</v>
      </c>
      <c r="H49" s="41">
        <v>1500</v>
      </c>
      <c r="I49" s="41">
        <v>1500</v>
      </c>
      <c r="J49" s="41">
        <v>1500</v>
      </c>
      <c r="K49" s="41">
        <v>2000</v>
      </c>
      <c r="L49" s="41">
        <v>2000</v>
      </c>
      <c r="M49" s="3"/>
      <c r="N49" s="3"/>
      <c r="O49" s="3"/>
      <c r="Q49" s="12"/>
      <c r="R49" s="12"/>
    </row>
    <row r="50" spans="2:18" ht="15" thickBot="1">
      <c r="B50" s="36" t="s">
        <v>261</v>
      </c>
      <c r="C50" s="30" t="s">
        <v>262</v>
      </c>
      <c r="D50" s="42">
        <v>2</v>
      </c>
      <c r="E50" s="42">
        <v>2</v>
      </c>
      <c r="F50" s="42">
        <v>1.7</v>
      </c>
      <c r="G50" s="42">
        <v>1.7</v>
      </c>
      <c r="H50" s="42">
        <v>7.6</v>
      </c>
      <c r="I50" s="42">
        <v>7.6</v>
      </c>
      <c r="J50" s="42">
        <v>7.6</v>
      </c>
      <c r="K50" s="42">
        <v>7.6</v>
      </c>
      <c r="L50" s="42">
        <v>7.6</v>
      </c>
      <c r="M50" s="3"/>
      <c r="N50" s="3" t="s">
        <v>151</v>
      </c>
      <c r="O50" s="3" t="s">
        <v>385</v>
      </c>
      <c r="Q50" s="12"/>
    </row>
    <row r="51" spans="2:18" ht="15" thickBot="1">
      <c r="B51" s="38" t="s">
        <v>263</v>
      </c>
      <c r="C51" s="39" t="s">
        <v>239</v>
      </c>
      <c r="D51" s="40">
        <v>25500</v>
      </c>
      <c r="E51" s="40">
        <v>36500</v>
      </c>
      <c r="F51" s="40">
        <v>59100</v>
      </c>
      <c r="G51" s="40">
        <v>78100</v>
      </c>
      <c r="H51" s="40">
        <v>106300</v>
      </c>
      <c r="I51" s="40">
        <v>124200</v>
      </c>
      <c r="J51" s="40">
        <v>141500</v>
      </c>
      <c r="K51" s="40">
        <v>178600</v>
      </c>
      <c r="L51" s="40">
        <v>226600</v>
      </c>
      <c r="M51" s="52">
        <v>0.35</v>
      </c>
      <c r="N51" s="40"/>
      <c r="O51" s="40"/>
    </row>
    <row r="52" spans="2:18">
      <c r="C52" s="43"/>
      <c r="D52" s="59"/>
      <c r="E52" s="59"/>
      <c r="F52" s="59"/>
      <c r="G52" s="59"/>
      <c r="H52" s="59"/>
      <c r="I52" s="59"/>
      <c r="J52" s="59"/>
      <c r="K52" s="59"/>
      <c r="L52" s="59"/>
    </row>
    <row r="54" spans="2:18">
      <c r="B54" s="4" t="s">
        <v>214</v>
      </c>
      <c r="C54" s="4">
        <v>2040</v>
      </c>
    </row>
    <row r="55" spans="2:18" ht="15" thickBot="1">
      <c r="B55" s="1" t="s">
        <v>215</v>
      </c>
      <c r="C55" s="2" t="s">
        <v>216</v>
      </c>
      <c r="D55" s="1"/>
      <c r="E55" s="2"/>
      <c r="F55" s="1"/>
      <c r="G55" s="1"/>
      <c r="H55" s="1"/>
      <c r="I55" s="1"/>
      <c r="J55" s="1"/>
      <c r="K55" s="1"/>
      <c r="L55" s="1"/>
      <c r="M55" s="1" t="s">
        <v>217</v>
      </c>
      <c r="N55" s="1" t="s">
        <v>147</v>
      </c>
      <c r="O55" s="1" t="s">
        <v>148</v>
      </c>
    </row>
    <row r="56" spans="2:18" ht="15" thickBot="1">
      <c r="B56" s="3" t="s">
        <v>220</v>
      </c>
      <c r="C56" s="30" t="s">
        <v>316</v>
      </c>
      <c r="D56" s="3">
        <v>5</v>
      </c>
      <c r="E56" s="31">
        <v>10</v>
      </c>
      <c r="F56" s="3">
        <v>20</v>
      </c>
      <c r="G56" s="3">
        <v>30</v>
      </c>
      <c r="H56" s="3">
        <v>40</v>
      </c>
      <c r="I56" s="3">
        <v>50</v>
      </c>
      <c r="J56" s="3">
        <v>60</v>
      </c>
      <c r="K56" s="3">
        <v>80</v>
      </c>
      <c r="L56" s="3">
        <v>110</v>
      </c>
      <c r="M56" s="3"/>
      <c r="N56" s="3"/>
      <c r="O56" s="3" t="s">
        <v>250</v>
      </c>
    </row>
    <row r="57" spans="2:18" ht="15" thickBot="1">
      <c r="B57" s="3" t="s">
        <v>329</v>
      </c>
      <c r="C57" s="5"/>
      <c r="D57" s="51">
        <v>5.98</v>
      </c>
      <c r="E57" s="51">
        <v>5.98</v>
      </c>
      <c r="F57" s="51">
        <v>5.98</v>
      </c>
      <c r="G57" s="51">
        <v>5.98</v>
      </c>
      <c r="H57" s="51">
        <v>5.98</v>
      </c>
      <c r="I57" s="51">
        <v>5.98</v>
      </c>
      <c r="J57" s="51">
        <v>5.98</v>
      </c>
      <c r="K57" s="51">
        <v>5.98</v>
      </c>
      <c r="L57" s="51">
        <v>5.98</v>
      </c>
      <c r="M57" s="52">
        <v>0.2</v>
      </c>
      <c r="N57" s="3" t="s">
        <v>402</v>
      </c>
      <c r="O57" s="3" t="s">
        <v>403</v>
      </c>
      <c r="Q57" s="12"/>
      <c r="R57" s="12"/>
    </row>
    <row r="58" spans="2:18" ht="15" thickBot="1">
      <c r="B58" s="3" t="s">
        <v>332</v>
      </c>
      <c r="C58" s="5"/>
      <c r="D58" s="51">
        <v>4.68</v>
      </c>
      <c r="E58" s="51">
        <v>4.68</v>
      </c>
      <c r="F58" s="51">
        <v>4.68</v>
      </c>
      <c r="G58" s="51">
        <v>4.68</v>
      </c>
      <c r="H58" s="51">
        <v>4.68</v>
      </c>
      <c r="I58" s="51">
        <v>4.68</v>
      </c>
      <c r="J58" s="51">
        <v>4.68</v>
      </c>
      <c r="K58" s="51">
        <v>4.68</v>
      </c>
      <c r="L58" s="51">
        <v>4.68</v>
      </c>
      <c r="M58" s="52">
        <v>0.2</v>
      </c>
      <c r="N58" s="3" t="s">
        <v>402</v>
      </c>
      <c r="O58" s="3" t="s">
        <v>403</v>
      </c>
      <c r="Q58" s="12"/>
      <c r="R58" s="12"/>
    </row>
    <row r="59" spans="2:18" ht="15" thickBot="1">
      <c r="B59" s="3" t="s">
        <v>334</v>
      </c>
      <c r="C59" s="5"/>
      <c r="D59" s="51">
        <v>4.0999999999999996</v>
      </c>
      <c r="E59" s="51">
        <v>4.0999999999999996</v>
      </c>
      <c r="F59" s="51">
        <v>4.0999999999999996</v>
      </c>
      <c r="G59" s="51">
        <v>4.0999999999999996</v>
      </c>
      <c r="H59" s="51">
        <v>4.0999999999999996</v>
      </c>
      <c r="I59" s="51">
        <v>4.0999999999999996</v>
      </c>
      <c r="J59" s="51">
        <v>4.0999999999999996</v>
      </c>
      <c r="K59" s="51">
        <v>4.0999999999999996</v>
      </c>
      <c r="L59" s="51">
        <v>4.0999999999999996</v>
      </c>
      <c r="M59" s="52">
        <v>0.2</v>
      </c>
      <c r="N59" s="3" t="s">
        <v>402</v>
      </c>
      <c r="O59" s="3" t="s">
        <v>403</v>
      </c>
      <c r="Q59" s="12"/>
      <c r="R59" s="12"/>
    </row>
    <row r="60" spans="2:18" ht="15" thickBot="1">
      <c r="B60" s="3" t="s">
        <v>362</v>
      </c>
      <c r="C60" s="5" t="s">
        <v>227</v>
      </c>
      <c r="D60" s="3">
        <v>20</v>
      </c>
      <c r="E60" s="3">
        <v>20</v>
      </c>
      <c r="F60" s="3">
        <v>20</v>
      </c>
      <c r="G60" s="3">
        <v>20</v>
      </c>
      <c r="H60" s="3">
        <v>20</v>
      </c>
      <c r="I60" s="3">
        <v>20</v>
      </c>
      <c r="J60" s="3">
        <v>20</v>
      </c>
      <c r="K60" s="3">
        <v>20</v>
      </c>
      <c r="L60" s="3">
        <v>20</v>
      </c>
      <c r="M60" s="3"/>
      <c r="N60" s="3" t="s">
        <v>151</v>
      </c>
      <c r="O60" s="3"/>
      <c r="Q60" s="12"/>
      <c r="R60" s="12"/>
    </row>
    <row r="61" spans="2:18" ht="15" thickBot="1">
      <c r="B61" s="3" t="s">
        <v>363</v>
      </c>
      <c r="C61" s="5" t="s">
        <v>227</v>
      </c>
      <c r="D61" s="3">
        <v>50</v>
      </c>
      <c r="E61" s="3">
        <v>50</v>
      </c>
      <c r="F61" s="3">
        <v>50</v>
      </c>
      <c r="G61" s="3">
        <v>50</v>
      </c>
      <c r="H61" s="3">
        <v>50</v>
      </c>
      <c r="I61" s="3">
        <v>50</v>
      </c>
      <c r="J61" s="3">
        <v>50</v>
      </c>
      <c r="K61" s="3">
        <v>50</v>
      </c>
      <c r="L61" s="3">
        <v>50</v>
      </c>
      <c r="M61" s="3"/>
      <c r="N61" s="3" t="s">
        <v>364</v>
      </c>
      <c r="O61" s="3"/>
      <c r="R61" s="12"/>
    </row>
    <row r="62" spans="2:18" ht="15" thickBot="1">
      <c r="B62" s="1" t="s">
        <v>229</v>
      </c>
      <c r="C62" s="2" t="s">
        <v>216</v>
      </c>
      <c r="D62" s="1"/>
      <c r="E62" s="1"/>
      <c r="F62" s="1"/>
      <c r="G62" s="1"/>
      <c r="H62" s="1"/>
      <c r="I62" s="1"/>
      <c r="J62" s="1"/>
      <c r="K62" s="1"/>
      <c r="L62" s="1"/>
      <c r="M62" s="1"/>
      <c r="N62" s="1"/>
      <c r="O62" s="1"/>
    </row>
    <row r="63" spans="2:18" ht="15" thickBot="1">
      <c r="B63" s="3" t="s">
        <v>230</v>
      </c>
      <c r="C63" s="3" t="s">
        <v>318</v>
      </c>
      <c r="D63" s="41">
        <v>2558</v>
      </c>
      <c r="E63" s="41">
        <v>1767</v>
      </c>
      <c r="F63" s="41">
        <v>1258</v>
      </c>
      <c r="G63" s="41">
        <v>1043</v>
      </c>
      <c r="H63" s="41">
        <v>917</v>
      </c>
      <c r="I63" s="41">
        <v>831</v>
      </c>
      <c r="J63" s="41">
        <v>768</v>
      </c>
      <c r="K63" s="41">
        <v>679</v>
      </c>
      <c r="L63" s="41">
        <v>594</v>
      </c>
      <c r="M63" s="52">
        <v>0.45</v>
      </c>
      <c r="N63" s="3" t="s">
        <v>365</v>
      </c>
      <c r="O63" s="13" t="s">
        <v>387</v>
      </c>
    </row>
    <row r="64" spans="2:18" ht="15" thickBot="1">
      <c r="B64" s="36" t="s">
        <v>236</v>
      </c>
      <c r="C64" s="3" t="s">
        <v>223</v>
      </c>
      <c r="D64" s="46">
        <v>59</v>
      </c>
      <c r="E64" s="46">
        <v>69</v>
      </c>
      <c r="F64" s="46">
        <v>77</v>
      </c>
      <c r="G64" s="46">
        <v>82</v>
      </c>
      <c r="H64" s="46">
        <v>84</v>
      </c>
      <c r="I64" s="46">
        <v>86</v>
      </c>
      <c r="J64" s="46">
        <v>87</v>
      </c>
      <c r="K64" s="46">
        <v>89</v>
      </c>
      <c r="L64" s="46">
        <v>90</v>
      </c>
      <c r="M64" s="54"/>
      <c r="N64" s="3"/>
      <c r="O64" s="54"/>
    </row>
    <row r="65" spans="2:15" ht="15" thickBot="1">
      <c r="B65" s="36" t="s">
        <v>237</v>
      </c>
      <c r="C65" s="3" t="s">
        <v>223</v>
      </c>
      <c r="D65" s="46">
        <v>41</v>
      </c>
      <c r="E65" s="46">
        <v>31</v>
      </c>
      <c r="F65" s="46">
        <v>23</v>
      </c>
      <c r="G65" s="46">
        <v>18</v>
      </c>
      <c r="H65" s="46">
        <v>16</v>
      </c>
      <c r="I65" s="46">
        <v>14</v>
      </c>
      <c r="J65" s="46">
        <v>13</v>
      </c>
      <c r="K65" s="46">
        <v>11</v>
      </c>
      <c r="L65" s="46">
        <v>10</v>
      </c>
      <c r="M65" s="54"/>
      <c r="N65" s="3" t="s">
        <v>395</v>
      </c>
      <c r="O65" s="54" t="s">
        <v>240</v>
      </c>
    </row>
    <row r="66" spans="2:15" ht="15" thickBot="1">
      <c r="B66" s="30" t="s">
        <v>394</v>
      </c>
      <c r="C66" s="3" t="s">
        <v>318</v>
      </c>
      <c r="D66" s="41">
        <v>1393</v>
      </c>
      <c r="E66" s="41">
        <v>1054</v>
      </c>
      <c r="F66" s="41">
        <v>1007</v>
      </c>
      <c r="G66" s="41">
        <v>1007</v>
      </c>
      <c r="H66" s="41">
        <v>1007</v>
      </c>
      <c r="I66" s="41">
        <v>1007</v>
      </c>
      <c r="J66" s="41">
        <v>1007</v>
      </c>
      <c r="K66" s="41">
        <v>1007</v>
      </c>
      <c r="L66" s="41">
        <v>1007</v>
      </c>
      <c r="M66" s="54"/>
      <c r="O66" s="54" t="s">
        <v>404</v>
      </c>
    </row>
    <row r="67" spans="2:15" ht="15" thickBot="1">
      <c r="B67" s="30" t="s">
        <v>352</v>
      </c>
      <c r="C67" s="3" t="s">
        <v>318</v>
      </c>
      <c r="D67" s="46">
        <v>3951</v>
      </c>
      <c r="E67" s="46">
        <v>2821</v>
      </c>
      <c r="F67" s="46">
        <v>2265</v>
      </c>
      <c r="G67" s="46">
        <v>2050</v>
      </c>
      <c r="H67" s="46">
        <v>1924</v>
      </c>
      <c r="I67" s="46">
        <v>1838</v>
      </c>
      <c r="J67" s="46">
        <v>1775</v>
      </c>
      <c r="K67" s="46">
        <v>1686</v>
      </c>
      <c r="L67" s="46">
        <v>1601</v>
      </c>
      <c r="M67" s="52">
        <v>0.45</v>
      </c>
      <c r="N67" s="3"/>
      <c r="O67" s="54"/>
    </row>
    <row r="68" spans="2:15" ht="15" thickBot="1">
      <c r="B68" s="30" t="s">
        <v>371</v>
      </c>
      <c r="C68" s="3" t="s">
        <v>239</v>
      </c>
      <c r="D68" s="41">
        <v>19800</v>
      </c>
      <c r="E68" s="41">
        <v>28200</v>
      </c>
      <c r="F68" s="41">
        <v>45300</v>
      </c>
      <c r="G68" s="41">
        <v>61500</v>
      </c>
      <c r="H68" s="41">
        <v>76900</v>
      </c>
      <c r="I68" s="41">
        <v>91900</v>
      </c>
      <c r="J68" s="41">
        <v>106500</v>
      </c>
      <c r="K68" s="41">
        <v>134900</v>
      </c>
      <c r="L68" s="41">
        <v>176100</v>
      </c>
      <c r="M68" s="52">
        <v>0.45</v>
      </c>
      <c r="N68" s="3"/>
      <c r="O68" s="55"/>
    </row>
    <row r="69" spans="2:15" ht="15" thickBot="1">
      <c r="B69" s="3" t="s">
        <v>242</v>
      </c>
      <c r="C69" s="3" t="s">
        <v>321</v>
      </c>
      <c r="D69" s="41">
        <v>76</v>
      </c>
      <c r="E69" s="41">
        <v>38</v>
      </c>
      <c r="F69" s="41">
        <v>19</v>
      </c>
      <c r="G69" s="41">
        <v>16</v>
      </c>
      <c r="H69" s="41">
        <v>14</v>
      </c>
      <c r="I69" s="41">
        <v>12</v>
      </c>
      <c r="J69" s="41">
        <v>12</v>
      </c>
      <c r="K69" s="41">
        <v>10</v>
      </c>
      <c r="L69" s="41">
        <v>9</v>
      </c>
      <c r="M69" s="13"/>
      <c r="N69" s="3" t="s">
        <v>186</v>
      </c>
      <c r="O69" s="13" t="s">
        <v>373</v>
      </c>
    </row>
    <row r="70" spans="2:15" ht="15" thickBot="1">
      <c r="B70" s="1" t="s">
        <v>246</v>
      </c>
      <c r="C70" s="2" t="s">
        <v>216</v>
      </c>
      <c r="D70" s="1"/>
      <c r="E70" s="1"/>
      <c r="F70" s="1"/>
      <c r="G70" s="1"/>
      <c r="H70" s="1"/>
      <c r="I70" s="1"/>
      <c r="J70" s="1"/>
      <c r="K70" s="1"/>
      <c r="L70" s="1"/>
      <c r="M70" s="1"/>
      <c r="N70" s="1"/>
      <c r="O70" s="1"/>
    </row>
    <row r="71" spans="2:15" ht="15" thickBot="1">
      <c r="B71" s="3" t="s">
        <v>343</v>
      </c>
      <c r="C71" s="3" t="s">
        <v>318</v>
      </c>
      <c r="D71" s="41">
        <v>671</v>
      </c>
      <c r="E71" s="41">
        <v>540</v>
      </c>
      <c r="F71" s="41">
        <v>469</v>
      </c>
      <c r="G71" s="41">
        <v>385</v>
      </c>
      <c r="H71" s="41">
        <v>352</v>
      </c>
      <c r="I71" s="41">
        <v>329</v>
      </c>
      <c r="J71" s="41">
        <v>310</v>
      </c>
      <c r="K71" s="41">
        <v>284</v>
      </c>
      <c r="L71" s="41">
        <v>257</v>
      </c>
      <c r="M71" s="13"/>
      <c r="N71" s="13" t="s">
        <v>179</v>
      </c>
      <c r="O71" s="13" t="s">
        <v>380</v>
      </c>
    </row>
    <row r="72" spans="2:15" ht="15" thickBot="1">
      <c r="B72" s="3" t="s">
        <v>343</v>
      </c>
      <c r="C72" s="30" t="s">
        <v>239</v>
      </c>
      <c r="D72" s="13">
        <v>3354</v>
      </c>
      <c r="E72" s="13">
        <v>5404</v>
      </c>
      <c r="F72" s="13">
        <v>9374</v>
      </c>
      <c r="G72" s="13">
        <v>11547</v>
      </c>
      <c r="H72" s="13">
        <v>14082</v>
      </c>
      <c r="I72" s="13">
        <v>16426</v>
      </c>
      <c r="J72" s="13">
        <v>18628</v>
      </c>
      <c r="K72" s="13">
        <v>22719</v>
      </c>
      <c r="L72" s="13">
        <v>28302</v>
      </c>
      <c r="M72" s="13"/>
      <c r="N72" s="13"/>
      <c r="O72" s="13"/>
    </row>
    <row r="73" spans="2:15" ht="15" thickBot="1">
      <c r="B73" s="3" t="s">
        <v>400</v>
      </c>
      <c r="C73" s="30" t="s">
        <v>239</v>
      </c>
      <c r="D73" s="41">
        <v>1025</v>
      </c>
      <c r="E73" s="41">
        <v>1025</v>
      </c>
      <c r="F73" s="41">
        <v>1726</v>
      </c>
      <c r="G73" s="41">
        <v>1726</v>
      </c>
      <c r="H73" s="41">
        <v>11445</v>
      </c>
      <c r="I73" s="41">
        <v>11445</v>
      </c>
      <c r="J73" s="41">
        <v>11445</v>
      </c>
      <c r="K73" s="41">
        <v>15260</v>
      </c>
      <c r="L73" s="41">
        <v>15260</v>
      </c>
      <c r="M73" s="3"/>
      <c r="N73" s="3"/>
      <c r="O73" s="3"/>
    </row>
    <row r="74" spans="2:15" ht="15" thickBot="1">
      <c r="B74" s="36" t="s">
        <v>259</v>
      </c>
      <c r="C74" s="30" t="s">
        <v>260</v>
      </c>
      <c r="D74" s="41">
        <v>500</v>
      </c>
      <c r="E74" s="41">
        <v>500</v>
      </c>
      <c r="F74" s="41">
        <v>1000</v>
      </c>
      <c r="G74" s="41">
        <v>1000</v>
      </c>
      <c r="H74" s="41">
        <v>1500</v>
      </c>
      <c r="I74" s="41">
        <v>1500</v>
      </c>
      <c r="J74" s="41">
        <v>1500</v>
      </c>
      <c r="K74" s="41">
        <v>2000</v>
      </c>
      <c r="L74" s="41">
        <v>2000</v>
      </c>
      <c r="M74" s="3"/>
      <c r="N74" s="3"/>
      <c r="O74" s="3"/>
    </row>
    <row r="75" spans="2:15" ht="15" thickBot="1">
      <c r="B75" s="36" t="s">
        <v>261</v>
      </c>
      <c r="C75" s="30" t="s">
        <v>262</v>
      </c>
      <c r="D75" s="42">
        <v>2</v>
      </c>
      <c r="E75" s="42">
        <v>2</v>
      </c>
      <c r="F75" s="42">
        <v>1.7</v>
      </c>
      <c r="G75" s="42">
        <v>1.7</v>
      </c>
      <c r="H75" s="42">
        <v>7.6</v>
      </c>
      <c r="I75" s="42">
        <v>7.6</v>
      </c>
      <c r="J75" s="42">
        <v>7.6</v>
      </c>
      <c r="K75" s="42">
        <v>7.6</v>
      </c>
      <c r="L75" s="42">
        <v>7.6</v>
      </c>
      <c r="M75" s="3"/>
      <c r="N75" s="3" t="s">
        <v>151</v>
      </c>
      <c r="O75" s="3" t="s">
        <v>385</v>
      </c>
    </row>
    <row r="76" spans="2:15" ht="15" thickBot="1">
      <c r="B76" s="38" t="s">
        <v>263</v>
      </c>
      <c r="C76" s="39" t="s">
        <v>239</v>
      </c>
      <c r="D76" s="40">
        <v>24200</v>
      </c>
      <c r="E76" s="40">
        <v>34600</v>
      </c>
      <c r="F76" s="40">
        <v>56400</v>
      </c>
      <c r="G76" s="40">
        <v>74800</v>
      </c>
      <c r="H76" s="40">
        <v>102400</v>
      </c>
      <c r="I76" s="40">
        <v>119800</v>
      </c>
      <c r="J76" s="40">
        <v>136600</v>
      </c>
      <c r="K76" s="40">
        <v>172900</v>
      </c>
      <c r="L76" s="40">
        <v>219700</v>
      </c>
      <c r="M76" s="52">
        <v>0.45</v>
      </c>
      <c r="N76" s="40"/>
      <c r="O76" s="40"/>
    </row>
  </sheetData>
  <mergeCells count="1">
    <mergeCell ref="H2:M3"/>
  </mergeCells>
  <conditionalFormatting sqref="M17">
    <cfRule type="colorScale" priority="8">
      <colorScale>
        <cfvo type="num" val="0"/>
        <cfvo type="num" val="0.5"/>
        <color theme="0"/>
        <color theme="5"/>
      </colorScale>
    </cfRule>
  </conditionalFormatting>
  <conditionalFormatting sqref="M18">
    <cfRule type="colorScale" priority="9">
      <colorScale>
        <cfvo type="num" val="0"/>
        <cfvo type="num" val="0.5"/>
        <color theme="0"/>
        <color theme="5"/>
      </colorScale>
    </cfRule>
  </conditionalFormatting>
  <conditionalFormatting sqref="M26">
    <cfRule type="colorScale" priority="7">
      <colorScale>
        <cfvo type="num" val="0"/>
        <cfvo type="num" val="0.5"/>
        <color theme="0"/>
        <color theme="5"/>
      </colorScale>
    </cfRule>
  </conditionalFormatting>
  <conditionalFormatting sqref="M42">
    <cfRule type="colorScale" priority="5">
      <colorScale>
        <cfvo type="num" val="0"/>
        <cfvo type="num" val="0.5"/>
        <color theme="0"/>
        <color theme="5"/>
      </colorScale>
    </cfRule>
  </conditionalFormatting>
  <conditionalFormatting sqref="M43">
    <cfRule type="colorScale" priority="6">
      <colorScale>
        <cfvo type="num" val="0"/>
        <cfvo type="num" val="0.5"/>
        <color theme="0"/>
        <color theme="5"/>
      </colorScale>
    </cfRule>
  </conditionalFormatting>
  <conditionalFormatting sqref="M51">
    <cfRule type="colorScale" priority="4">
      <colorScale>
        <cfvo type="num" val="0"/>
        <cfvo type="num" val="0.5"/>
        <color theme="0"/>
        <color theme="5"/>
      </colorScale>
    </cfRule>
  </conditionalFormatting>
  <conditionalFormatting sqref="M67">
    <cfRule type="colorScale" priority="3">
      <colorScale>
        <cfvo type="num" val="0"/>
        <cfvo type="num" val="0.5"/>
        <color theme="0"/>
        <color theme="5"/>
      </colorScale>
    </cfRule>
  </conditionalFormatting>
  <conditionalFormatting sqref="M68">
    <cfRule type="colorScale" priority="2">
      <colorScale>
        <cfvo type="num" val="0"/>
        <cfvo type="num" val="0.5"/>
        <color theme="0"/>
        <color theme="5"/>
      </colorScale>
    </cfRule>
  </conditionalFormatting>
  <conditionalFormatting sqref="M76">
    <cfRule type="colorScale" priority="1">
      <colorScale>
        <cfvo type="num" val="0"/>
        <cfvo type="num" val="0.5"/>
        <color theme="0"/>
        <color theme="5"/>
      </colorScale>
    </cfRule>
  </conditionalFormatting>
  <conditionalFormatting sqref="AB8:AB10 M13 M38 M63 M7:M9 M32:M34 M57:M59">
    <cfRule type="colorScale" priority="10">
      <colorScale>
        <cfvo type="num" val="0"/>
        <cfvo type="num" val="0.5"/>
        <color theme="0"/>
        <color theme="5"/>
      </colorScale>
    </cfRule>
  </conditionalFormatting>
  <hyperlinks>
    <hyperlink ref="A1" location="Inhalt!A1" display="Zum Inhalt" xr:uid="{FD8B246F-93E1-4085-BCF7-5E11EA0BEB27}"/>
  </hyperlinks>
  <pageMargins left="0.7" right="0.7" top="0.78740157499999996" bottom="0.78740157499999996"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28CA7-89BE-42FA-A9D3-42583B5DA8D2}">
  <sheetPr codeName="Tabelle16"/>
  <dimension ref="A1:AB83"/>
  <sheetViews>
    <sheetView topLeftCell="F1" zoomScaleNormal="100" workbookViewId="0"/>
  </sheetViews>
  <sheetFormatPr baseColWidth="10" defaultColWidth="11.44140625" defaultRowHeight="14.4"/>
  <cols>
    <col min="2" max="2" width="37.44140625" customWidth="1"/>
    <col min="13" max="13" width="10.5546875" bestFit="1" customWidth="1"/>
    <col min="15" max="15" width="9.44140625" customWidth="1"/>
    <col min="17" max="17" width="13.88671875" bestFit="1" customWidth="1"/>
  </cols>
  <sheetData>
    <row r="1" spans="1:28" ht="28.2" thickBot="1">
      <c r="A1" s="99" t="s">
        <v>143</v>
      </c>
    </row>
    <row r="2" spans="1:28">
      <c r="G2" s="142" t="s">
        <v>212</v>
      </c>
      <c r="H2" s="143"/>
      <c r="I2" s="143"/>
      <c r="J2" s="143"/>
      <c r="K2" s="143"/>
      <c r="L2" s="144"/>
    </row>
    <row r="3" spans="1:28" ht="21.9" customHeight="1" thickBot="1">
      <c r="B3" s="4" t="s">
        <v>213</v>
      </c>
      <c r="C3" s="4" t="s">
        <v>82</v>
      </c>
      <c r="G3" s="145"/>
      <c r="H3" s="146"/>
      <c r="I3" s="146"/>
      <c r="J3" s="146"/>
      <c r="K3" s="146"/>
      <c r="L3" s="147"/>
    </row>
    <row r="4" spans="1:28">
      <c r="B4" s="4" t="s">
        <v>214</v>
      </c>
      <c r="C4" s="4">
        <v>2023</v>
      </c>
    </row>
    <row r="5" spans="1:28" ht="15" thickBot="1">
      <c r="B5" s="1" t="s">
        <v>215</v>
      </c>
      <c r="C5" s="2" t="s">
        <v>216</v>
      </c>
      <c r="D5" s="1"/>
      <c r="E5" s="2"/>
      <c r="F5" s="1"/>
      <c r="G5" s="1"/>
      <c r="H5" s="1"/>
      <c r="I5" s="1"/>
      <c r="J5" s="1"/>
      <c r="K5" s="1"/>
      <c r="L5" s="1"/>
      <c r="M5" s="1" t="s">
        <v>217</v>
      </c>
      <c r="N5" s="1" t="s">
        <v>147</v>
      </c>
      <c r="O5" s="1" t="s">
        <v>148</v>
      </c>
      <c r="Q5" s="4" t="s">
        <v>218</v>
      </c>
      <c r="R5" s="12" t="s">
        <v>219</v>
      </c>
    </row>
    <row r="6" spans="1:28" ht="15" thickBot="1">
      <c r="B6" s="3" t="s">
        <v>220</v>
      </c>
      <c r="C6" s="30" t="s">
        <v>221</v>
      </c>
      <c r="D6" s="3">
        <v>5</v>
      </c>
      <c r="E6" s="31">
        <v>10</v>
      </c>
      <c r="F6" s="3">
        <v>20</v>
      </c>
      <c r="G6" s="3">
        <v>30</v>
      </c>
      <c r="H6" s="3">
        <v>40</v>
      </c>
      <c r="I6" s="3">
        <v>50</v>
      </c>
      <c r="J6" s="3">
        <v>60</v>
      </c>
      <c r="K6" s="3">
        <v>80</v>
      </c>
      <c r="L6" s="3">
        <v>110</v>
      </c>
      <c r="M6" s="3"/>
      <c r="N6" s="3"/>
      <c r="O6" s="3"/>
      <c r="Q6" s="4" t="s">
        <v>214</v>
      </c>
      <c r="R6" s="4">
        <v>2023</v>
      </c>
      <c r="S6" s="4">
        <v>2030</v>
      </c>
      <c r="T6" s="4">
        <v>2040</v>
      </c>
    </row>
    <row r="7" spans="1:28" ht="15" thickBot="1">
      <c r="B7" s="3" t="s">
        <v>329</v>
      </c>
      <c r="C7" s="5"/>
      <c r="D7" s="51">
        <v>4.13</v>
      </c>
      <c r="E7" s="51">
        <v>4.13</v>
      </c>
      <c r="F7" s="51">
        <v>4.13</v>
      </c>
      <c r="G7" s="51">
        <v>4.13</v>
      </c>
      <c r="H7" s="51">
        <v>4.13</v>
      </c>
      <c r="I7" s="51">
        <v>4.13</v>
      </c>
      <c r="J7" s="51">
        <v>4.13</v>
      </c>
      <c r="K7" s="51">
        <v>4.13</v>
      </c>
      <c r="L7" s="51">
        <v>4.13</v>
      </c>
      <c r="M7" s="52">
        <v>0.2</v>
      </c>
      <c r="N7" s="3" t="s">
        <v>305</v>
      </c>
      <c r="O7" s="3" t="s">
        <v>244</v>
      </c>
      <c r="Q7" s="12" t="s">
        <v>225</v>
      </c>
      <c r="R7" s="56">
        <v>3018</v>
      </c>
      <c r="S7" s="12">
        <v>2716.5</v>
      </c>
      <c r="T7" s="12">
        <v>2414.6999999999998</v>
      </c>
    </row>
    <row r="8" spans="1:28" ht="15" thickBot="1">
      <c r="B8" s="3" t="s">
        <v>332</v>
      </c>
      <c r="C8" s="5"/>
      <c r="D8" s="51">
        <v>3.3</v>
      </c>
      <c r="E8" s="51">
        <v>3.3</v>
      </c>
      <c r="F8" s="51">
        <v>3.3</v>
      </c>
      <c r="G8" s="51">
        <v>3.3</v>
      </c>
      <c r="H8" s="51">
        <v>3.3</v>
      </c>
      <c r="I8" s="51">
        <v>3.3</v>
      </c>
      <c r="J8" s="51">
        <v>3.3</v>
      </c>
      <c r="K8" s="51">
        <v>3.3</v>
      </c>
      <c r="L8" s="51">
        <v>3.3</v>
      </c>
      <c r="M8" s="52">
        <v>0.2</v>
      </c>
      <c r="N8" s="3" t="s">
        <v>305</v>
      </c>
      <c r="O8" s="3" t="s">
        <v>244</v>
      </c>
      <c r="Q8" s="12" t="s">
        <v>228</v>
      </c>
      <c r="R8" s="12">
        <v>-0.14499999999999999</v>
      </c>
      <c r="S8" s="12">
        <v>-0.14499999999999999</v>
      </c>
      <c r="T8" s="12">
        <v>-0.14499999999999999</v>
      </c>
      <c r="AB8" s="44"/>
    </row>
    <row r="9" spans="1:28" ht="15" thickBot="1">
      <c r="B9" s="3" t="s">
        <v>334</v>
      </c>
      <c r="C9" s="5"/>
      <c r="D9" s="51">
        <v>2.86</v>
      </c>
      <c r="E9" s="51">
        <v>2.86</v>
      </c>
      <c r="F9" s="51">
        <v>2.86</v>
      </c>
      <c r="G9" s="51">
        <v>2.86</v>
      </c>
      <c r="H9" s="51">
        <v>2.86</v>
      </c>
      <c r="I9" s="51">
        <v>2.86</v>
      </c>
      <c r="J9" s="51">
        <v>2.86</v>
      </c>
      <c r="K9" s="51">
        <v>2.86</v>
      </c>
      <c r="L9" s="51">
        <v>2.86</v>
      </c>
      <c r="M9" s="52">
        <v>0.2</v>
      </c>
      <c r="N9" s="3" t="s">
        <v>305</v>
      </c>
      <c r="O9" s="3" t="s">
        <v>244</v>
      </c>
      <c r="Q9" s="12"/>
      <c r="AB9" s="44"/>
    </row>
    <row r="10" spans="1:28" ht="15" thickBot="1">
      <c r="B10" s="3" t="s">
        <v>405</v>
      </c>
      <c r="C10" s="30" t="s">
        <v>223</v>
      </c>
      <c r="D10" s="3">
        <v>93</v>
      </c>
      <c r="E10" s="31">
        <v>93</v>
      </c>
      <c r="F10" s="3">
        <v>95</v>
      </c>
      <c r="G10" s="3">
        <v>95</v>
      </c>
      <c r="H10" s="3">
        <v>95</v>
      </c>
      <c r="I10" s="3">
        <v>95</v>
      </c>
      <c r="J10" s="3">
        <v>95</v>
      </c>
      <c r="K10" s="3">
        <v>95</v>
      </c>
      <c r="L10" s="3">
        <v>95</v>
      </c>
      <c r="M10" s="3"/>
      <c r="N10" s="3"/>
      <c r="O10" s="3"/>
      <c r="Q10" s="4" t="s">
        <v>234</v>
      </c>
      <c r="R10" s="12" t="s">
        <v>338</v>
      </c>
    </row>
    <row r="11" spans="1:28" ht="15" thickBot="1">
      <c r="B11" s="3" t="s">
        <v>406</v>
      </c>
      <c r="C11" s="30"/>
      <c r="D11" s="37">
        <v>2.4</v>
      </c>
      <c r="E11" s="37">
        <v>2.4</v>
      </c>
      <c r="F11" s="37">
        <v>2.5</v>
      </c>
      <c r="G11" s="37">
        <v>2.5</v>
      </c>
      <c r="H11" s="37">
        <v>2.5</v>
      </c>
      <c r="I11" s="37">
        <v>2.5</v>
      </c>
      <c r="J11" s="37">
        <v>2.5</v>
      </c>
      <c r="K11" s="37">
        <v>3.5</v>
      </c>
      <c r="L11" s="37">
        <v>3.5</v>
      </c>
      <c r="M11" s="52">
        <v>0.2</v>
      </c>
      <c r="N11" s="3" t="s">
        <v>186</v>
      </c>
      <c r="O11" s="3" t="s">
        <v>252</v>
      </c>
    </row>
    <row r="12" spans="1:28" ht="15" thickBot="1">
      <c r="B12" s="3" t="s">
        <v>407</v>
      </c>
      <c r="C12" s="5"/>
      <c r="D12" s="37">
        <v>2.2000000000000002</v>
      </c>
      <c r="E12" s="37">
        <v>2.2000000000000002</v>
      </c>
      <c r="F12" s="37">
        <v>2.2000000000000002</v>
      </c>
      <c r="G12" s="37">
        <v>2.2000000000000002</v>
      </c>
      <c r="H12" s="37">
        <v>2.2000000000000002</v>
      </c>
      <c r="I12" s="37">
        <v>2.2000000000000002</v>
      </c>
      <c r="J12" s="37">
        <v>2.2000000000000002</v>
      </c>
      <c r="K12" s="37">
        <v>2.2000000000000002</v>
      </c>
      <c r="L12" s="37">
        <v>2.2000000000000002</v>
      </c>
      <c r="M12" s="52">
        <v>0.2</v>
      </c>
      <c r="N12" s="3" t="s">
        <v>186</v>
      </c>
      <c r="O12" s="3" t="s">
        <v>252</v>
      </c>
      <c r="Q12" s="4" t="s">
        <v>148</v>
      </c>
    </row>
    <row r="13" spans="1:28" ht="15" thickBot="1">
      <c r="B13" s="3" t="s">
        <v>408</v>
      </c>
      <c r="C13" s="5"/>
      <c r="D13" s="37">
        <v>2</v>
      </c>
      <c r="E13" s="37">
        <v>2</v>
      </c>
      <c r="F13" s="37">
        <v>2</v>
      </c>
      <c r="G13" s="37">
        <v>2</v>
      </c>
      <c r="H13" s="37">
        <v>2</v>
      </c>
      <c r="I13" s="37">
        <v>2</v>
      </c>
      <c r="J13" s="37">
        <v>2</v>
      </c>
      <c r="K13" s="37">
        <v>2</v>
      </c>
      <c r="L13" s="37">
        <v>2</v>
      </c>
      <c r="M13" s="52"/>
      <c r="N13" s="3"/>
      <c r="O13" s="3"/>
      <c r="Q13" s="12" t="s">
        <v>240</v>
      </c>
      <c r="R13" s="12" t="s">
        <v>409</v>
      </c>
    </row>
    <row r="14" spans="1:28" ht="15" thickBot="1">
      <c r="B14" s="3" t="s">
        <v>226</v>
      </c>
      <c r="C14" s="5" t="s">
        <v>227</v>
      </c>
      <c r="D14" s="3">
        <v>18</v>
      </c>
      <c r="E14" s="3">
        <v>18</v>
      </c>
      <c r="F14" s="3">
        <v>18</v>
      </c>
      <c r="G14" s="3">
        <v>18</v>
      </c>
      <c r="H14" s="3">
        <v>18</v>
      </c>
      <c r="I14" s="3">
        <v>18</v>
      </c>
      <c r="J14" s="3">
        <v>18</v>
      </c>
      <c r="K14" s="3">
        <v>18</v>
      </c>
      <c r="L14" s="3">
        <v>18</v>
      </c>
      <c r="M14" s="3"/>
      <c r="N14" s="3" t="s">
        <v>186</v>
      </c>
      <c r="O14" s="3"/>
      <c r="Q14" s="12" t="s">
        <v>244</v>
      </c>
      <c r="R14" s="12" t="s">
        <v>410</v>
      </c>
    </row>
    <row r="15" spans="1:28" ht="15" thickBot="1">
      <c r="B15" s="1" t="s">
        <v>229</v>
      </c>
      <c r="C15" s="2" t="s">
        <v>216</v>
      </c>
      <c r="D15" s="1"/>
      <c r="E15" s="1"/>
      <c r="F15" s="1"/>
      <c r="G15" s="1"/>
      <c r="H15" s="1"/>
      <c r="I15" s="1"/>
      <c r="J15" s="1"/>
      <c r="K15" s="1"/>
      <c r="L15" s="1"/>
      <c r="M15" s="1"/>
      <c r="N15" s="1"/>
      <c r="O15" s="1"/>
      <c r="Q15" s="12" t="s">
        <v>224</v>
      </c>
      <c r="R15" s="12" t="s">
        <v>345</v>
      </c>
    </row>
    <row r="16" spans="1:28" ht="15" thickBot="1">
      <c r="B16" s="3" t="s">
        <v>230</v>
      </c>
      <c r="C16" s="3" t="s">
        <v>231</v>
      </c>
      <c r="D16" s="55">
        <v>2390</v>
      </c>
      <c r="E16" s="55">
        <v>2162</v>
      </c>
      <c r="F16" s="55">
        <v>1955</v>
      </c>
      <c r="G16" s="55">
        <v>1843</v>
      </c>
      <c r="H16" s="55">
        <v>1768</v>
      </c>
      <c r="I16" s="55">
        <v>1712</v>
      </c>
      <c r="J16" s="55">
        <v>1667</v>
      </c>
      <c r="K16" s="55">
        <v>1599</v>
      </c>
      <c r="L16" s="55">
        <v>1527</v>
      </c>
      <c r="M16" s="52">
        <v>0.25</v>
      </c>
      <c r="N16" s="3" t="s">
        <v>411</v>
      </c>
      <c r="O16" s="13"/>
      <c r="Q16" s="12" t="s">
        <v>250</v>
      </c>
      <c r="R16" s="12" t="s">
        <v>253</v>
      </c>
    </row>
    <row r="17" spans="2:18" ht="15" thickBot="1">
      <c r="B17" s="36" t="s">
        <v>236</v>
      </c>
      <c r="C17" s="3" t="s">
        <v>223</v>
      </c>
      <c r="D17" s="46">
        <v>60</v>
      </c>
      <c r="E17" s="46">
        <v>61</v>
      </c>
      <c r="F17" s="46">
        <v>62</v>
      </c>
      <c r="G17" s="46">
        <v>64</v>
      </c>
      <c r="H17" s="46">
        <v>65</v>
      </c>
      <c r="I17" s="46">
        <v>66</v>
      </c>
      <c r="J17" s="46">
        <v>68</v>
      </c>
      <c r="K17" s="46">
        <v>71</v>
      </c>
      <c r="L17" s="46">
        <v>75</v>
      </c>
      <c r="M17" s="54"/>
      <c r="N17" s="3" t="s">
        <v>186</v>
      </c>
      <c r="O17" s="54"/>
      <c r="Q17" s="12" t="s">
        <v>252</v>
      </c>
      <c r="R17" s="12" t="s">
        <v>412</v>
      </c>
    </row>
    <row r="18" spans="2:18" ht="15" thickBot="1">
      <c r="B18" s="36" t="s">
        <v>237</v>
      </c>
      <c r="C18" s="3" t="s">
        <v>223</v>
      </c>
      <c r="D18" s="46">
        <v>40</v>
      </c>
      <c r="E18" s="46">
        <v>39</v>
      </c>
      <c r="F18" s="46">
        <v>38</v>
      </c>
      <c r="G18" s="46">
        <v>36</v>
      </c>
      <c r="H18" s="46">
        <v>35</v>
      </c>
      <c r="I18" s="46">
        <v>34</v>
      </c>
      <c r="J18" s="46">
        <v>32</v>
      </c>
      <c r="K18" s="46">
        <v>29</v>
      </c>
      <c r="L18" s="46">
        <v>25</v>
      </c>
      <c r="M18" s="54"/>
      <c r="N18" s="3" t="s">
        <v>186</v>
      </c>
      <c r="O18" s="54"/>
      <c r="Q18" s="12"/>
      <c r="R18" s="12"/>
    </row>
    <row r="19" spans="2:18" ht="15" thickBot="1">
      <c r="B19" s="30" t="s">
        <v>339</v>
      </c>
      <c r="C19" s="3" t="s">
        <v>239</v>
      </c>
      <c r="D19" s="55">
        <v>12000</v>
      </c>
      <c r="E19" s="55">
        <v>21600</v>
      </c>
      <c r="F19" s="55">
        <v>39100</v>
      </c>
      <c r="G19" s="55">
        <v>55300</v>
      </c>
      <c r="H19" s="55">
        <v>70700</v>
      </c>
      <c r="I19" s="55">
        <v>85600</v>
      </c>
      <c r="J19" s="55">
        <v>100000</v>
      </c>
      <c r="K19" s="55">
        <v>127900</v>
      </c>
      <c r="L19" s="55">
        <v>167900</v>
      </c>
      <c r="M19" s="52">
        <v>0.25</v>
      </c>
      <c r="N19" s="3"/>
      <c r="O19" s="55"/>
      <c r="Q19" s="4" t="s">
        <v>147</v>
      </c>
    </row>
    <row r="20" spans="2:18" ht="15" thickBot="1">
      <c r="B20" s="3" t="s">
        <v>242</v>
      </c>
      <c r="C20" s="3" t="s">
        <v>309</v>
      </c>
      <c r="D20" s="13">
        <v>102</v>
      </c>
      <c r="E20" s="13">
        <v>99</v>
      </c>
      <c r="F20" s="13">
        <v>92</v>
      </c>
      <c r="G20" s="13">
        <v>85</v>
      </c>
      <c r="H20" s="13">
        <v>78</v>
      </c>
      <c r="I20" s="13">
        <v>72</v>
      </c>
      <c r="J20" s="13">
        <v>65</v>
      </c>
      <c r="K20" s="13">
        <v>51</v>
      </c>
      <c r="L20" s="13">
        <v>30</v>
      </c>
      <c r="M20" s="13"/>
      <c r="N20" s="3" t="s">
        <v>186</v>
      </c>
      <c r="O20" s="13"/>
      <c r="Q20" s="12" t="s">
        <v>151</v>
      </c>
      <c r="R20" s="12" t="s">
        <v>185</v>
      </c>
    </row>
    <row r="21" spans="2:18" ht="15" thickBot="1">
      <c r="B21" s="1" t="s">
        <v>246</v>
      </c>
      <c r="C21" s="2" t="s">
        <v>216</v>
      </c>
      <c r="D21" s="1"/>
      <c r="E21" s="1"/>
      <c r="F21" s="1"/>
      <c r="G21" s="1"/>
      <c r="H21" s="1"/>
      <c r="I21" s="1"/>
      <c r="J21" s="1"/>
      <c r="K21" s="1"/>
      <c r="L21" s="1"/>
      <c r="M21" s="1"/>
      <c r="N21" s="1"/>
      <c r="O21" s="1"/>
      <c r="Q21" s="12" t="s">
        <v>184</v>
      </c>
      <c r="R21" s="12" t="s">
        <v>346</v>
      </c>
    </row>
    <row r="22" spans="2:18" ht="15" thickBot="1">
      <c r="B22" s="3" t="s">
        <v>343</v>
      </c>
      <c r="C22" s="3" t="s">
        <v>318</v>
      </c>
      <c r="D22" s="55">
        <v>671</v>
      </c>
      <c r="E22" s="55">
        <v>540</v>
      </c>
      <c r="F22" s="55">
        <v>469</v>
      </c>
      <c r="G22" s="55">
        <v>385</v>
      </c>
      <c r="H22" s="55">
        <v>352</v>
      </c>
      <c r="I22" s="55">
        <v>329</v>
      </c>
      <c r="J22" s="55">
        <v>310</v>
      </c>
      <c r="K22" s="55">
        <v>284</v>
      </c>
      <c r="L22" s="55">
        <v>257</v>
      </c>
      <c r="M22" s="3"/>
      <c r="N22" s="3" t="s">
        <v>192</v>
      </c>
      <c r="O22" s="3" t="s">
        <v>224</v>
      </c>
      <c r="Q22" s="12" t="s">
        <v>186</v>
      </c>
      <c r="R22" s="12" t="s">
        <v>264</v>
      </c>
    </row>
    <row r="23" spans="2:18" ht="15" thickBot="1">
      <c r="B23" s="3" t="s">
        <v>343</v>
      </c>
      <c r="C23" s="30" t="s">
        <v>239</v>
      </c>
      <c r="D23" s="55">
        <v>3354</v>
      </c>
      <c r="E23" s="55">
        <v>5404</v>
      </c>
      <c r="F23" s="55">
        <v>9374</v>
      </c>
      <c r="G23" s="55">
        <v>11547</v>
      </c>
      <c r="H23" s="55">
        <v>14082</v>
      </c>
      <c r="I23" s="55">
        <v>16426</v>
      </c>
      <c r="J23" s="55">
        <v>18628</v>
      </c>
      <c r="K23" s="55">
        <v>22719</v>
      </c>
      <c r="L23" s="55">
        <v>28302</v>
      </c>
      <c r="M23" s="3"/>
      <c r="N23" s="3"/>
      <c r="O23" s="3"/>
      <c r="Q23" s="12" t="s">
        <v>188</v>
      </c>
      <c r="R23" s="12" t="s">
        <v>266</v>
      </c>
    </row>
    <row r="24" spans="2:18" ht="15" thickBot="1">
      <c r="B24" s="3" t="s">
        <v>254</v>
      </c>
      <c r="C24" s="30" t="s">
        <v>318</v>
      </c>
      <c r="D24" s="55">
        <v>195</v>
      </c>
      <c r="E24" s="55">
        <v>97</v>
      </c>
      <c r="F24" s="55">
        <v>49</v>
      </c>
      <c r="G24" s="55">
        <v>32</v>
      </c>
      <c r="H24" s="55">
        <v>24</v>
      </c>
      <c r="I24" s="55">
        <v>19</v>
      </c>
      <c r="J24" s="55">
        <v>16</v>
      </c>
      <c r="K24" s="55">
        <v>12</v>
      </c>
      <c r="L24" s="55">
        <v>9</v>
      </c>
      <c r="M24" s="3"/>
      <c r="N24" s="3" t="s">
        <v>192</v>
      </c>
      <c r="O24" s="3"/>
      <c r="Q24" s="12" t="s">
        <v>192</v>
      </c>
      <c r="R24" s="12" t="s">
        <v>267</v>
      </c>
    </row>
    <row r="25" spans="2:18" ht="15" thickBot="1">
      <c r="B25" s="3" t="s">
        <v>258</v>
      </c>
      <c r="C25" s="30" t="s">
        <v>239</v>
      </c>
      <c r="D25" s="55">
        <v>1025</v>
      </c>
      <c r="E25" s="55">
        <v>1025</v>
      </c>
      <c r="F25" s="55">
        <v>1726</v>
      </c>
      <c r="G25" s="55">
        <v>1726</v>
      </c>
      <c r="H25" s="55">
        <v>11445</v>
      </c>
      <c r="I25" s="55">
        <v>11445</v>
      </c>
      <c r="J25" s="55">
        <v>11445</v>
      </c>
      <c r="K25" s="55">
        <v>15260</v>
      </c>
      <c r="L25" s="55">
        <v>15260</v>
      </c>
      <c r="M25" s="3"/>
      <c r="N25" s="3" t="s">
        <v>151</v>
      </c>
      <c r="O25" s="3" t="s">
        <v>250</v>
      </c>
      <c r="Q25" s="12" t="s">
        <v>172</v>
      </c>
      <c r="R25" s="12" t="s">
        <v>413</v>
      </c>
    </row>
    <row r="26" spans="2:18" ht="15" thickBot="1">
      <c r="B26" s="36" t="s">
        <v>259</v>
      </c>
      <c r="C26" s="30" t="s">
        <v>260</v>
      </c>
      <c r="D26" s="55">
        <v>500</v>
      </c>
      <c r="E26" s="55">
        <v>500</v>
      </c>
      <c r="F26" s="55">
        <v>1000</v>
      </c>
      <c r="G26" s="55">
        <v>1000</v>
      </c>
      <c r="H26" s="55">
        <v>1500</v>
      </c>
      <c r="I26" s="55">
        <v>1500</v>
      </c>
      <c r="J26" s="55">
        <v>1500</v>
      </c>
      <c r="K26" s="55">
        <v>2000</v>
      </c>
      <c r="L26" s="55">
        <v>2000</v>
      </c>
      <c r="M26" s="3"/>
      <c r="N26" s="3"/>
      <c r="O26" s="3"/>
    </row>
    <row r="27" spans="2:18" ht="15" thickBot="1">
      <c r="B27" s="36" t="s">
        <v>261</v>
      </c>
      <c r="C27" s="30" t="s">
        <v>262</v>
      </c>
      <c r="D27" s="37">
        <v>2</v>
      </c>
      <c r="E27" s="37">
        <v>2</v>
      </c>
      <c r="F27" s="37">
        <v>1.7</v>
      </c>
      <c r="G27" s="37">
        <v>1.7</v>
      </c>
      <c r="H27" s="37">
        <v>7.6</v>
      </c>
      <c r="I27" s="37">
        <v>7.6</v>
      </c>
      <c r="J27" s="37">
        <v>7.6</v>
      </c>
      <c r="K27" s="37">
        <v>7.6</v>
      </c>
      <c r="L27" s="37">
        <v>7.6</v>
      </c>
      <c r="M27" s="3"/>
      <c r="N27" s="3" t="s">
        <v>151</v>
      </c>
      <c r="O27" s="3"/>
    </row>
    <row r="28" spans="2:18" ht="15" thickBot="1">
      <c r="B28" s="38" t="s">
        <v>263</v>
      </c>
      <c r="C28" s="39" t="s">
        <v>239</v>
      </c>
      <c r="D28" s="40">
        <v>17400</v>
      </c>
      <c r="E28" s="40">
        <v>29000</v>
      </c>
      <c r="F28" s="40">
        <v>51200</v>
      </c>
      <c r="G28" s="40">
        <v>69500</v>
      </c>
      <c r="H28" s="40">
        <v>97200</v>
      </c>
      <c r="I28" s="40">
        <v>114400</v>
      </c>
      <c r="J28" s="40">
        <v>131000</v>
      </c>
      <c r="K28" s="40">
        <v>166900</v>
      </c>
      <c r="L28" s="40">
        <v>212400</v>
      </c>
      <c r="M28" s="52">
        <v>0.25</v>
      </c>
      <c r="N28" s="3"/>
      <c r="O28" s="3"/>
    </row>
    <row r="29" spans="2:18">
      <c r="B29" s="12"/>
      <c r="C29" s="12"/>
      <c r="D29" s="56"/>
      <c r="E29" s="56"/>
      <c r="F29" s="56"/>
      <c r="G29" s="56"/>
      <c r="H29" s="56"/>
      <c r="I29" s="56"/>
      <c r="J29" s="56"/>
      <c r="K29" s="56"/>
      <c r="L29" s="56"/>
      <c r="M29" s="56"/>
      <c r="N29" s="12"/>
      <c r="O29" s="56"/>
    </row>
    <row r="30" spans="2:18">
      <c r="D30" s="56"/>
      <c r="E30" s="56"/>
      <c r="F30" s="56"/>
      <c r="G30" s="56"/>
      <c r="H30" s="56"/>
      <c r="I30" s="56"/>
      <c r="J30" s="56"/>
      <c r="K30" s="56"/>
      <c r="L30" s="56"/>
    </row>
    <row r="31" spans="2:18">
      <c r="Q31" s="12"/>
      <c r="R31" s="12"/>
    </row>
    <row r="32" spans="2:18">
      <c r="B32" s="4" t="s">
        <v>214</v>
      </c>
      <c r="C32" s="4">
        <v>2030</v>
      </c>
      <c r="Q32" s="12"/>
      <c r="R32" s="12"/>
    </row>
    <row r="33" spans="2:17" ht="15" thickBot="1">
      <c r="B33" s="1" t="s">
        <v>215</v>
      </c>
      <c r="C33" s="2" t="s">
        <v>216</v>
      </c>
      <c r="D33" s="1"/>
      <c r="E33" s="2"/>
      <c r="F33" s="1"/>
      <c r="G33" s="1"/>
      <c r="H33" s="1"/>
      <c r="I33" s="1"/>
      <c r="J33" s="1"/>
      <c r="K33" s="1"/>
      <c r="L33" s="1"/>
      <c r="M33" s="1" t="s">
        <v>217</v>
      </c>
      <c r="N33" s="1" t="s">
        <v>147</v>
      </c>
      <c r="O33" s="1" t="s">
        <v>148</v>
      </c>
      <c r="Q33" s="12"/>
    </row>
    <row r="34" spans="2:17" ht="15" thickBot="1">
      <c r="B34" s="3" t="s">
        <v>220</v>
      </c>
      <c r="C34" s="30" t="s">
        <v>316</v>
      </c>
      <c r="D34" s="3">
        <v>5</v>
      </c>
      <c r="E34" s="31">
        <v>10</v>
      </c>
      <c r="F34" s="3">
        <v>20</v>
      </c>
      <c r="G34" s="3">
        <v>30</v>
      </c>
      <c r="H34" s="3">
        <v>40</v>
      </c>
      <c r="I34" s="3">
        <v>50</v>
      </c>
      <c r="J34" s="3">
        <v>60</v>
      </c>
      <c r="K34" s="3">
        <v>80</v>
      </c>
      <c r="L34" s="3">
        <v>110</v>
      </c>
      <c r="M34" s="3"/>
      <c r="N34" s="3"/>
      <c r="O34" s="3"/>
    </row>
    <row r="35" spans="2:17" ht="15" thickBot="1">
      <c r="B35" s="3" t="s">
        <v>329</v>
      </c>
      <c r="C35" s="5"/>
      <c r="D35" s="51">
        <v>4.29</v>
      </c>
      <c r="E35" s="51">
        <v>4.29</v>
      </c>
      <c r="F35" s="51">
        <v>4.29</v>
      </c>
      <c r="G35" s="51">
        <v>4.29</v>
      </c>
      <c r="H35" s="51">
        <v>4.29</v>
      </c>
      <c r="I35" s="51">
        <v>4.29</v>
      </c>
      <c r="J35" s="51">
        <v>4.29</v>
      </c>
      <c r="K35" s="51">
        <v>4.29</v>
      </c>
      <c r="L35" s="51">
        <v>4.29</v>
      </c>
      <c r="M35" s="52">
        <v>0.2</v>
      </c>
      <c r="N35" s="3" t="s">
        <v>305</v>
      </c>
      <c r="O35" s="3" t="s">
        <v>244</v>
      </c>
    </row>
    <row r="36" spans="2:17" ht="15" thickBot="1">
      <c r="B36" s="3" t="s">
        <v>332</v>
      </c>
      <c r="C36" s="5"/>
      <c r="D36" s="51">
        <v>3.43</v>
      </c>
      <c r="E36" s="51">
        <v>3.43</v>
      </c>
      <c r="F36" s="51">
        <v>3.43</v>
      </c>
      <c r="G36" s="51">
        <v>3.43</v>
      </c>
      <c r="H36" s="51">
        <v>3.43</v>
      </c>
      <c r="I36" s="51">
        <v>3.43</v>
      </c>
      <c r="J36" s="51">
        <v>3.43</v>
      </c>
      <c r="K36" s="51">
        <v>3.43</v>
      </c>
      <c r="L36" s="51">
        <v>3.43</v>
      </c>
      <c r="M36" s="52">
        <v>0.2</v>
      </c>
      <c r="N36" s="3" t="s">
        <v>305</v>
      </c>
      <c r="O36" s="3" t="s">
        <v>244</v>
      </c>
    </row>
    <row r="37" spans="2:17" ht="15" thickBot="1">
      <c r="B37" s="3" t="s">
        <v>334</v>
      </c>
      <c r="C37" s="5"/>
      <c r="D37" s="51">
        <v>2.98</v>
      </c>
      <c r="E37" s="51">
        <v>2.98</v>
      </c>
      <c r="F37" s="51">
        <v>2.98</v>
      </c>
      <c r="G37" s="51">
        <v>2.98</v>
      </c>
      <c r="H37" s="51">
        <v>2.98</v>
      </c>
      <c r="I37" s="51">
        <v>2.98</v>
      </c>
      <c r="J37" s="51">
        <v>2.98</v>
      </c>
      <c r="K37" s="51">
        <v>2.98</v>
      </c>
      <c r="L37" s="51">
        <v>2.98</v>
      </c>
      <c r="M37" s="52"/>
      <c r="N37" s="3"/>
      <c r="O37" s="3"/>
    </row>
    <row r="38" spans="2:17" ht="15" thickBot="1">
      <c r="B38" s="3" t="s">
        <v>405</v>
      </c>
      <c r="C38" s="30" t="s">
        <v>223</v>
      </c>
      <c r="D38" s="3">
        <v>93</v>
      </c>
      <c r="E38" s="31">
        <v>93</v>
      </c>
      <c r="F38" s="3">
        <v>95</v>
      </c>
      <c r="G38" s="3">
        <v>95</v>
      </c>
      <c r="H38" s="3">
        <v>95</v>
      </c>
      <c r="I38" s="3">
        <v>95</v>
      </c>
      <c r="J38" s="3">
        <v>95</v>
      </c>
      <c r="K38" s="3">
        <v>95</v>
      </c>
      <c r="L38" s="3">
        <v>95</v>
      </c>
      <c r="M38" s="3"/>
      <c r="N38" s="3"/>
      <c r="O38" s="3"/>
    </row>
    <row r="39" spans="2:17" ht="15" thickBot="1">
      <c r="B39" s="3" t="s">
        <v>406</v>
      </c>
      <c r="C39" s="30"/>
      <c r="D39" s="37">
        <v>2.5</v>
      </c>
      <c r="E39" s="37">
        <v>2.5</v>
      </c>
      <c r="F39" s="37">
        <v>2.5</v>
      </c>
      <c r="G39" s="37">
        <v>2.5</v>
      </c>
      <c r="H39" s="37">
        <v>2.5</v>
      </c>
      <c r="I39" s="37">
        <v>2.5</v>
      </c>
      <c r="J39" s="37">
        <v>2.5</v>
      </c>
      <c r="K39" s="37">
        <v>2.5</v>
      </c>
      <c r="L39" s="37">
        <v>2.5</v>
      </c>
      <c r="M39" s="52">
        <v>0.2</v>
      </c>
      <c r="N39" s="3" t="s">
        <v>186</v>
      </c>
      <c r="O39" s="3"/>
    </row>
    <row r="40" spans="2:17" ht="15" thickBot="1">
      <c r="B40" s="3" t="s">
        <v>407</v>
      </c>
      <c r="C40" s="5"/>
      <c r="D40" s="37">
        <v>2.2000000000000002</v>
      </c>
      <c r="E40" s="37">
        <v>2.2000000000000002</v>
      </c>
      <c r="F40" s="37">
        <v>2.2999999999999998</v>
      </c>
      <c r="G40" s="37">
        <v>2.2999999999999998</v>
      </c>
      <c r="H40" s="37">
        <v>2.2999999999999998</v>
      </c>
      <c r="I40" s="37">
        <v>2.2999999999999998</v>
      </c>
      <c r="J40" s="37">
        <v>2.2999999999999998</v>
      </c>
      <c r="K40" s="37">
        <v>2.2999999999999998</v>
      </c>
      <c r="L40" s="37">
        <v>2.2999999999999998</v>
      </c>
      <c r="M40" s="52">
        <v>0.2</v>
      </c>
      <c r="N40" s="3" t="s">
        <v>186</v>
      </c>
      <c r="O40" s="3"/>
    </row>
    <row r="41" spans="2:17" ht="15" thickBot="1">
      <c r="B41" s="3" t="s">
        <v>408</v>
      </c>
      <c r="C41" s="5"/>
      <c r="D41" s="37">
        <v>2.1</v>
      </c>
      <c r="E41" s="37">
        <v>2.1</v>
      </c>
      <c r="F41" s="37">
        <v>2.1</v>
      </c>
      <c r="G41" s="37">
        <v>2.1</v>
      </c>
      <c r="H41" s="37">
        <v>2.1</v>
      </c>
      <c r="I41" s="37">
        <v>2.1</v>
      </c>
      <c r="J41" s="37">
        <v>2.1</v>
      </c>
      <c r="K41" s="37">
        <v>2.1</v>
      </c>
      <c r="L41" s="37">
        <v>2.1</v>
      </c>
      <c r="M41" s="52"/>
      <c r="N41" s="3"/>
      <c r="O41" s="3"/>
    </row>
    <row r="42" spans="2:17" ht="15" thickBot="1">
      <c r="B42" s="3" t="s">
        <v>226</v>
      </c>
      <c r="C42" s="5" t="s">
        <v>227</v>
      </c>
      <c r="D42" s="3">
        <v>18</v>
      </c>
      <c r="E42" s="3">
        <v>18</v>
      </c>
      <c r="F42" s="3">
        <v>18</v>
      </c>
      <c r="G42" s="3">
        <v>18</v>
      </c>
      <c r="H42" s="3">
        <v>18</v>
      </c>
      <c r="I42" s="3">
        <v>18</v>
      </c>
      <c r="J42" s="3">
        <v>18</v>
      </c>
      <c r="K42" s="3">
        <v>18</v>
      </c>
      <c r="L42" s="3">
        <v>18</v>
      </c>
      <c r="M42" s="3"/>
      <c r="N42" s="3" t="s">
        <v>186</v>
      </c>
      <c r="O42" s="3"/>
    </row>
    <row r="43" spans="2:17" ht="15" thickBot="1">
      <c r="B43" s="1" t="s">
        <v>229</v>
      </c>
      <c r="C43" s="2" t="s">
        <v>216</v>
      </c>
      <c r="D43" s="1"/>
      <c r="E43" s="1"/>
      <c r="F43" s="1"/>
      <c r="G43" s="1"/>
      <c r="H43" s="1"/>
      <c r="I43" s="1"/>
      <c r="J43" s="1"/>
      <c r="K43" s="1"/>
      <c r="L43" s="1"/>
      <c r="M43" s="1"/>
      <c r="N43" s="1"/>
      <c r="O43" s="1"/>
    </row>
    <row r="44" spans="2:17" ht="15" thickBot="1">
      <c r="B44" s="3" t="s">
        <v>230</v>
      </c>
      <c r="C44" s="3" t="s">
        <v>318</v>
      </c>
      <c r="D44" s="55">
        <v>2151</v>
      </c>
      <c r="E44" s="55">
        <v>1945</v>
      </c>
      <c r="F44" s="55">
        <v>1759</v>
      </c>
      <c r="G44" s="55">
        <v>1659</v>
      </c>
      <c r="H44" s="55">
        <v>1591</v>
      </c>
      <c r="I44" s="55">
        <v>1541</v>
      </c>
      <c r="J44" s="55">
        <v>1500</v>
      </c>
      <c r="K44" s="55">
        <v>1439</v>
      </c>
      <c r="L44" s="55">
        <v>1374</v>
      </c>
      <c r="M44" s="52">
        <v>0.35</v>
      </c>
      <c r="N44" s="3" t="s">
        <v>411</v>
      </c>
      <c r="O44" s="13" t="s">
        <v>240</v>
      </c>
    </row>
    <row r="45" spans="2:17" ht="15" thickBot="1">
      <c r="B45" s="36" t="s">
        <v>236</v>
      </c>
      <c r="C45" s="3" t="s">
        <v>223</v>
      </c>
      <c r="D45" s="46">
        <v>60</v>
      </c>
      <c r="E45" s="46">
        <v>61</v>
      </c>
      <c r="F45" s="46">
        <v>62</v>
      </c>
      <c r="G45" s="46">
        <v>64</v>
      </c>
      <c r="H45" s="46">
        <v>65</v>
      </c>
      <c r="I45" s="46">
        <v>66</v>
      </c>
      <c r="J45" s="46">
        <v>68</v>
      </c>
      <c r="K45" s="46">
        <v>71</v>
      </c>
      <c r="L45" s="46">
        <v>75</v>
      </c>
      <c r="M45" s="54"/>
      <c r="N45" s="3" t="s">
        <v>186</v>
      </c>
      <c r="O45" s="54"/>
    </row>
    <row r="46" spans="2:17" ht="15" thickBot="1">
      <c r="B46" s="36" t="s">
        <v>237</v>
      </c>
      <c r="C46" s="3" t="s">
        <v>223</v>
      </c>
      <c r="D46" s="46">
        <v>40</v>
      </c>
      <c r="E46" s="46">
        <v>39</v>
      </c>
      <c r="F46" s="46">
        <v>38</v>
      </c>
      <c r="G46" s="46">
        <v>36</v>
      </c>
      <c r="H46" s="46">
        <v>35</v>
      </c>
      <c r="I46" s="46">
        <v>34</v>
      </c>
      <c r="J46" s="46">
        <v>32</v>
      </c>
      <c r="K46" s="46">
        <v>29</v>
      </c>
      <c r="L46" s="46">
        <v>25</v>
      </c>
      <c r="M46" s="54"/>
      <c r="N46" s="3" t="s">
        <v>186</v>
      </c>
      <c r="O46" s="54"/>
    </row>
    <row r="47" spans="2:17" ht="15" thickBot="1">
      <c r="B47" s="30" t="s">
        <v>339</v>
      </c>
      <c r="C47" s="3" t="s">
        <v>239</v>
      </c>
      <c r="D47" s="55">
        <v>10800</v>
      </c>
      <c r="E47" s="55">
        <v>19500</v>
      </c>
      <c r="F47" s="55">
        <v>35200</v>
      </c>
      <c r="G47" s="55">
        <v>49800</v>
      </c>
      <c r="H47" s="55">
        <v>63600</v>
      </c>
      <c r="I47" s="55">
        <v>77000</v>
      </c>
      <c r="J47" s="55">
        <v>90000</v>
      </c>
      <c r="K47" s="55">
        <v>115100</v>
      </c>
      <c r="L47" s="55">
        <v>151100</v>
      </c>
      <c r="M47" s="52">
        <v>0.35</v>
      </c>
      <c r="N47" s="3"/>
      <c r="O47" s="55"/>
    </row>
    <row r="48" spans="2:17" ht="15" thickBot="1">
      <c r="B48" s="3" t="s">
        <v>242</v>
      </c>
      <c r="C48" s="3" t="s">
        <v>321</v>
      </c>
      <c r="D48" s="13">
        <v>102</v>
      </c>
      <c r="E48" s="13">
        <v>99</v>
      </c>
      <c r="F48" s="13">
        <v>92</v>
      </c>
      <c r="G48" s="13">
        <v>85</v>
      </c>
      <c r="H48" s="13">
        <v>78</v>
      </c>
      <c r="I48" s="13">
        <v>72</v>
      </c>
      <c r="J48" s="13">
        <v>65</v>
      </c>
      <c r="K48" s="13">
        <v>51</v>
      </c>
      <c r="L48" s="13">
        <v>30</v>
      </c>
      <c r="M48" s="13"/>
      <c r="N48" s="3" t="s">
        <v>186</v>
      </c>
      <c r="O48" s="13"/>
    </row>
    <row r="49" spans="2:15" ht="15" thickBot="1">
      <c r="B49" s="1" t="s">
        <v>246</v>
      </c>
      <c r="C49" s="2" t="s">
        <v>216</v>
      </c>
      <c r="D49" s="1"/>
      <c r="E49" s="1"/>
      <c r="F49" s="1"/>
      <c r="G49" s="1"/>
      <c r="H49" s="1"/>
      <c r="I49" s="1"/>
      <c r="J49" s="1"/>
      <c r="K49" s="1"/>
      <c r="L49" s="1"/>
      <c r="M49" s="1"/>
      <c r="N49" s="1"/>
      <c r="O49" s="1"/>
    </row>
    <row r="50" spans="2:15" ht="15" thickBot="1">
      <c r="B50" s="3" t="s">
        <v>343</v>
      </c>
      <c r="C50" s="3" t="s">
        <v>318</v>
      </c>
      <c r="D50" s="55">
        <v>671</v>
      </c>
      <c r="E50" s="55">
        <v>540</v>
      </c>
      <c r="F50" s="55">
        <v>469</v>
      </c>
      <c r="G50" s="55">
        <v>385</v>
      </c>
      <c r="H50" s="55">
        <v>352</v>
      </c>
      <c r="I50" s="55">
        <v>329</v>
      </c>
      <c r="J50" s="55">
        <v>310</v>
      </c>
      <c r="K50" s="55">
        <v>284</v>
      </c>
      <c r="L50" s="55">
        <v>257</v>
      </c>
      <c r="M50" s="3"/>
      <c r="N50" s="3" t="s">
        <v>192</v>
      </c>
      <c r="O50" s="3" t="s">
        <v>224</v>
      </c>
    </row>
    <row r="51" spans="2:15" ht="15" thickBot="1">
      <c r="B51" s="3" t="s">
        <v>343</v>
      </c>
      <c r="C51" s="30" t="s">
        <v>239</v>
      </c>
      <c r="D51" s="55">
        <v>3354</v>
      </c>
      <c r="E51" s="55">
        <v>5404</v>
      </c>
      <c r="F51" s="55">
        <v>9374</v>
      </c>
      <c r="G51" s="55">
        <v>11547</v>
      </c>
      <c r="H51" s="55">
        <v>14082</v>
      </c>
      <c r="I51" s="55">
        <v>16426</v>
      </c>
      <c r="J51" s="55">
        <v>18628</v>
      </c>
      <c r="K51" s="55">
        <v>22719</v>
      </c>
      <c r="L51" s="55">
        <v>28302</v>
      </c>
      <c r="M51" s="3"/>
      <c r="N51" s="3"/>
      <c r="O51" s="3"/>
    </row>
    <row r="52" spans="2:15" ht="15" thickBot="1">
      <c r="B52" s="3" t="s">
        <v>254</v>
      </c>
      <c r="C52" s="30" t="s">
        <v>318</v>
      </c>
      <c r="D52" s="55">
        <v>195</v>
      </c>
      <c r="E52" s="55">
        <v>97</v>
      </c>
      <c r="F52" s="55">
        <v>49</v>
      </c>
      <c r="G52" s="55">
        <v>32</v>
      </c>
      <c r="H52" s="55">
        <v>24</v>
      </c>
      <c r="I52" s="55">
        <v>19</v>
      </c>
      <c r="J52" s="55">
        <v>16</v>
      </c>
      <c r="K52" s="55">
        <v>12</v>
      </c>
      <c r="L52" s="55">
        <v>9</v>
      </c>
      <c r="M52" s="3"/>
      <c r="N52" s="3" t="s">
        <v>192</v>
      </c>
      <c r="O52" s="3"/>
    </row>
    <row r="53" spans="2:15" ht="15" thickBot="1">
      <c r="B53" s="3" t="s">
        <v>258</v>
      </c>
      <c r="C53" s="30" t="s">
        <v>239</v>
      </c>
      <c r="D53" s="55">
        <v>1025</v>
      </c>
      <c r="E53" s="55">
        <v>1025</v>
      </c>
      <c r="F53" s="55">
        <v>1726</v>
      </c>
      <c r="G53" s="55">
        <v>1726</v>
      </c>
      <c r="H53" s="55">
        <v>11445</v>
      </c>
      <c r="I53" s="55">
        <v>11445</v>
      </c>
      <c r="J53" s="55">
        <v>11445</v>
      </c>
      <c r="K53" s="55">
        <v>15260</v>
      </c>
      <c r="L53" s="55">
        <v>15260</v>
      </c>
      <c r="M53" s="3"/>
      <c r="N53" s="3" t="s">
        <v>151</v>
      </c>
      <c r="O53" s="3" t="s">
        <v>250</v>
      </c>
    </row>
    <row r="54" spans="2:15" ht="15" thickBot="1">
      <c r="B54" s="36" t="s">
        <v>259</v>
      </c>
      <c r="C54" s="30" t="s">
        <v>260</v>
      </c>
      <c r="D54" s="55">
        <v>500</v>
      </c>
      <c r="E54" s="55">
        <v>500</v>
      </c>
      <c r="F54" s="55">
        <v>1000</v>
      </c>
      <c r="G54" s="55">
        <v>1000</v>
      </c>
      <c r="H54" s="55">
        <v>1500</v>
      </c>
      <c r="I54" s="55">
        <v>1500</v>
      </c>
      <c r="J54" s="55">
        <v>1500</v>
      </c>
      <c r="K54" s="55">
        <v>2000</v>
      </c>
      <c r="L54" s="55">
        <v>2000</v>
      </c>
      <c r="M54" s="3"/>
      <c r="N54" s="3"/>
      <c r="O54" s="3"/>
    </row>
    <row r="55" spans="2:15" ht="15" thickBot="1">
      <c r="B55" s="36" t="s">
        <v>261</v>
      </c>
      <c r="C55" s="30" t="s">
        <v>262</v>
      </c>
      <c r="D55" s="37">
        <v>2</v>
      </c>
      <c r="E55" s="37">
        <v>2</v>
      </c>
      <c r="F55" s="37">
        <v>1.7</v>
      </c>
      <c r="G55" s="37">
        <v>1.7</v>
      </c>
      <c r="H55" s="37">
        <v>7.6</v>
      </c>
      <c r="I55" s="37">
        <v>7.6</v>
      </c>
      <c r="J55" s="37">
        <v>7.6</v>
      </c>
      <c r="K55" s="37">
        <v>7.6</v>
      </c>
      <c r="L55" s="37">
        <v>7.6</v>
      </c>
      <c r="M55" s="3"/>
      <c r="N55" s="3" t="s">
        <v>151</v>
      </c>
      <c r="O55" s="3"/>
    </row>
    <row r="56" spans="2:15" ht="15" thickBot="1">
      <c r="B56" s="38" t="s">
        <v>263</v>
      </c>
      <c r="C56" s="39" t="s">
        <v>239</v>
      </c>
      <c r="D56" s="40">
        <v>16200</v>
      </c>
      <c r="E56" s="40">
        <v>26900</v>
      </c>
      <c r="F56" s="40">
        <v>47300</v>
      </c>
      <c r="G56" s="40">
        <v>64000</v>
      </c>
      <c r="H56" s="40">
        <v>90100</v>
      </c>
      <c r="I56" s="40">
        <v>105800</v>
      </c>
      <c r="J56" s="40">
        <v>121000</v>
      </c>
      <c r="K56" s="40">
        <v>154100</v>
      </c>
      <c r="L56" s="40">
        <v>195600</v>
      </c>
      <c r="M56" s="52">
        <v>0.35</v>
      </c>
      <c r="N56" s="3"/>
      <c r="O56" s="3"/>
    </row>
    <row r="59" spans="2:15">
      <c r="B59" s="4" t="s">
        <v>214</v>
      </c>
      <c r="C59" s="4">
        <v>2040</v>
      </c>
    </row>
    <row r="60" spans="2:15" ht="15" thickBot="1">
      <c r="B60" s="1" t="s">
        <v>215</v>
      </c>
      <c r="C60" s="2" t="s">
        <v>216</v>
      </c>
      <c r="D60" s="1"/>
      <c r="E60" s="2"/>
      <c r="F60" s="1"/>
      <c r="G60" s="1"/>
      <c r="H60" s="1"/>
      <c r="I60" s="1"/>
      <c r="J60" s="1"/>
      <c r="K60" s="1"/>
      <c r="L60" s="1"/>
      <c r="M60" s="1" t="s">
        <v>217</v>
      </c>
      <c r="N60" s="1" t="s">
        <v>147</v>
      </c>
      <c r="O60" s="1" t="s">
        <v>148</v>
      </c>
    </row>
    <row r="61" spans="2:15" ht="15" thickBot="1">
      <c r="B61" s="3" t="s">
        <v>220</v>
      </c>
      <c r="C61" s="30" t="s">
        <v>316</v>
      </c>
      <c r="D61" s="3">
        <v>5</v>
      </c>
      <c r="E61" s="31">
        <v>10</v>
      </c>
      <c r="F61" s="3">
        <v>20</v>
      </c>
      <c r="G61" s="3">
        <v>30</v>
      </c>
      <c r="H61" s="3">
        <v>40</v>
      </c>
      <c r="I61" s="3">
        <v>50</v>
      </c>
      <c r="J61" s="3">
        <v>60</v>
      </c>
      <c r="K61" s="3">
        <v>80</v>
      </c>
      <c r="L61" s="3">
        <v>110</v>
      </c>
      <c r="M61" s="3"/>
      <c r="N61" s="3"/>
      <c r="O61" s="3"/>
    </row>
    <row r="62" spans="2:15" ht="15" thickBot="1">
      <c r="B62" s="3" t="s">
        <v>329</v>
      </c>
      <c r="C62" s="5"/>
      <c r="D62" s="51">
        <v>4.51</v>
      </c>
      <c r="E62" s="51">
        <v>4.51</v>
      </c>
      <c r="F62" s="51">
        <v>4.51</v>
      </c>
      <c r="G62" s="51">
        <v>4.51</v>
      </c>
      <c r="H62" s="51">
        <v>4.51</v>
      </c>
      <c r="I62" s="51">
        <v>4.51</v>
      </c>
      <c r="J62" s="51">
        <v>4.51</v>
      </c>
      <c r="K62" s="51">
        <v>4.51</v>
      </c>
      <c r="L62" s="51">
        <v>4.51</v>
      </c>
      <c r="M62" s="52">
        <v>0.2</v>
      </c>
      <c r="N62" s="3" t="s">
        <v>305</v>
      </c>
      <c r="O62" s="3" t="s">
        <v>244</v>
      </c>
    </row>
    <row r="63" spans="2:15" ht="15" thickBot="1">
      <c r="B63" s="3" t="s">
        <v>332</v>
      </c>
      <c r="C63" s="5"/>
      <c r="D63" s="51">
        <v>3.61</v>
      </c>
      <c r="E63" s="51">
        <v>3.61</v>
      </c>
      <c r="F63" s="51">
        <v>3.61</v>
      </c>
      <c r="G63" s="51">
        <v>3.61</v>
      </c>
      <c r="H63" s="51">
        <v>3.61</v>
      </c>
      <c r="I63" s="51">
        <v>3.61</v>
      </c>
      <c r="J63" s="51">
        <v>3.61</v>
      </c>
      <c r="K63" s="51">
        <v>3.61</v>
      </c>
      <c r="L63" s="51">
        <v>3.61</v>
      </c>
      <c r="M63" s="52">
        <v>0.2</v>
      </c>
      <c r="N63" s="3" t="s">
        <v>305</v>
      </c>
      <c r="O63" s="3" t="s">
        <v>244</v>
      </c>
    </row>
    <row r="64" spans="2:15" ht="15" thickBot="1">
      <c r="B64" s="3" t="s">
        <v>334</v>
      </c>
      <c r="C64" s="5"/>
      <c r="D64" s="51">
        <v>3.13</v>
      </c>
      <c r="E64" s="51">
        <v>3.13</v>
      </c>
      <c r="F64" s="51">
        <v>3.13</v>
      </c>
      <c r="G64" s="51">
        <v>3.13</v>
      </c>
      <c r="H64" s="51">
        <v>3.13</v>
      </c>
      <c r="I64" s="51">
        <v>3.13</v>
      </c>
      <c r="J64" s="51">
        <v>3.13</v>
      </c>
      <c r="K64" s="51">
        <v>3.13</v>
      </c>
      <c r="L64" s="51">
        <v>3.13</v>
      </c>
      <c r="M64" s="52"/>
      <c r="N64" s="3"/>
      <c r="O64" s="3"/>
    </row>
    <row r="65" spans="2:15" ht="15" thickBot="1">
      <c r="B65" s="3" t="s">
        <v>405</v>
      </c>
      <c r="C65" s="30" t="s">
        <v>223</v>
      </c>
      <c r="D65" s="3">
        <v>93</v>
      </c>
      <c r="E65" s="31">
        <v>93</v>
      </c>
      <c r="F65" s="3">
        <v>95</v>
      </c>
      <c r="G65" s="3">
        <v>95</v>
      </c>
      <c r="H65" s="3">
        <v>95</v>
      </c>
      <c r="I65" s="3">
        <v>95</v>
      </c>
      <c r="J65" s="3">
        <v>95</v>
      </c>
      <c r="K65" s="3">
        <v>95</v>
      </c>
      <c r="L65" s="3">
        <v>95</v>
      </c>
      <c r="M65" s="3"/>
      <c r="N65" s="3"/>
      <c r="O65" s="3"/>
    </row>
    <row r="66" spans="2:15" ht="15" thickBot="1">
      <c r="B66" s="3" t="s">
        <v>406</v>
      </c>
      <c r="C66" s="30"/>
      <c r="D66" s="37">
        <v>2.5</v>
      </c>
      <c r="E66" s="37">
        <v>2.5</v>
      </c>
      <c r="F66" s="37">
        <v>2.6</v>
      </c>
      <c r="G66" s="37">
        <v>2.6</v>
      </c>
      <c r="H66" s="37">
        <v>2.6</v>
      </c>
      <c r="I66" s="37">
        <v>2.6</v>
      </c>
      <c r="J66" s="37">
        <v>2.6</v>
      </c>
      <c r="K66" s="37">
        <v>2.6</v>
      </c>
      <c r="L66" s="37">
        <v>2.6</v>
      </c>
      <c r="M66" s="52">
        <v>0.2</v>
      </c>
      <c r="N66" s="3" t="s">
        <v>186</v>
      </c>
      <c r="O66" s="3"/>
    </row>
    <row r="67" spans="2:15" ht="15" thickBot="1">
      <c r="B67" s="3" t="s">
        <v>407</v>
      </c>
      <c r="C67" s="5"/>
      <c r="D67" s="37">
        <v>2.2999999999999998</v>
      </c>
      <c r="E67" s="37">
        <v>2.2999999999999998</v>
      </c>
      <c r="F67" s="37">
        <v>2.2999999999999998</v>
      </c>
      <c r="G67" s="37">
        <v>2.2999999999999998</v>
      </c>
      <c r="H67" s="37">
        <v>2.2999999999999998</v>
      </c>
      <c r="I67" s="37">
        <v>2.2999999999999998</v>
      </c>
      <c r="J67" s="37">
        <v>2.2999999999999998</v>
      </c>
      <c r="K67" s="37">
        <v>2.2999999999999998</v>
      </c>
      <c r="L67" s="37">
        <v>2.2999999999999998</v>
      </c>
      <c r="M67" s="52">
        <v>0.2</v>
      </c>
      <c r="N67" s="3" t="s">
        <v>186</v>
      </c>
      <c r="O67" s="3"/>
    </row>
    <row r="68" spans="2:15" ht="15" thickBot="1">
      <c r="B68" s="3" t="s">
        <v>408</v>
      </c>
      <c r="C68" s="5"/>
      <c r="D68" s="37">
        <v>2.1</v>
      </c>
      <c r="E68" s="37">
        <v>2.1</v>
      </c>
      <c r="F68" s="37">
        <v>2.1</v>
      </c>
      <c r="G68" s="37">
        <v>2.1</v>
      </c>
      <c r="H68" s="37">
        <v>2.1</v>
      </c>
      <c r="I68" s="37">
        <v>2.1</v>
      </c>
      <c r="J68" s="37">
        <v>2.1</v>
      </c>
      <c r="K68" s="37">
        <v>2.1</v>
      </c>
      <c r="L68" s="37">
        <v>2.1</v>
      </c>
      <c r="M68" s="52"/>
      <c r="N68" s="3"/>
      <c r="O68" s="3"/>
    </row>
    <row r="69" spans="2:15" ht="15" thickBot="1">
      <c r="B69" s="3" t="s">
        <v>226</v>
      </c>
      <c r="C69" s="5" t="s">
        <v>227</v>
      </c>
      <c r="D69" s="3">
        <v>18</v>
      </c>
      <c r="E69" s="3">
        <v>18</v>
      </c>
      <c r="F69" s="3">
        <v>18</v>
      </c>
      <c r="G69" s="3">
        <v>18</v>
      </c>
      <c r="H69" s="3">
        <v>18</v>
      </c>
      <c r="I69" s="3">
        <v>18</v>
      </c>
      <c r="J69" s="3">
        <v>18</v>
      </c>
      <c r="K69" s="3">
        <v>18</v>
      </c>
      <c r="L69" s="3">
        <v>18</v>
      </c>
      <c r="M69" s="3"/>
      <c r="N69" s="3" t="s">
        <v>186</v>
      </c>
      <c r="O69" s="3"/>
    </row>
    <row r="70" spans="2:15" ht="15" thickBot="1">
      <c r="B70" s="1" t="s">
        <v>229</v>
      </c>
      <c r="C70" s="2" t="s">
        <v>216</v>
      </c>
      <c r="D70" s="1"/>
      <c r="E70" s="1"/>
      <c r="F70" s="1"/>
      <c r="G70" s="1"/>
      <c r="H70" s="1"/>
      <c r="I70" s="1"/>
      <c r="J70" s="1"/>
      <c r="K70" s="1"/>
      <c r="L70" s="1"/>
      <c r="M70" s="1"/>
      <c r="N70" s="1"/>
      <c r="O70" s="1"/>
    </row>
    <row r="71" spans="2:15" ht="15" thickBot="1">
      <c r="B71" s="3" t="s">
        <v>343</v>
      </c>
      <c r="C71" s="3" t="s">
        <v>318</v>
      </c>
      <c r="D71" s="55">
        <v>1912</v>
      </c>
      <c r="E71" s="55">
        <v>1729</v>
      </c>
      <c r="F71" s="55">
        <v>1564</v>
      </c>
      <c r="G71" s="55">
        <v>1475</v>
      </c>
      <c r="H71" s="55">
        <v>1414</v>
      </c>
      <c r="I71" s="55">
        <v>1369</v>
      </c>
      <c r="J71" s="55">
        <v>1334</v>
      </c>
      <c r="K71" s="55">
        <v>1279</v>
      </c>
      <c r="L71" s="55">
        <v>1221</v>
      </c>
      <c r="M71" s="52">
        <v>0.45</v>
      </c>
      <c r="N71" s="3" t="s">
        <v>411</v>
      </c>
      <c r="O71" s="13" t="s">
        <v>240</v>
      </c>
    </row>
    <row r="72" spans="2:15" ht="15" thickBot="1">
      <c r="B72" s="36" t="s">
        <v>236</v>
      </c>
      <c r="C72" s="3" t="s">
        <v>223</v>
      </c>
      <c r="D72" s="46">
        <v>60</v>
      </c>
      <c r="E72" s="46">
        <v>61</v>
      </c>
      <c r="F72" s="46">
        <v>62</v>
      </c>
      <c r="G72" s="46">
        <v>64</v>
      </c>
      <c r="H72" s="46">
        <v>65</v>
      </c>
      <c r="I72" s="46">
        <v>66</v>
      </c>
      <c r="J72" s="46">
        <v>68</v>
      </c>
      <c r="K72" s="46">
        <v>71</v>
      </c>
      <c r="L72" s="46">
        <v>75</v>
      </c>
      <c r="M72" s="54"/>
      <c r="N72" s="3" t="s">
        <v>186</v>
      </c>
      <c r="O72" s="54"/>
    </row>
    <row r="73" spans="2:15" ht="15" thickBot="1">
      <c r="B73" s="36" t="s">
        <v>237</v>
      </c>
      <c r="C73" s="3" t="s">
        <v>223</v>
      </c>
      <c r="D73" s="46">
        <v>40</v>
      </c>
      <c r="E73" s="46">
        <v>39</v>
      </c>
      <c r="F73" s="46">
        <v>38</v>
      </c>
      <c r="G73" s="46">
        <v>36</v>
      </c>
      <c r="H73" s="46">
        <v>35</v>
      </c>
      <c r="I73" s="46">
        <v>34</v>
      </c>
      <c r="J73" s="46">
        <v>32</v>
      </c>
      <c r="K73" s="46">
        <v>29</v>
      </c>
      <c r="L73" s="46">
        <v>25</v>
      </c>
      <c r="M73" s="54"/>
      <c r="N73" s="3" t="s">
        <v>186</v>
      </c>
      <c r="O73" s="54"/>
    </row>
    <row r="74" spans="2:15" ht="15" thickBot="1">
      <c r="B74" s="30" t="s">
        <v>339</v>
      </c>
      <c r="C74" s="3" t="s">
        <v>239</v>
      </c>
      <c r="D74" s="55">
        <v>9600</v>
      </c>
      <c r="E74" s="55">
        <v>17300</v>
      </c>
      <c r="F74" s="55">
        <v>31300</v>
      </c>
      <c r="G74" s="55">
        <v>44200</v>
      </c>
      <c r="H74" s="55">
        <v>56600</v>
      </c>
      <c r="I74" s="55">
        <v>68500</v>
      </c>
      <c r="J74" s="55">
        <v>80000</v>
      </c>
      <c r="K74" s="55">
        <v>102300</v>
      </c>
      <c r="L74" s="55">
        <v>134400</v>
      </c>
      <c r="M74" s="52">
        <v>0.45</v>
      </c>
      <c r="N74" s="3"/>
      <c r="O74" s="55"/>
    </row>
    <row r="75" spans="2:15" ht="15" thickBot="1">
      <c r="B75" s="3" t="s">
        <v>242</v>
      </c>
      <c r="C75" s="3" t="s">
        <v>321</v>
      </c>
      <c r="D75" s="13">
        <v>102</v>
      </c>
      <c r="E75" s="13">
        <v>99</v>
      </c>
      <c r="F75" s="13">
        <v>92</v>
      </c>
      <c r="G75" s="13">
        <v>85</v>
      </c>
      <c r="H75" s="13">
        <v>78</v>
      </c>
      <c r="I75" s="13">
        <v>72</v>
      </c>
      <c r="J75" s="13">
        <v>65</v>
      </c>
      <c r="K75" s="13">
        <v>51</v>
      </c>
      <c r="L75" s="13">
        <v>30</v>
      </c>
      <c r="M75" s="13"/>
      <c r="N75" s="3" t="s">
        <v>186</v>
      </c>
      <c r="O75" s="13"/>
    </row>
    <row r="76" spans="2:15" ht="15" thickBot="1">
      <c r="B76" s="1" t="s">
        <v>246</v>
      </c>
      <c r="C76" s="2" t="s">
        <v>216</v>
      </c>
      <c r="D76" s="1"/>
      <c r="E76" s="1"/>
      <c r="F76" s="1"/>
      <c r="G76" s="1"/>
      <c r="H76" s="1"/>
      <c r="I76" s="1"/>
      <c r="J76" s="1"/>
      <c r="K76" s="1"/>
      <c r="L76" s="1"/>
      <c r="M76" s="1"/>
      <c r="N76" s="1"/>
      <c r="O76" s="1"/>
    </row>
    <row r="77" spans="2:15" ht="15" thickBot="1">
      <c r="B77" s="3" t="s">
        <v>343</v>
      </c>
      <c r="C77" s="3" t="s">
        <v>318</v>
      </c>
      <c r="D77" s="55">
        <v>671</v>
      </c>
      <c r="E77" s="55">
        <v>540</v>
      </c>
      <c r="F77" s="55">
        <v>469</v>
      </c>
      <c r="G77" s="55">
        <v>385</v>
      </c>
      <c r="H77" s="55">
        <v>352</v>
      </c>
      <c r="I77" s="55">
        <v>329</v>
      </c>
      <c r="J77" s="55">
        <v>310</v>
      </c>
      <c r="K77" s="55">
        <v>284</v>
      </c>
      <c r="L77" s="55">
        <v>257</v>
      </c>
      <c r="M77" s="3"/>
      <c r="N77" s="3" t="s">
        <v>192</v>
      </c>
      <c r="O77" s="3" t="s">
        <v>224</v>
      </c>
    </row>
    <row r="78" spans="2:15" ht="15" thickBot="1">
      <c r="B78" s="3" t="s">
        <v>343</v>
      </c>
      <c r="C78" s="30" t="s">
        <v>239</v>
      </c>
      <c r="D78" s="55">
        <v>3354</v>
      </c>
      <c r="E78" s="55">
        <v>5404</v>
      </c>
      <c r="F78" s="55">
        <v>9374</v>
      </c>
      <c r="G78" s="55">
        <v>11547</v>
      </c>
      <c r="H78" s="55">
        <v>14082</v>
      </c>
      <c r="I78" s="55">
        <v>16426</v>
      </c>
      <c r="J78" s="55">
        <v>18628</v>
      </c>
      <c r="K78" s="55">
        <v>22719</v>
      </c>
      <c r="L78" s="55">
        <v>28302</v>
      </c>
      <c r="M78" s="3"/>
      <c r="N78" s="3"/>
      <c r="O78" s="3"/>
    </row>
    <row r="79" spans="2:15" ht="15" thickBot="1">
      <c r="B79" s="3" t="s">
        <v>254</v>
      </c>
      <c r="C79" s="30" t="s">
        <v>318</v>
      </c>
      <c r="D79" s="55">
        <v>195</v>
      </c>
      <c r="E79" s="55">
        <v>97</v>
      </c>
      <c r="F79" s="55">
        <v>49</v>
      </c>
      <c r="G79" s="55">
        <v>32</v>
      </c>
      <c r="H79" s="55">
        <v>24</v>
      </c>
      <c r="I79" s="55">
        <v>19</v>
      </c>
      <c r="J79" s="55">
        <v>16</v>
      </c>
      <c r="K79" s="55">
        <v>12</v>
      </c>
      <c r="L79" s="55">
        <v>9</v>
      </c>
      <c r="M79" s="3"/>
      <c r="N79" s="3" t="s">
        <v>192</v>
      </c>
      <c r="O79" s="3"/>
    </row>
    <row r="80" spans="2:15" ht="15" thickBot="1">
      <c r="B80" s="3" t="s">
        <v>258</v>
      </c>
      <c r="C80" s="30" t="s">
        <v>239</v>
      </c>
      <c r="D80" s="55">
        <v>1025</v>
      </c>
      <c r="E80" s="55">
        <v>1025</v>
      </c>
      <c r="F80" s="55">
        <v>1726</v>
      </c>
      <c r="G80" s="55">
        <v>1726</v>
      </c>
      <c r="H80" s="55">
        <v>11445</v>
      </c>
      <c r="I80" s="55">
        <v>11445</v>
      </c>
      <c r="J80" s="55">
        <v>11445</v>
      </c>
      <c r="K80" s="55">
        <v>15260</v>
      </c>
      <c r="L80" s="55">
        <v>15260</v>
      </c>
      <c r="M80" s="3"/>
      <c r="N80" s="3" t="s">
        <v>151</v>
      </c>
      <c r="O80" s="3" t="s">
        <v>250</v>
      </c>
    </row>
    <row r="81" spans="2:15" ht="15" thickBot="1">
      <c r="B81" s="36" t="s">
        <v>259</v>
      </c>
      <c r="C81" s="30" t="s">
        <v>260</v>
      </c>
      <c r="D81" s="55">
        <v>500</v>
      </c>
      <c r="E81" s="55">
        <v>500</v>
      </c>
      <c r="F81" s="55">
        <v>1000</v>
      </c>
      <c r="G81" s="55">
        <v>1000</v>
      </c>
      <c r="H81" s="55">
        <v>1500</v>
      </c>
      <c r="I81" s="55">
        <v>1500</v>
      </c>
      <c r="J81" s="55">
        <v>1500</v>
      </c>
      <c r="K81" s="55">
        <v>2000</v>
      </c>
      <c r="L81" s="55">
        <v>2000</v>
      </c>
      <c r="M81" s="3"/>
      <c r="N81" s="3"/>
      <c r="O81" s="3"/>
    </row>
    <row r="82" spans="2:15" ht="15" thickBot="1">
      <c r="B82" s="36" t="s">
        <v>261</v>
      </c>
      <c r="C82" s="30" t="s">
        <v>262</v>
      </c>
      <c r="D82" s="37">
        <v>2</v>
      </c>
      <c r="E82" s="37">
        <v>2</v>
      </c>
      <c r="F82" s="37">
        <v>1.7</v>
      </c>
      <c r="G82" s="37">
        <v>1.7</v>
      </c>
      <c r="H82" s="37">
        <v>7.6</v>
      </c>
      <c r="I82" s="37">
        <v>7.6</v>
      </c>
      <c r="J82" s="37">
        <v>7.6</v>
      </c>
      <c r="K82" s="37">
        <v>7.6</v>
      </c>
      <c r="L82" s="37">
        <v>7.6</v>
      </c>
      <c r="M82" s="3"/>
      <c r="N82" s="3" t="s">
        <v>151</v>
      </c>
      <c r="O82" s="3"/>
    </row>
    <row r="83" spans="2:15" ht="15" thickBot="1">
      <c r="B83" s="38" t="s">
        <v>263</v>
      </c>
      <c r="C83" s="39" t="s">
        <v>239</v>
      </c>
      <c r="D83" s="40">
        <v>15000</v>
      </c>
      <c r="E83" s="40">
        <v>24700</v>
      </c>
      <c r="F83" s="40">
        <v>43400</v>
      </c>
      <c r="G83" s="40">
        <v>58400</v>
      </c>
      <c r="H83" s="40">
        <v>83100</v>
      </c>
      <c r="I83" s="40">
        <v>97300</v>
      </c>
      <c r="J83" s="40">
        <v>111000</v>
      </c>
      <c r="K83" s="40">
        <v>141300</v>
      </c>
      <c r="L83" s="40">
        <v>178900</v>
      </c>
      <c r="M83" s="52">
        <v>0.45</v>
      </c>
      <c r="N83" s="3"/>
      <c r="O83" s="3"/>
    </row>
  </sheetData>
  <mergeCells count="1">
    <mergeCell ref="G2:L3"/>
  </mergeCells>
  <conditionalFormatting sqref="M11:M12">
    <cfRule type="colorScale" priority="11">
      <colorScale>
        <cfvo type="num" val="0"/>
        <cfvo type="num" val="0.5"/>
        <color theme="0"/>
        <color theme="5"/>
      </colorScale>
    </cfRule>
  </conditionalFormatting>
  <conditionalFormatting sqref="M19">
    <cfRule type="colorScale" priority="6">
      <colorScale>
        <cfvo type="num" val="0"/>
        <cfvo type="num" val="0.5"/>
        <color theme="0"/>
        <color theme="5"/>
      </colorScale>
    </cfRule>
  </conditionalFormatting>
  <conditionalFormatting sqref="M28">
    <cfRule type="colorScale" priority="5">
      <colorScale>
        <cfvo type="num" val="0"/>
        <cfvo type="num" val="0.5"/>
        <color theme="0"/>
        <color theme="5"/>
      </colorScale>
    </cfRule>
  </conditionalFormatting>
  <conditionalFormatting sqref="M35:M36">
    <cfRule type="colorScale" priority="10">
      <colorScale>
        <cfvo type="num" val="0"/>
        <cfvo type="num" val="0.5"/>
        <color theme="0"/>
        <color theme="5"/>
      </colorScale>
    </cfRule>
  </conditionalFormatting>
  <conditionalFormatting sqref="M37 M13 M41 M64 M68 M7:M9">
    <cfRule type="colorScale" priority="12">
      <colorScale>
        <cfvo type="num" val="0"/>
        <cfvo type="num" val="0.5"/>
        <color theme="0"/>
        <color theme="5"/>
      </colorScale>
    </cfRule>
  </conditionalFormatting>
  <conditionalFormatting sqref="M39:M40">
    <cfRule type="colorScale" priority="9">
      <colorScale>
        <cfvo type="num" val="0"/>
        <cfvo type="num" val="0.5"/>
        <color theme="0"/>
        <color theme="5"/>
      </colorScale>
    </cfRule>
  </conditionalFormatting>
  <conditionalFormatting sqref="M44 M16 M71 AB8:AB9">
    <cfRule type="colorScale" priority="13">
      <colorScale>
        <cfvo type="num" val="0"/>
        <cfvo type="num" val="0.5"/>
        <color theme="0"/>
        <color theme="5"/>
      </colorScale>
    </cfRule>
  </conditionalFormatting>
  <conditionalFormatting sqref="M47">
    <cfRule type="colorScale" priority="4">
      <colorScale>
        <cfvo type="num" val="0"/>
        <cfvo type="num" val="0.5"/>
        <color theme="0"/>
        <color theme="5"/>
      </colorScale>
    </cfRule>
  </conditionalFormatting>
  <conditionalFormatting sqref="M56">
    <cfRule type="colorScale" priority="3">
      <colorScale>
        <cfvo type="num" val="0"/>
        <cfvo type="num" val="0.5"/>
        <color theme="0"/>
        <color theme="5"/>
      </colorScale>
    </cfRule>
  </conditionalFormatting>
  <conditionalFormatting sqref="M62:M63">
    <cfRule type="colorScale" priority="8">
      <colorScale>
        <cfvo type="num" val="0"/>
        <cfvo type="num" val="0.5"/>
        <color theme="0"/>
        <color theme="5"/>
      </colorScale>
    </cfRule>
  </conditionalFormatting>
  <conditionalFormatting sqref="M66:M67">
    <cfRule type="colorScale" priority="7">
      <colorScale>
        <cfvo type="num" val="0"/>
        <cfvo type="num" val="0.5"/>
        <color theme="0"/>
        <color theme="5"/>
      </colorScale>
    </cfRule>
  </conditionalFormatting>
  <conditionalFormatting sqref="M74">
    <cfRule type="colorScale" priority="2">
      <colorScale>
        <cfvo type="num" val="0"/>
        <cfvo type="num" val="0.5"/>
        <color theme="0"/>
        <color theme="5"/>
      </colorScale>
    </cfRule>
  </conditionalFormatting>
  <conditionalFormatting sqref="M83">
    <cfRule type="colorScale" priority="1">
      <colorScale>
        <cfvo type="num" val="0"/>
        <cfvo type="num" val="0.5"/>
        <color theme="0"/>
        <color theme="5"/>
      </colorScale>
    </cfRule>
  </conditionalFormatting>
  <hyperlinks>
    <hyperlink ref="A1" location="Inhalt!A1" display="Zum Inhalt" xr:uid="{A7F54F4D-730C-4E27-B0DD-124E4275BEF7}"/>
  </hyperlinks>
  <pageMargins left="0.7" right="0.7" top="0.78740157499999996" bottom="0.78740157499999996" header="0.3" footer="0.3"/>
  <pageSetup paperSize="9"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8340-67A8-465E-931D-54ACFDC61256}">
  <sheetPr codeName="Tabelle17"/>
  <dimension ref="A1:AE78"/>
  <sheetViews>
    <sheetView topLeftCell="M1" zoomScale="85" zoomScaleNormal="85" workbookViewId="0">
      <selection activeCell="S16" sqref="S16"/>
    </sheetView>
  </sheetViews>
  <sheetFormatPr baseColWidth="10" defaultColWidth="11.44140625" defaultRowHeight="14.4"/>
  <cols>
    <col min="2" max="2" width="31.6640625" customWidth="1"/>
    <col min="19" max="19" width="16.88671875" customWidth="1"/>
  </cols>
  <sheetData>
    <row r="1" spans="1:31" ht="28.2" thickBot="1">
      <c r="A1" s="99" t="s">
        <v>143</v>
      </c>
    </row>
    <row r="2" spans="1:31">
      <c r="G2" s="142" t="s">
        <v>212</v>
      </c>
      <c r="H2" s="143"/>
      <c r="I2" s="143"/>
      <c r="J2" s="143"/>
      <c r="K2" s="143"/>
      <c r="L2" s="144"/>
    </row>
    <row r="3" spans="1:31" ht="20.7" customHeight="1" thickBot="1">
      <c r="B3" s="4" t="s">
        <v>213</v>
      </c>
      <c r="C3" s="4" t="s">
        <v>86</v>
      </c>
      <c r="G3" s="145"/>
      <c r="H3" s="146"/>
      <c r="I3" s="146"/>
      <c r="J3" s="146"/>
      <c r="K3" s="146"/>
      <c r="L3" s="147"/>
    </row>
    <row r="4" spans="1:31">
      <c r="B4" s="4" t="s">
        <v>214</v>
      </c>
      <c r="C4" s="4">
        <v>2023</v>
      </c>
    </row>
    <row r="5" spans="1:31" ht="15" thickBot="1">
      <c r="B5" s="1" t="s">
        <v>215</v>
      </c>
      <c r="C5" s="2" t="s">
        <v>216</v>
      </c>
      <c r="D5" s="1"/>
      <c r="E5" s="2"/>
      <c r="F5" s="1"/>
      <c r="G5" s="1"/>
      <c r="H5" s="1"/>
      <c r="I5" s="1"/>
      <c r="J5" s="1"/>
      <c r="K5" s="1"/>
      <c r="L5" s="1"/>
      <c r="M5" s="1"/>
      <c r="N5" s="1"/>
      <c r="O5" s="1" t="s">
        <v>217</v>
      </c>
      <c r="P5" s="1" t="s">
        <v>147</v>
      </c>
      <c r="Q5" s="1" t="s">
        <v>148</v>
      </c>
      <c r="S5" s="4" t="s">
        <v>218</v>
      </c>
      <c r="T5" s="12" t="s">
        <v>219</v>
      </c>
    </row>
    <row r="6" spans="1:31" ht="15" thickBot="1">
      <c r="B6" s="3" t="s">
        <v>414</v>
      </c>
      <c r="C6" s="30" t="s">
        <v>415</v>
      </c>
      <c r="D6" s="42">
        <v>2</v>
      </c>
      <c r="E6" s="60">
        <v>5</v>
      </c>
      <c r="F6" s="42">
        <v>10</v>
      </c>
      <c r="G6" s="42">
        <v>20</v>
      </c>
      <c r="H6" s="42">
        <v>30</v>
      </c>
      <c r="I6" s="42">
        <v>50</v>
      </c>
      <c r="J6" s="42">
        <v>100</v>
      </c>
      <c r="K6" s="42">
        <v>300</v>
      </c>
      <c r="L6" s="42">
        <v>500</v>
      </c>
      <c r="M6" s="41">
        <v>2000</v>
      </c>
      <c r="N6" s="41">
        <v>10000</v>
      </c>
      <c r="O6" s="3"/>
      <c r="P6" s="3"/>
      <c r="Q6" s="3"/>
      <c r="S6" s="4" t="s">
        <v>214</v>
      </c>
      <c r="T6" s="4">
        <v>2023</v>
      </c>
      <c r="U6" s="4">
        <v>2030</v>
      </c>
      <c r="V6" s="4">
        <v>2040</v>
      </c>
    </row>
    <row r="7" spans="1:31" ht="15" thickBot="1">
      <c r="B7" s="3" t="s">
        <v>220</v>
      </c>
      <c r="C7" s="30" t="s">
        <v>221</v>
      </c>
      <c r="D7" s="42">
        <v>4.8</v>
      </c>
      <c r="E7" s="42">
        <v>10.8</v>
      </c>
      <c r="F7" s="42">
        <v>21.3</v>
      </c>
      <c r="G7" s="42">
        <v>40.6</v>
      </c>
      <c r="H7" s="42">
        <v>58.2</v>
      </c>
      <c r="I7" s="42">
        <v>88.2</v>
      </c>
      <c r="J7" s="42">
        <v>155.6</v>
      </c>
      <c r="K7" s="42">
        <v>392.3</v>
      </c>
      <c r="L7" s="42">
        <v>585.4</v>
      </c>
      <c r="M7" s="42">
        <v>2000</v>
      </c>
      <c r="N7" s="42">
        <v>9148.9</v>
      </c>
      <c r="O7" s="3"/>
      <c r="P7" s="3"/>
      <c r="Q7" s="3" t="s">
        <v>244</v>
      </c>
      <c r="S7" s="12" t="s">
        <v>416</v>
      </c>
      <c r="T7" s="12">
        <v>13534</v>
      </c>
      <c r="U7" s="12">
        <v>13534</v>
      </c>
      <c r="V7" s="12">
        <v>14888</v>
      </c>
    </row>
    <row r="8" spans="1:31" ht="15" thickBot="1">
      <c r="B8" s="3" t="s">
        <v>417</v>
      </c>
      <c r="C8" s="5" t="s">
        <v>223</v>
      </c>
      <c r="D8" s="46">
        <v>28</v>
      </c>
      <c r="E8" s="61">
        <v>30</v>
      </c>
      <c r="F8" s="46">
        <v>31</v>
      </c>
      <c r="G8" s="46">
        <v>32</v>
      </c>
      <c r="H8" s="46">
        <v>33</v>
      </c>
      <c r="I8" s="46">
        <v>34</v>
      </c>
      <c r="J8" s="46">
        <v>36</v>
      </c>
      <c r="K8" s="46">
        <v>39</v>
      </c>
      <c r="L8" s="46">
        <v>41</v>
      </c>
      <c r="M8" s="46">
        <v>44</v>
      </c>
      <c r="N8" s="46">
        <v>47</v>
      </c>
      <c r="O8" s="33"/>
      <c r="P8" s="3" t="s">
        <v>151</v>
      </c>
      <c r="Q8" s="3" t="s">
        <v>224</v>
      </c>
      <c r="S8" s="12" t="s">
        <v>418</v>
      </c>
      <c r="T8" s="12">
        <v>-0.438</v>
      </c>
      <c r="U8" s="12">
        <v>-0.438</v>
      </c>
      <c r="V8" s="12">
        <v>-0.438</v>
      </c>
    </row>
    <row r="9" spans="1:31" ht="15" thickBot="1">
      <c r="B9" s="3" t="s">
        <v>419</v>
      </c>
      <c r="C9" s="5" t="s">
        <v>223</v>
      </c>
      <c r="D9" s="46">
        <v>67</v>
      </c>
      <c r="E9" s="61">
        <v>65</v>
      </c>
      <c r="F9" s="46">
        <v>66</v>
      </c>
      <c r="G9" s="46">
        <v>65</v>
      </c>
      <c r="H9" s="46">
        <v>64</v>
      </c>
      <c r="I9" s="46">
        <v>60</v>
      </c>
      <c r="J9" s="46">
        <v>56</v>
      </c>
      <c r="K9" s="46">
        <v>51</v>
      </c>
      <c r="L9" s="46">
        <v>48</v>
      </c>
      <c r="M9" s="46">
        <v>44</v>
      </c>
      <c r="N9" s="46">
        <v>43</v>
      </c>
      <c r="O9" s="33"/>
      <c r="P9" s="3" t="s">
        <v>151</v>
      </c>
      <c r="Q9" s="3" t="s">
        <v>224</v>
      </c>
      <c r="S9" s="12" t="s">
        <v>420</v>
      </c>
      <c r="T9" s="12">
        <v>3543.3</v>
      </c>
      <c r="U9" s="12">
        <v>3543.3</v>
      </c>
      <c r="V9" s="12">
        <v>3898.9</v>
      </c>
      <c r="AE9" s="44"/>
    </row>
    <row r="10" spans="1:31" ht="15" thickBot="1">
      <c r="B10" s="3" t="s">
        <v>421</v>
      </c>
      <c r="C10" s="5" t="s">
        <v>223</v>
      </c>
      <c r="D10" s="46">
        <v>95</v>
      </c>
      <c r="E10" s="61">
        <v>95</v>
      </c>
      <c r="F10" s="46">
        <v>97</v>
      </c>
      <c r="G10" s="46">
        <v>97</v>
      </c>
      <c r="H10" s="46">
        <v>97</v>
      </c>
      <c r="I10" s="46">
        <v>94</v>
      </c>
      <c r="J10" s="46">
        <v>92</v>
      </c>
      <c r="K10" s="46">
        <v>90</v>
      </c>
      <c r="L10" s="46">
        <v>89</v>
      </c>
      <c r="M10" s="46">
        <v>88</v>
      </c>
      <c r="N10" s="46">
        <v>89</v>
      </c>
      <c r="O10" s="33"/>
      <c r="P10" s="3" t="s">
        <v>151</v>
      </c>
      <c r="Q10" s="3"/>
      <c r="S10" s="12" t="s">
        <v>422</v>
      </c>
      <c r="T10" s="12">
        <v>-0.13100000000000001</v>
      </c>
      <c r="U10" s="12">
        <v>-0.13100000000000001</v>
      </c>
      <c r="V10" s="12">
        <v>-0.13100000000000001</v>
      </c>
      <c r="AE10" s="44"/>
    </row>
    <row r="11" spans="1:31" ht="15" thickBot="1">
      <c r="B11" s="3" t="s">
        <v>226</v>
      </c>
      <c r="C11" s="5" t="s">
        <v>227</v>
      </c>
      <c r="D11" s="3">
        <v>15</v>
      </c>
      <c r="E11" s="3">
        <v>15</v>
      </c>
      <c r="F11" s="3">
        <v>15</v>
      </c>
      <c r="G11" s="3">
        <v>15</v>
      </c>
      <c r="H11" s="3">
        <v>15</v>
      </c>
      <c r="I11" s="3">
        <v>15</v>
      </c>
      <c r="J11" s="3">
        <v>15</v>
      </c>
      <c r="K11" s="3">
        <v>15</v>
      </c>
      <c r="L11" s="3">
        <v>15</v>
      </c>
      <c r="M11" s="3">
        <v>15</v>
      </c>
      <c r="N11" s="3">
        <v>15</v>
      </c>
      <c r="O11" s="3"/>
      <c r="P11" s="3" t="s">
        <v>303</v>
      </c>
      <c r="Q11" s="3" t="s">
        <v>240</v>
      </c>
      <c r="S11" s="12"/>
      <c r="T11" s="12"/>
    </row>
    <row r="12" spans="1:31" ht="15" thickBot="1">
      <c r="B12" s="1" t="s">
        <v>229</v>
      </c>
      <c r="C12" s="2" t="s">
        <v>216</v>
      </c>
      <c r="D12" s="1"/>
      <c r="E12" s="1"/>
      <c r="F12" s="1"/>
      <c r="G12" s="1"/>
      <c r="H12" s="1"/>
      <c r="I12" s="1"/>
      <c r="J12" s="1"/>
      <c r="K12" s="1"/>
      <c r="L12" s="1"/>
      <c r="M12" s="1"/>
      <c r="N12" s="1"/>
      <c r="O12" s="1"/>
      <c r="P12" s="1"/>
      <c r="Q12" s="1"/>
    </row>
    <row r="13" spans="1:31" ht="15" thickBot="1">
      <c r="B13" s="3" t="s">
        <v>230</v>
      </c>
      <c r="C13" s="3" t="s">
        <v>231</v>
      </c>
      <c r="D13" s="62">
        <v>7799</v>
      </c>
      <c r="E13" s="41">
        <v>4930</v>
      </c>
      <c r="F13" s="41">
        <v>3200</v>
      </c>
      <c r="G13" s="41">
        <v>2307</v>
      </c>
      <c r="H13" s="41">
        <v>1911</v>
      </c>
      <c r="I13" s="41">
        <v>1977</v>
      </c>
      <c r="J13" s="41">
        <v>1857</v>
      </c>
      <c r="K13" s="41">
        <v>1648</v>
      </c>
      <c r="L13" s="41">
        <v>1573</v>
      </c>
      <c r="M13" s="41">
        <v>1161</v>
      </c>
      <c r="N13" s="41">
        <v>1142</v>
      </c>
      <c r="O13" s="33">
        <v>0.15</v>
      </c>
      <c r="P13" s="3" t="s">
        <v>355</v>
      </c>
      <c r="Q13" s="3"/>
      <c r="S13" s="4" t="s">
        <v>234</v>
      </c>
      <c r="T13" s="12" t="s">
        <v>423</v>
      </c>
    </row>
    <row r="14" spans="1:31" ht="15" thickBot="1">
      <c r="B14" s="3" t="s">
        <v>230</v>
      </c>
      <c r="C14" s="3" t="s">
        <v>424</v>
      </c>
      <c r="D14" s="41">
        <v>18530</v>
      </c>
      <c r="E14" s="41">
        <v>10682</v>
      </c>
      <c r="F14" s="41">
        <v>6813</v>
      </c>
      <c r="G14" s="41">
        <v>4687</v>
      </c>
      <c r="H14" s="41">
        <v>3706</v>
      </c>
      <c r="I14" s="41">
        <v>3488</v>
      </c>
      <c r="J14" s="41">
        <v>2889</v>
      </c>
      <c r="K14" s="41">
        <v>2155</v>
      </c>
      <c r="L14" s="41">
        <v>1842</v>
      </c>
      <c r="M14" s="41">
        <v>1161</v>
      </c>
      <c r="N14" s="41">
        <v>1045</v>
      </c>
      <c r="O14" s="33">
        <v>0.15</v>
      </c>
      <c r="P14" s="3"/>
      <c r="Q14" s="3"/>
    </row>
    <row r="15" spans="1:31" ht="15" thickBot="1">
      <c r="B15" s="36" t="s">
        <v>425</v>
      </c>
      <c r="C15" s="3" t="s">
        <v>223</v>
      </c>
      <c r="D15" s="46">
        <v>63</v>
      </c>
      <c r="E15" s="46">
        <v>64</v>
      </c>
      <c r="F15" s="46">
        <v>64</v>
      </c>
      <c r="G15" s="46">
        <v>60</v>
      </c>
      <c r="H15" s="46">
        <v>59</v>
      </c>
      <c r="I15" s="46">
        <v>59</v>
      </c>
      <c r="J15" s="46">
        <v>56</v>
      </c>
      <c r="K15" s="46">
        <v>51</v>
      </c>
      <c r="L15" s="46">
        <v>52</v>
      </c>
      <c r="M15" s="46">
        <v>46</v>
      </c>
      <c r="N15" s="46">
        <v>46</v>
      </c>
      <c r="O15" s="3"/>
      <c r="P15" s="3" t="s">
        <v>151</v>
      </c>
      <c r="Q15" s="3"/>
      <c r="S15" s="4" t="s">
        <v>148</v>
      </c>
    </row>
    <row r="16" spans="1:31" ht="15" thickBot="1">
      <c r="B16" s="36" t="s">
        <v>426</v>
      </c>
      <c r="C16" s="3" t="s">
        <v>223</v>
      </c>
      <c r="D16" s="46">
        <v>37</v>
      </c>
      <c r="E16" s="46">
        <v>36</v>
      </c>
      <c r="F16" s="46">
        <v>36</v>
      </c>
      <c r="G16" s="46">
        <v>40</v>
      </c>
      <c r="H16" s="46">
        <v>41</v>
      </c>
      <c r="I16" s="46">
        <v>41</v>
      </c>
      <c r="J16" s="46">
        <v>44</v>
      </c>
      <c r="K16" s="46">
        <v>49</v>
      </c>
      <c r="L16" s="46">
        <v>48</v>
      </c>
      <c r="M16" s="46">
        <v>54</v>
      </c>
      <c r="N16" s="46">
        <v>54</v>
      </c>
      <c r="O16" s="3"/>
      <c r="P16" s="3" t="s">
        <v>151</v>
      </c>
      <c r="Q16" s="3"/>
      <c r="S16" s="12" t="s">
        <v>240</v>
      </c>
      <c r="T16" s="12" t="s">
        <v>427</v>
      </c>
    </row>
    <row r="17" spans="2:20" ht="15" thickBot="1">
      <c r="B17" s="30" t="s">
        <v>263</v>
      </c>
      <c r="C17" s="38" t="s">
        <v>428</v>
      </c>
      <c r="D17" s="41">
        <v>37</v>
      </c>
      <c r="E17" s="41">
        <v>53</v>
      </c>
      <c r="F17" s="41">
        <v>68</v>
      </c>
      <c r="G17" s="41">
        <v>94</v>
      </c>
      <c r="H17" s="41">
        <v>111</v>
      </c>
      <c r="I17" s="41">
        <v>174</v>
      </c>
      <c r="J17" s="41">
        <v>289</v>
      </c>
      <c r="K17" s="41">
        <v>646</v>
      </c>
      <c r="L17" s="41">
        <v>921</v>
      </c>
      <c r="M17" s="41">
        <v>2322</v>
      </c>
      <c r="N17" s="41">
        <v>10448</v>
      </c>
      <c r="O17" s="33">
        <v>0.15</v>
      </c>
      <c r="P17" s="3" t="s">
        <v>151</v>
      </c>
      <c r="Q17" s="3"/>
      <c r="S17" s="12" t="s">
        <v>244</v>
      </c>
      <c r="T17" s="12" t="s">
        <v>429</v>
      </c>
    </row>
    <row r="18" spans="2:20" ht="15" thickBot="1">
      <c r="B18" s="3" t="s">
        <v>242</v>
      </c>
      <c r="C18" s="3" t="s">
        <v>309</v>
      </c>
      <c r="D18" s="41">
        <v>174</v>
      </c>
      <c r="E18" s="41">
        <v>106</v>
      </c>
      <c r="F18" s="41">
        <v>92</v>
      </c>
      <c r="G18" s="41">
        <v>86</v>
      </c>
      <c r="H18" s="41">
        <v>79</v>
      </c>
      <c r="I18" s="41">
        <v>74</v>
      </c>
      <c r="J18" s="41">
        <v>63</v>
      </c>
      <c r="K18" s="41">
        <v>38</v>
      </c>
      <c r="L18" s="41">
        <v>33</v>
      </c>
      <c r="M18" s="41">
        <v>13</v>
      </c>
      <c r="N18" s="41">
        <v>10</v>
      </c>
      <c r="O18" s="3"/>
      <c r="P18" s="3" t="s">
        <v>151</v>
      </c>
      <c r="Q18" s="3"/>
      <c r="S18" s="12" t="s">
        <v>224</v>
      </c>
      <c r="T18" s="12" t="s">
        <v>430</v>
      </c>
    </row>
    <row r="19" spans="2:20" ht="15" thickBot="1">
      <c r="B19" s="3" t="s">
        <v>242</v>
      </c>
      <c r="C19" s="3" t="s">
        <v>431</v>
      </c>
      <c r="D19" s="41">
        <v>414</v>
      </c>
      <c r="E19" s="41">
        <v>229</v>
      </c>
      <c r="F19" s="41">
        <v>196</v>
      </c>
      <c r="G19" s="41">
        <v>174</v>
      </c>
      <c r="H19" s="41">
        <v>153</v>
      </c>
      <c r="I19" s="41">
        <v>131</v>
      </c>
      <c r="J19" s="41">
        <v>98</v>
      </c>
      <c r="K19" s="41">
        <v>49</v>
      </c>
      <c r="L19" s="41">
        <v>38</v>
      </c>
      <c r="M19" s="41">
        <v>13</v>
      </c>
      <c r="N19" s="41">
        <v>10</v>
      </c>
      <c r="O19" s="3"/>
      <c r="P19" s="3"/>
      <c r="Q19" s="3"/>
      <c r="S19" s="12" t="s">
        <v>250</v>
      </c>
      <c r="T19" s="12" t="s">
        <v>432</v>
      </c>
    </row>
    <row r="20" spans="2:20" ht="15" thickBot="1">
      <c r="B20" s="3" t="s">
        <v>433</v>
      </c>
      <c r="C20" s="3" t="s">
        <v>434</v>
      </c>
      <c r="D20" s="41">
        <v>44</v>
      </c>
      <c r="E20" s="41">
        <v>30</v>
      </c>
      <c r="F20" s="41">
        <v>26</v>
      </c>
      <c r="G20" s="41">
        <v>21</v>
      </c>
      <c r="H20" s="41">
        <v>20</v>
      </c>
      <c r="I20" s="41">
        <v>20</v>
      </c>
      <c r="J20" s="41">
        <v>19</v>
      </c>
      <c r="K20" s="41">
        <v>17</v>
      </c>
      <c r="L20" s="41">
        <v>16</v>
      </c>
      <c r="M20" s="41">
        <v>11</v>
      </c>
      <c r="N20" s="41">
        <v>9</v>
      </c>
      <c r="O20" s="3"/>
      <c r="P20" s="3" t="s">
        <v>151</v>
      </c>
      <c r="Q20" s="3"/>
      <c r="S20" s="12"/>
      <c r="T20" s="12"/>
    </row>
    <row r="21" spans="2:20" ht="15" thickBot="1">
      <c r="B21" s="3" t="s">
        <v>433</v>
      </c>
      <c r="C21" s="3" t="s">
        <v>435</v>
      </c>
      <c r="D21" s="41">
        <v>104</v>
      </c>
      <c r="E21" s="41">
        <v>65</v>
      </c>
      <c r="F21" s="41">
        <v>55</v>
      </c>
      <c r="G21" s="41">
        <v>44</v>
      </c>
      <c r="H21" s="41">
        <v>39</v>
      </c>
      <c r="I21" s="41">
        <v>36</v>
      </c>
      <c r="J21" s="41">
        <v>29</v>
      </c>
      <c r="K21" s="41">
        <v>22</v>
      </c>
      <c r="L21" s="41">
        <v>19</v>
      </c>
      <c r="M21" s="41">
        <v>11</v>
      </c>
      <c r="N21" s="41">
        <v>8</v>
      </c>
      <c r="O21" s="3"/>
      <c r="P21" s="3" t="s">
        <v>151</v>
      </c>
      <c r="Q21" s="3"/>
      <c r="S21" s="4" t="s">
        <v>147</v>
      </c>
    </row>
    <row r="22" spans="2:20" ht="15" thickBot="1">
      <c r="B22" s="1" t="s">
        <v>246</v>
      </c>
      <c r="C22" s="2" t="s">
        <v>216</v>
      </c>
      <c r="D22" s="1"/>
      <c r="E22" s="1"/>
      <c r="F22" s="1"/>
      <c r="G22" s="1"/>
      <c r="H22" s="1"/>
      <c r="I22" s="1"/>
      <c r="J22" s="1"/>
      <c r="K22" s="1"/>
      <c r="L22" s="1"/>
      <c r="M22" s="1"/>
      <c r="N22" s="1"/>
      <c r="O22" s="1"/>
      <c r="P22" s="1"/>
      <c r="Q22" s="1"/>
      <c r="S22" s="12" t="s">
        <v>151</v>
      </c>
      <c r="T22" s="12" t="s">
        <v>436</v>
      </c>
    </row>
    <row r="23" spans="2:20" ht="15" thickBot="1">
      <c r="B23" s="3" t="s">
        <v>437</v>
      </c>
      <c r="C23" s="3" t="s">
        <v>231</v>
      </c>
      <c r="D23" s="41">
        <v>115</v>
      </c>
      <c r="E23" s="41">
        <v>50</v>
      </c>
      <c r="F23" s="41">
        <v>26</v>
      </c>
      <c r="G23" s="41">
        <v>54</v>
      </c>
      <c r="H23" s="41">
        <v>37</v>
      </c>
      <c r="I23" s="41">
        <v>62</v>
      </c>
      <c r="J23" s="41">
        <v>105</v>
      </c>
      <c r="K23" s="41">
        <v>125</v>
      </c>
      <c r="L23" s="41">
        <v>121</v>
      </c>
      <c r="M23" s="41">
        <v>109</v>
      </c>
      <c r="N23" s="41">
        <v>98</v>
      </c>
      <c r="O23" s="3"/>
      <c r="P23" s="3" t="s">
        <v>151</v>
      </c>
      <c r="Q23" s="3"/>
      <c r="S23" s="12" t="s">
        <v>184</v>
      </c>
      <c r="T23" s="12" t="s">
        <v>185</v>
      </c>
    </row>
    <row r="24" spans="2:20" ht="15" thickBot="1">
      <c r="B24" s="3" t="s">
        <v>437</v>
      </c>
      <c r="C24" s="3" t="s">
        <v>424</v>
      </c>
      <c r="D24" s="41">
        <v>273</v>
      </c>
      <c r="E24" s="41">
        <v>109</v>
      </c>
      <c r="F24" s="41">
        <v>55</v>
      </c>
      <c r="G24" s="41">
        <v>109</v>
      </c>
      <c r="H24" s="41">
        <v>73</v>
      </c>
      <c r="I24" s="41">
        <v>109</v>
      </c>
      <c r="J24" s="41">
        <v>164</v>
      </c>
      <c r="K24" s="41">
        <v>164</v>
      </c>
      <c r="L24" s="41">
        <v>142</v>
      </c>
      <c r="M24" s="41">
        <v>109</v>
      </c>
      <c r="N24" s="41">
        <v>107</v>
      </c>
      <c r="O24" s="3"/>
      <c r="P24" s="3" t="s">
        <v>151</v>
      </c>
      <c r="Q24" s="3"/>
      <c r="S24" s="12" t="s">
        <v>186</v>
      </c>
      <c r="T24" s="12" t="s">
        <v>438</v>
      </c>
    </row>
    <row r="25" spans="2:20" ht="15" thickBot="1">
      <c r="B25" s="3" t="s">
        <v>439</v>
      </c>
      <c r="C25" s="3" t="s">
        <v>231</v>
      </c>
      <c r="D25" s="41">
        <v>573</v>
      </c>
      <c r="E25" s="41">
        <v>352</v>
      </c>
      <c r="F25" s="41">
        <v>307</v>
      </c>
      <c r="G25" s="41">
        <v>376</v>
      </c>
      <c r="H25" s="41">
        <v>365</v>
      </c>
      <c r="I25" s="41">
        <v>432</v>
      </c>
      <c r="J25" s="41">
        <v>350</v>
      </c>
      <c r="K25" s="41">
        <v>278</v>
      </c>
      <c r="L25" s="41">
        <v>307</v>
      </c>
      <c r="M25" s="41">
        <v>147</v>
      </c>
      <c r="N25" s="41">
        <v>132</v>
      </c>
      <c r="O25" s="3"/>
      <c r="P25" s="3"/>
      <c r="Q25" s="3"/>
      <c r="S25" s="12" t="s">
        <v>188</v>
      </c>
      <c r="T25" s="12" t="s">
        <v>265</v>
      </c>
    </row>
    <row r="26" spans="2:20" ht="15" thickBot="1">
      <c r="B26" s="3" t="s">
        <v>439</v>
      </c>
      <c r="C26" s="3" t="s">
        <v>424</v>
      </c>
      <c r="D26" s="41">
        <v>1363</v>
      </c>
      <c r="E26" s="41">
        <v>763</v>
      </c>
      <c r="F26" s="41">
        <v>654</v>
      </c>
      <c r="G26" s="41">
        <v>763</v>
      </c>
      <c r="H26" s="41">
        <v>709</v>
      </c>
      <c r="I26" s="41">
        <v>763</v>
      </c>
      <c r="J26" s="41">
        <v>545</v>
      </c>
      <c r="K26" s="41">
        <v>363</v>
      </c>
      <c r="L26" s="41">
        <v>360</v>
      </c>
      <c r="M26" s="41">
        <v>147</v>
      </c>
      <c r="N26" s="41">
        <v>93</v>
      </c>
      <c r="O26" s="3"/>
      <c r="P26" s="3"/>
      <c r="Q26" s="3"/>
    </row>
    <row r="27" spans="2:20" ht="15" thickBot="1">
      <c r="B27" s="38" t="s">
        <v>263</v>
      </c>
      <c r="C27" s="38" t="s">
        <v>428</v>
      </c>
      <c r="D27" s="63">
        <v>40</v>
      </c>
      <c r="E27" s="63">
        <v>58</v>
      </c>
      <c r="F27" s="63">
        <v>75</v>
      </c>
      <c r="G27" s="63">
        <v>111</v>
      </c>
      <c r="H27" s="63">
        <v>135</v>
      </c>
      <c r="I27" s="63">
        <v>218</v>
      </c>
      <c r="J27" s="63">
        <v>360</v>
      </c>
      <c r="K27" s="63">
        <v>804</v>
      </c>
      <c r="L27" s="63">
        <v>1172</v>
      </c>
      <c r="M27" s="63">
        <v>2834</v>
      </c>
      <c r="N27" s="63">
        <v>12557</v>
      </c>
      <c r="O27" s="33">
        <v>0.15</v>
      </c>
      <c r="P27" s="3"/>
      <c r="Q27" s="3"/>
    </row>
    <row r="28" spans="2:20">
      <c r="D28" s="57"/>
      <c r="E28" s="57"/>
      <c r="F28" s="57"/>
      <c r="G28" s="57"/>
      <c r="H28" s="57"/>
      <c r="I28" s="57"/>
      <c r="J28" s="57"/>
      <c r="K28" s="57"/>
      <c r="L28" s="57"/>
      <c r="M28" s="57"/>
      <c r="N28" s="57"/>
    </row>
    <row r="29" spans="2:20">
      <c r="B29" s="4" t="s">
        <v>214</v>
      </c>
      <c r="C29" s="4">
        <v>2030</v>
      </c>
      <c r="L29" s="64"/>
      <c r="S29" s="12"/>
    </row>
    <row r="30" spans="2:20" ht="15" thickBot="1">
      <c r="B30" s="1" t="s">
        <v>215</v>
      </c>
      <c r="C30" s="2" t="s">
        <v>216</v>
      </c>
      <c r="D30" s="1"/>
      <c r="E30" s="2"/>
      <c r="F30" s="1"/>
      <c r="G30" s="1"/>
      <c r="H30" s="1"/>
      <c r="I30" s="1"/>
      <c r="J30" s="1"/>
      <c r="K30" s="1"/>
      <c r="L30" s="1"/>
      <c r="M30" s="1"/>
      <c r="N30" s="1"/>
      <c r="O30" s="1" t="s">
        <v>217</v>
      </c>
      <c r="P30" s="1" t="s">
        <v>147</v>
      </c>
      <c r="Q30" s="1" t="s">
        <v>148</v>
      </c>
    </row>
    <row r="31" spans="2:20" ht="15" thickBot="1">
      <c r="B31" s="3" t="s">
        <v>414</v>
      </c>
      <c r="C31" s="30" t="s">
        <v>415</v>
      </c>
      <c r="D31" s="3">
        <v>2</v>
      </c>
      <c r="E31" s="31">
        <v>5</v>
      </c>
      <c r="F31" s="3">
        <v>10</v>
      </c>
      <c r="G31" s="3">
        <v>20</v>
      </c>
      <c r="H31" s="3">
        <v>30</v>
      </c>
      <c r="I31" s="3">
        <v>50</v>
      </c>
      <c r="J31" s="3">
        <v>100</v>
      </c>
      <c r="K31" s="3">
        <v>300</v>
      </c>
      <c r="L31" s="3">
        <v>500</v>
      </c>
      <c r="M31" s="3">
        <v>2000</v>
      </c>
      <c r="N31" s="3">
        <v>10000</v>
      </c>
      <c r="O31" s="3"/>
      <c r="P31" s="3"/>
      <c r="Q31" s="3"/>
    </row>
    <row r="32" spans="2:20" ht="15" thickBot="1">
      <c r="B32" s="3" t="s">
        <v>220</v>
      </c>
      <c r="C32" s="30" t="s">
        <v>221</v>
      </c>
      <c r="D32" s="65">
        <v>4.8</v>
      </c>
      <c r="E32" s="65">
        <v>10.8</v>
      </c>
      <c r="F32" s="65">
        <v>21.3</v>
      </c>
      <c r="G32" s="65">
        <v>40.6</v>
      </c>
      <c r="H32" s="65">
        <v>58.2</v>
      </c>
      <c r="I32" s="65">
        <v>88.2</v>
      </c>
      <c r="J32" s="65">
        <v>155.6</v>
      </c>
      <c r="K32" s="65">
        <v>392.3</v>
      </c>
      <c r="L32" s="65">
        <v>585.4</v>
      </c>
      <c r="M32" s="65">
        <v>2000</v>
      </c>
      <c r="N32" s="65">
        <v>9148.9</v>
      </c>
      <c r="O32" s="3"/>
      <c r="P32" s="3"/>
      <c r="Q32" s="3"/>
    </row>
    <row r="33" spans="2:20" ht="15" thickBot="1">
      <c r="B33" s="3" t="s">
        <v>417</v>
      </c>
      <c r="C33" s="5" t="s">
        <v>223</v>
      </c>
      <c r="D33" s="46">
        <v>28</v>
      </c>
      <c r="E33" s="61">
        <v>30</v>
      </c>
      <c r="F33" s="46">
        <v>31</v>
      </c>
      <c r="G33" s="46">
        <v>32</v>
      </c>
      <c r="H33" s="46">
        <v>33</v>
      </c>
      <c r="I33" s="46">
        <v>34</v>
      </c>
      <c r="J33" s="46">
        <v>36</v>
      </c>
      <c r="K33" s="46">
        <v>39</v>
      </c>
      <c r="L33" s="46">
        <v>41</v>
      </c>
      <c r="M33" s="46">
        <v>44</v>
      </c>
      <c r="N33" s="46">
        <v>47</v>
      </c>
      <c r="O33" s="33"/>
      <c r="P33" s="3" t="s">
        <v>151</v>
      </c>
      <c r="Q33" s="3" t="s">
        <v>224</v>
      </c>
    </row>
    <row r="34" spans="2:20" ht="15" thickBot="1">
      <c r="B34" s="3" t="s">
        <v>419</v>
      </c>
      <c r="C34" s="5" t="s">
        <v>223</v>
      </c>
      <c r="D34" s="46">
        <v>67</v>
      </c>
      <c r="E34" s="61">
        <v>65</v>
      </c>
      <c r="F34" s="46">
        <v>66</v>
      </c>
      <c r="G34" s="46">
        <v>65</v>
      </c>
      <c r="H34" s="46">
        <v>64</v>
      </c>
      <c r="I34" s="46">
        <v>60</v>
      </c>
      <c r="J34" s="46">
        <v>56</v>
      </c>
      <c r="K34" s="46">
        <v>51</v>
      </c>
      <c r="L34" s="46">
        <v>48</v>
      </c>
      <c r="M34" s="46">
        <v>44</v>
      </c>
      <c r="N34" s="46">
        <v>43</v>
      </c>
      <c r="O34" s="33"/>
      <c r="P34" s="3" t="s">
        <v>151</v>
      </c>
      <c r="Q34" s="3" t="s">
        <v>224</v>
      </c>
    </row>
    <row r="35" spans="2:20" ht="15" thickBot="1">
      <c r="B35" s="3" t="s">
        <v>421</v>
      </c>
      <c r="C35" s="5" t="s">
        <v>223</v>
      </c>
      <c r="D35" s="46">
        <v>95</v>
      </c>
      <c r="E35" s="61">
        <v>95</v>
      </c>
      <c r="F35" s="46">
        <v>97</v>
      </c>
      <c r="G35" s="46">
        <v>97</v>
      </c>
      <c r="H35" s="46">
        <v>97</v>
      </c>
      <c r="I35" s="46">
        <v>94</v>
      </c>
      <c r="J35" s="46">
        <v>92</v>
      </c>
      <c r="K35" s="46">
        <v>90</v>
      </c>
      <c r="L35" s="46">
        <v>89</v>
      </c>
      <c r="M35" s="46">
        <v>88</v>
      </c>
      <c r="N35" s="46">
        <v>89</v>
      </c>
      <c r="O35" s="33"/>
      <c r="P35" s="3" t="s">
        <v>151</v>
      </c>
      <c r="Q35" s="3"/>
      <c r="S35" s="12"/>
    </row>
    <row r="36" spans="2:20" ht="15" thickBot="1">
      <c r="B36" s="3" t="s">
        <v>226</v>
      </c>
      <c r="C36" s="5" t="s">
        <v>227</v>
      </c>
      <c r="D36" s="3">
        <v>15</v>
      </c>
      <c r="E36" s="3">
        <v>15</v>
      </c>
      <c r="F36" s="3">
        <v>15</v>
      </c>
      <c r="G36" s="3">
        <v>15</v>
      </c>
      <c r="H36" s="3">
        <v>15</v>
      </c>
      <c r="I36" s="3">
        <v>15</v>
      </c>
      <c r="J36" s="3">
        <v>15</v>
      </c>
      <c r="K36" s="3">
        <v>15</v>
      </c>
      <c r="L36" s="3">
        <v>15</v>
      </c>
      <c r="M36" s="3">
        <v>15</v>
      </c>
      <c r="N36" s="3">
        <v>15</v>
      </c>
      <c r="O36" s="3"/>
      <c r="P36" s="3" t="s">
        <v>303</v>
      </c>
      <c r="Q36" s="3" t="s">
        <v>240</v>
      </c>
      <c r="S36" s="12"/>
    </row>
    <row r="37" spans="2:20" ht="15" thickBot="1">
      <c r="B37" s="1" t="s">
        <v>229</v>
      </c>
      <c r="C37" s="2" t="s">
        <v>216</v>
      </c>
      <c r="D37" s="1"/>
      <c r="E37" s="1"/>
      <c r="F37" s="1"/>
      <c r="G37" s="1"/>
      <c r="H37" s="1"/>
      <c r="I37" s="1"/>
      <c r="J37" s="1"/>
      <c r="K37" s="1"/>
      <c r="L37" s="1"/>
      <c r="M37" s="1"/>
      <c r="N37" s="1"/>
      <c r="O37" s="1"/>
      <c r="P37" s="1"/>
      <c r="Q37" s="1"/>
      <c r="S37" s="12"/>
    </row>
    <row r="38" spans="2:20" ht="15" thickBot="1">
      <c r="B38" s="3" t="s">
        <v>230</v>
      </c>
      <c r="C38" s="3" t="s">
        <v>231</v>
      </c>
      <c r="D38" s="41">
        <v>7799</v>
      </c>
      <c r="E38" s="41">
        <v>4930</v>
      </c>
      <c r="F38" s="41">
        <v>3200</v>
      </c>
      <c r="G38" s="41">
        <v>2307</v>
      </c>
      <c r="H38" s="41">
        <v>1911</v>
      </c>
      <c r="I38" s="41">
        <v>1977</v>
      </c>
      <c r="J38" s="41">
        <v>1857</v>
      </c>
      <c r="K38" s="41">
        <v>1648</v>
      </c>
      <c r="L38" s="41">
        <v>1573</v>
      </c>
      <c r="M38" s="41">
        <v>1161</v>
      </c>
      <c r="N38" s="41">
        <v>1142</v>
      </c>
      <c r="O38" s="33">
        <v>0.2</v>
      </c>
      <c r="P38" s="3" t="s">
        <v>355</v>
      </c>
      <c r="Q38" s="3"/>
      <c r="S38" s="12"/>
      <c r="T38" s="12"/>
    </row>
    <row r="39" spans="2:20" ht="15" thickBot="1">
      <c r="B39" s="3" t="s">
        <v>230</v>
      </c>
      <c r="C39" s="3" t="s">
        <v>424</v>
      </c>
      <c r="D39" s="41">
        <v>18530</v>
      </c>
      <c r="E39" s="41">
        <v>10682</v>
      </c>
      <c r="F39" s="41">
        <v>6813</v>
      </c>
      <c r="G39" s="41">
        <v>4687</v>
      </c>
      <c r="H39" s="41">
        <v>3706</v>
      </c>
      <c r="I39" s="41">
        <v>3488</v>
      </c>
      <c r="J39" s="41">
        <v>2889</v>
      </c>
      <c r="K39" s="41">
        <v>2155</v>
      </c>
      <c r="L39" s="41">
        <v>1842</v>
      </c>
      <c r="M39" s="41">
        <v>1161</v>
      </c>
      <c r="N39" s="41">
        <v>1045</v>
      </c>
      <c r="O39" s="33">
        <v>0.2</v>
      </c>
      <c r="P39" s="3"/>
      <c r="Q39" s="3"/>
      <c r="S39" s="12"/>
    </row>
    <row r="40" spans="2:20" ht="15" thickBot="1">
      <c r="B40" s="36" t="s">
        <v>236</v>
      </c>
      <c r="C40" s="3" t="s">
        <v>223</v>
      </c>
      <c r="D40" s="46">
        <v>63</v>
      </c>
      <c r="E40" s="46">
        <v>64</v>
      </c>
      <c r="F40" s="46">
        <v>64</v>
      </c>
      <c r="G40" s="46">
        <v>60</v>
      </c>
      <c r="H40" s="46">
        <v>59</v>
      </c>
      <c r="I40" s="46">
        <v>59</v>
      </c>
      <c r="J40" s="46">
        <v>56</v>
      </c>
      <c r="K40" s="46">
        <v>51</v>
      </c>
      <c r="L40" s="46">
        <v>52</v>
      </c>
      <c r="M40" s="46">
        <v>46</v>
      </c>
      <c r="N40" s="46">
        <v>46</v>
      </c>
      <c r="O40" s="3"/>
      <c r="P40" s="3" t="s">
        <v>151</v>
      </c>
      <c r="Q40" s="3"/>
      <c r="S40" s="12"/>
      <c r="T40" s="12"/>
    </row>
    <row r="41" spans="2:20" ht="15" thickBot="1">
      <c r="B41" s="36" t="s">
        <v>237</v>
      </c>
      <c r="C41" s="3" t="s">
        <v>223</v>
      </c>
      <c r="D41" s="46">
        <v>37</v>
      </c>
      <c r="E41" s="46">
        <v>36</v>
      </c>
      <c r="F41" s="46">
        <v>36</v>
      </c>
      <c r="G41" s="46">
        <v>40</v>
      </c>
      <c r="H41" s="46">
        <v>41</v>
      </c>
      <c r="I41" s="46">
        <v>41</v>
      </c>
      <c r="J41" s="46">
        <v>44</v>
      </c>
      <c r="K41" s="46">
        <v>49</v>
      </c>
      <c r="L41" s="46">
        <v>48</v>
      </c>
      <c r="M41" s="46">
        <v>54</v>
      </c>
      <c r="N41" s="46">
        <v>54</v>
      </c>
      <c r="O41" s="3"/>
      <c r="P41" s="3" t="s">
        <v>151</v>
      </c>
      <c r="Q41" s="3"/>
    </row>
    <row r="42" spans="2:20" ht="15" thickBot="1">
      <c r="B42" s="30" t="s">
        <v>263</v>
      </c>
      <c r="C42" s="3" t="s">
        <v>428</v>
      </c>
      <c r="D42" s="41">
        <v>37</v>
      </c>
      <c r="E42" s="41">
        <v>53</v>
      </c>
      <c r="F42" s="41">
        <v>68</v>
      </c>
      <c r="G42" s="41">
        <v>94</v>
      </c>
      <c r="H42" s="41">
        <v>111</v>
      </c>
      <c r="I42" s="41">
        <v>174</v>
      </c>
      <c r="J42" s="41">
        <v>289</v>
      </c>
      <c r="K42" s="41">
        <v>646</v>
      </c>
      <c r="L42" s="41">
        <v>921</v>
      </c>
      <c r="M42" s="41">
        <v>2322</v>
      </c>
      <c r="N42" s="41">
        <v>10448</v>
      </c>
      <c r="O42" s="33">
        <v>0.2</v>
      </c>
      <c r="P42" s="3" t="s">
        <v>151</v>
      </c>
      <c r="Q42" s="3"/>
      <c r="S42" s="4"/>
      <c r="T42" s="12"/>
    </row>
    <row r="43" spans="2:20" ht="15" thickBot="1">
      <c r="B43" s="3" t="s">
        <v>242</v>
      </c>
      <c r="C43" s="3" t="s">
        <v>309</v>
      </c>
      <c r="D43" s="41">
        <v>174</v>
      </c>
      <c r="E43" s="41">
        <v>106</v>
      </c>
      <c r="F43" s="41">
        <v>92</v>
      </c>
      <c r="G43" s="41">
        <v>86</v>
      </c>
      <c r="H43" s="41">
        <v>79</v>
      </c>
      <c r="I43" s="41">
        <v>74</v>
      </c>
      <c r="J43" s="41">
        <v>63</v>
      </c>
      <c r="K43" s="41">
        <v>38</v>
      </c>
      <c r="L43" s="41">
        <v>33</v>
      </c>
      <c r="M43" s="41">
        <v>13</v>
      </c>
      <c r="N43" s="41">
        <v>10</v>
      </c>
      <c r="O43" s="3"/>
      <c r="P43" s="3" t="s">
        <v>151</v>
      </c>
      <c r="Q43" s="3"/>
      <c r="S43" s="12"/>
    </row>
    <row r="44" spans="2:20" ht="15" thickBot="1">
      <c r="B44" s="3" t="s">
        <v>242</v>
      </c>
      <c r="C44" s="3" t="s">
        <v>431</v>
      </c>
      <c r="D44" s="41">
        <v>414</v>
      </c>
      <c r="E44" s="41">
        <v>229</v>
      </c>
      <c r="F44" s="41">
        <v>196</v>
      </c>
      <c r="G44" s="41">
        <v>174</v>
      </c>
      <c r="H44" s="41">
        <v>153</v>
      </c>
      <c r="I44" s="41">
        <v>131</v>
      </c>
      <c r="J44" s="41">
        <v>98</v>
      </c>
      <c r="K44" s="41">
        <v>49</v>
      </c>
      <c r="L44" s="41">
        <v>38</v>
      </c>
      <c r="M44" s="41">
        <v>13</v>
      </c>
      <c r="N44" s="41">
        <v>10</v>
      </c>
      <c r="O44" s="3"/>
      <c r="P44" s="3" t="s">
        <v>151</v>
      </c>
      <c r="Q44" s="3"/>
      <c r="S44" s="12"/>
    </row>
    <row r="45" spans="2:20" ht="15" thickBot="1">
      <c r="B45" s="3" t="s">
        <v>433</v>
      </c>
      <c r="C45" s="3" t="s">
        <v>434</v>
      </c>
      <c r="D45" s="41">
        <v>44</v>
      </c>
      <c r="E45" s="41">
        <v>30</v>
      </c>
      <c r="F45" s="41">
        <v>26</v>
      </c>
      <c r="G45" s="41">
        <v>21</v>
      </c>
      <c r="H45" s="41">
        <v>20</v>
      </c>
      <c r="I45" s="41">
        <v>20</v>
      </c>
      <c r="J45" s="41">
        <v>19</v>
      </c>
      <c r="K45" s="41">
        <v>17</v>
      </c>
      <c r="L45" s="41">
        <v>16</v>
      </c>
      <c r="M45" s="41">
        <v>11</v>
      </c>
      <c r="N45" s="41">
        <v>9</v>
      </c>
      <c r="O45" s="3"/>
      <c r="P45" s="3" t="s">
        <v>151</v>
      </c>
      <c r="Q45" s="3"/>
    </row>
    <row r="46" spans="2:20" ht="15" thickBot="1">
      <c r="B46" s="3" t="s">
        <v>433</v>
      </c>
      <c r="C46" s="3" t="s">
        <v>435</v>
      </c>
      <c r="D46" s="41">
        <v>104</v>
      </c>
      <c r="E46" s="41">
        <v>65</v>
      </c>
      <c r="F46" s="41">
        <v>55</v>
      </c>
      <c r="G46" s="41">
        <v>44</v>
      </c>
      <c r="H46" s="41">
        <v>39</v>
      </c>
      <c r="I46" s="41">
        <v>36</v>
      </c>
      <c r="J46" s="41">
        <v>29</v>
      </c>
      <c r="K46" s="41">
        <v>22</v>
      </c>
      <c r="L46" s="41">
        <v>19</v>
      </c>
      <c r="M46" s="41">
        <v>11</v>
      </c>
      <c r="N46" s="41">
        <v>8</v>
      </c>
      <c r="O46" s="3"/>
      <c r="P46" s="3" t="s">
        <v>151</v>
      </c>
      <c r="Q46" s="3"/>
    </row>
    <row r="47" spans="2:20" ht="15" thickBot="1">
      <c r="B47" s="1" t="s">
        <v>246</v>
      </c>
      <c r="C47" s="2" t="s">
        <v>216</v>
      </c>
      <c r="D47" s="1"/>
      <c r="E47" s="1"/>
      <c r="F47" s="1"/>
      <c r="G47" s="1"/>
      <c r="H47" s="1"/>
      <c r="I47" s="1"/>
      <c r="J47" s="1"/>
      <c r="K47" s="1"/>
      <c r="L47" s="1"/>
      <c r="M47" s="1"/>
      <c r="N47" s="1"/>
      <c r="O47" s="1"/>
      <c r="P47" s="1"/>
      <c r="Q47" s="1"/>
    </row>
    <row r="48" spans="2:20" ht="15" thickBot="1">
      <c r="B48" s="3" t="s">
        <v>437</v>
      </c>
      <c r="C48" s="3" t="s">
        <v>231</v>
      </c>
      <c r="D48" s="41">
        <v>115</v>
      </c>
      <c r="E48" s="41">
        <v>50</v>
      </c>
      <c r="F48" s="41">
        <v>26</v>
      </c>
      <c r="G48" s="41">
        <v>54</v>
      </c>
      <c r="H48" s="41">
        <v>37</v>
      </c>
      <c r="I48" s="41">
        <v>62</v>
      </c>
      <c r="J48" s="41">
        <v>105</v>
      </c>
      <c r="K48" s="41">
        <v>125</v>
      </c>
      <c r="L48" s="41">
        <v>121</v>
      </c>
      <c r="M48" s="41">
        <v>109</v>
      </c>
      <c r="N48" s="41">
        <v>98</v>
      </c>
      <c r="O48" s="3"/>
      <c r="P48" s="3" t="s">
        <v>151</v>
      </c>
      <c r="Q48" s="3"/>
    </row>
    <row r="49" spans="2:20" ht="15" thickBot="1">
      <c r="B49" s="3" t="s">
        <v>437</v>
      </c>
      <c r="C49" s="3" t="s">
        <v>424</v>
      </c>
      <c r="D49" s="41">
        <v>273</v>
      </c>
      <c r="E49" s="41">
        <v>109</v>
      </c>
      <c r="F49" s="41">
        <v>55</v>
      </c>
      <c r="G49" s="41">
        <v>109</v>
      </c>
      <c r="H49" s="41">
        <v>73</v>
      </c>
      <c r="I49" s="41">
        <v>109</v>
      </c>
      <c r="J49" s="41">
        <v>164</v>
      </c>
      <c r="K49" s="41">
        <v>164</v>
      </c>
      <c r="L49" s="41">
        <v>142</v>
      </c>
      <c r="M49" s="41">
        <v>109</v>
      </c>
      <c r="N49" s="41">
        <v>107</v>
      </c>
      <c r="O49" s="3"/>
      <c r="P49" s="3" t="s">
        <v>151</v>
      </c>
      <c r="Q49" s="3"/>
    </row>
    <row r="50" spans="2:20" ht="15" thickBot="1">
      <c r="B50" s="3" t="s">
        <v>439</v>
      </c>
      <c r="C50" s="3" t="s">
        <v>231</v>
      </c>
      <c r="D50" s="41">
        <v>573</v>
      </c>
      <c r="E50" s="41">
        <v>352</v>
      </c>
      <c r="F50" s="41">
        <v>307</v>
      </c>
      <c r="G50" s="41">
        <v>376</v>
      </c>
      <c r="H50" s="41">
        <v>365</v>
      </c>
      <c r="I50" s="41">
        <v>432</v>
      </c>
      <c r="J50" s="41">
        <v>350</v>
      </c>
      <c r="K50" s="41">
        <v>278</v>
      </c>
      <c r="L50" s="41">
        <v>307</v>
      </c>
      <c r="M50" s="41">
        <v>147</v>
      </c>
      <c r="N50" s="41">
        <v>132</v>
      </c>
      <c r="O50" s="3"/>
      <c r="P50" s="3"/>
      <c r="Q50" s="3"/>
    </row>
    <row r="51" spans="2:20" ht="15" thickBot="1">
      <c r="B51" s="3" t="s">
        <v>439</v>
      </c>
      <c r="C51" s="3" t="s">
        <v>424</v>
      </c>
      <c r="D51" s="41">
        <v>1363</v>
      </c>
      <c r="E51" s="41">
        <v>763</v>
      </c>
      <c r="F51" s="41">
        <v>654</v>
      </c>
      <c r="G51" s="41">
        <v>763</v>
      </c>
      <c r="H51" s="41">
        <v>709</v>
      </c>
      <c r="I51" s="41">
        <v>763</v>
      </c>
      <c r="J51" s="41">
        <v>545</v>
      </c>
      <c r="K51" s="41">
        <v>363</v>
      </c>
      <c r="L51" s="41">
        <v>360</v>
      </c>
      <c r="M51" s="41">
        <v>147</v>
      </c>
      <c r="N51" s="41">
        <v>93</v>
      </c>
      <c r="O51" s="3"/>
      <c r="P51" s="3"/>
      <c r="Q51" s="3"/>
    </row>
    <row r="52" spans="2:20" ht="15" thickBot="1">
      <c r="B52" s="38" t="s">
        <v>263</v>
      </c>
      <c r="C52" s="38" t="s">
        <v>428</v>
      </c>
      <c r="D52" s="63">
        <v>40</v>
      </c>
      <c r="E52" s="63">
        <v>58</v>
      </c>
      <c r="F52" s="63">
        <v>75</v>
      </c>
      <c r="G52" s="63">
        <v>111</v>
      </c>
      <c r="H52" s="63">
        <v>135</v>
      </c>
      <c r="I52" s="63">
        <v>218</v>
      </c>
      <c r="J52" s="63">
        <v>360</v>
      </c>
      <c r="K52" s="63">
        <v>804</v>
      </c>
      <c r="L52" s="63">
        <v>1172</v>
      </c>
      <c r="M52" s="63">
        <v>2834</v>
      </c>
      <c r="N52" s="63">
        <v>12557</v>
      </c>
      <c r="O52" s="33">
        <v>0.2</v>
      </c>
      <c r="P52" s="3"/>
      <c r="Q52" s="3"/>
    </row>
    <row r="55" spans="2:20">
      <c r="B55" s="4" t="s">
        <v>214</v>
      </c>
      <c r="C55" s="4">
        <v>2040</v>
      </c>
    </row>
    <row r="56" spans="2:20" ht="15" thickBot="1">
      <c r="B56" s="1" t="s">
        <v>215</v>
      </c>
      <c r="C56" s="2" t="s">
        <v>216</v>
      </c>
      <c r="D56" s="1"/>
      <c r="E56" s="2"/>
      <c r="F56" s="1"/>
      <c r="G56" s="1"/>
      <c r="H56" s="1"/>
      <c r="I56" s="1"/>
      <c r="J56" s="1"/>
      <c r="K56" s="1"/>
      <c r="L56" s="1"/>
      <c r="M56" s="1"/>
      <c r="N56" s="1"/>
      <c r="O56" s="1" t="s">
        <v>217</v>
      </c>
      <c r="P56" s="1" t="s">
        <v>147</v>
      </c>
      <c r="Q56" s="1" t="s">
        <v>148</v>
      </c>
    </row>
    <row r="57" spans="2:20" ht="15" thickBot="1">
      <c r="B57" s="3" t="s">
        <v>414</v>
      </c>
      <c r="C57" s="30" t="s">
        <v>415</v>
      </c>
      <c r="D57" s="3">
        <v>2</v>
      </c>
      <c r="E57" s="31">
        <v>5</v>
      </c>
      <c r="F57" s="3">
        <v>10</v>
      </c>
      <c r="G57" s="3">
        <v>20</v>
      </c>
      <c r="H57" s="3">
        <v>30</v>
      </c>
      <c r="I57" s="3">
        <v>50</v>
      </c>
      <c r="J57" s="3">
        <v>100</v>
      </c>
      <c r="K57" s="3">
        <v>300</v>
      </c>
      <c r="L57" s="3">
        <v>500</v>
      </c>
      <c r="M57" s="3">
        <v>2000</v>
      </c>
      <c r="N57" s="3">
        <v>10000</v>
      </c>
      <c r="O57" s="3"/>
      <c r="P57" s="3"/>
      <c r="Q57" s="3"/>
      <c r="S57" s="12"/>
      <c r="T57" s="12"/>
    </row>
    <row r="58" spans="2:20" ht="15" thickBot="1">
      <c r="B58" s="3" t="s">
        <v>220</v>
      </c>
      <c r="C58" s="30" t="s">
        <v>221</v>
      </c>
      <c r="D58" s="65">
        <v>4.8</v>
      </c>
      <c r="E58" s="65">
        <v>10.8</v>
      </c>
      <c r="F58" s="65">
        <v>21.3</v>
      </c>
      <c r="G58" s="65">
        <v>40.6</v>
      </c>
      <c r="H58" s="65">
        <v>58.2</v>
      </c>
      <c r="I58" s="65">
        <v>88.2</v>
      </c>
      <c r="J58" s="65">
        <v>155.6</v>
      </c>
      <c r="K58" s="65">
        <v>392.3</v>
      </c>
      <c r="L58" s="65">
        <v>585.4</v>
      </c>
      <c r="M58" s="65">
        <v>2000</v>
      </c>
      <c r="N58" s="65">
        <v>9148.9</v>
      </c>
      <c r="O58" s="3"/>
      <c r="P58" s="3"/>
      <c r="Q58" s="3"/>
    </row>
    <row r="59" spans="2:20" ht="15" thickBot="1">
      <c r="B59" s="3" t="s">
        <v>417</v>
      </c>
      <c r="C59" s="5" t="s">
        <v>223</v>
      </c>
      <c r="D59" s="46">
        <v>28</v>
      </c>
      <c r="E59" s="61">
        <v>30</v>
      </c>
      <c r="F59" s="46">
        <v>31</v>
      </c>
      <c r="G59" s="46">
        <v>32</v>
      </c>
      <c r="H59" s="46">
        <v>33</v>
      </c>
      <c r="I59" s="46">
        <v>34</v>
      </c>
      <c r="J59" s="46">
        <v>36</v>
      </c>
      <c r="K59" s="46">
        <v>39</v>
      </c>
      <c r="L59" s="46">
        <v>41</v>
      </c>
      <c r="M59" s="46">
        <v>44</v>
      </c>
      <c r="N59" s="46">
        <v>47</v>
      </c>
      <c r="O59" s="33"/>
      <c r="P59" s="3" t="s">
        <v>151</v>
      </c>
      <c r="Q59" s="3" t="s">
        <v>224</v>
      </c>
    </row>
    <row r="60" spans="2:20" ht="15" thickBot="1">
      <c r="B60" s="3" t="s">
        <v>419</v>
      </c>
      <c r="C60" s="5" t="s">
        <v>223</v>
      </c>
      <c r="D60" s="46">
        <v>67</v>
      </c>
      <c r="E60" s="61">
        <v>65</v>
      </c>
      <c r="F60" s="46">
        <v>66</v>
      </c>
      <c r="G60" s="46">
        <v>65</v>
      </c>
      <c r="H60" s="46">
        <v>64</v>
      </c>
      <c r="I60" s="46">
        <v>60</v>
      </c>
      <c r="J60" s="46">
        <v>56</v>
      </c>
      <c r="K60" s="46">
        <v>51</v>
      </c>
      <c r="L60" s="46">
        <v>48</v>
      </c>
      <c r="M60" s="46">
        <v>44</v>
      </c>
      <c r="N60" s="46">
        <v>43</v>
      </c>
      <c r="O60" s="33"/>
      <c r="P60" s="3" t="s">
        <v>151</v>
      </c>
      <c r="Q60" s="3" t="s">
        <v>224</v>
      </c>
    </row>
    <row r="61" spans="2:20" ht="15" thickBot="1">
      <c r="B61" s="3" t="s">
        <v>421</v>
      </c>
      <c r="C61" s="5" t="s">
        <v>223</v>
      </c>
      <c r="D61" s="46">
        <v>95</v>
      </c>
      <c r="E61" s="61">
        <v>95</v>
      </c>
      <c r="F61" s="46">
        <v>97</v>
      </c>
      <c r="G61" s="46">
        <v>97</v>
      </c>
      <c r="H61" s="46">
        <v>97</v>
      </c>
      <c r="I61" s="46">
        <v>94</v>
      </c>
      <c r="J61" s="46">
        <v>92</v>
      </c>
      <c r="K61" s="46">
        <v>90</v>
      </c>
      <c r="L61" s="46">
        <v>89</v>
      </c>
      <c r="M61" s="46">
        <v>88</v>
      </c>
      <c r="N61" s="46">
        <v>89</v>
      </c>
      <c r="O61" s="33"/>
      <c r="P61" s="3" t="s">
        <v>151</v>
      </c>
      <c r="Q61" s="3"/>
    </row>
    <row r="62" spans="2:20" ht="15" thickBot="1">
      <c r="B62" s="3" t="s">
        <v>226</v>
      </c>
      <c r="C62" s="5" t="s">
        <v>227</v>
      </c>
      <c r="D62" s="3">
        <v>15</v>
      </c>
      <c r="E62" s="3">
        <v>15</v>
      </c>
      <c r="F62" s="3">
        <v>15</v>
      </c>
      <c r="G62" s="3">
        <v>15</v>
      </c>
      <c r="H62" s="3">
        <v>15</v>
      </c>
      <c r="I62" s="3">
        <v>15</v>
      </c>
      <c r="J62" s="3">
        <v>15</v>
      </c>
      <c r="K62" s="3">
        <v>15</v>
      </c>
      <c r="L62" s="3">
        <v>15</v>
      </c>
      <c r="M62" s="3">
        <v>15</v>
      </c>
      <c r="N62" s="3">
        <v>15</v>
      </c>
      <c r="O62" s="3"/>
      <c r="P62" s="3" t="s">
        <v>303</v>
      </c>
      <c r="Q62" s="3" t="s">
        <v>240</v>
      </c>
    </row>
    <row r="63" spans="2:20" ht="15" thickBot="1">
      <c r="B63" s="1" t="s">
        <v>229</v>
      </c>
      <c r="C63" s="2" t="s">
        <v>216</v>
      </c>
      <c r="D63" s="1"/>
      <c r="E63" s="1"/>
      <c r="F63" s="1"/>
      <c r="G63" s="1"/>
      <c r="H63" s="1"/>
      <c r="I63" s="1"/>
      <c r="J63" s="1"/>
      <c r="K63" s="1"/>
      <c r="L63" s="1"/>
      <c r="M63" s="1"/>
      <c r="N63" s="1"/>
      <c r="O63" s="1"/>
      <c r="P63" s="1"/>
      <c r="Q63" s="1"/>
    </row>
    <row r="64" spans="2:20" ht="15" thickBot="1">
      <c r="B64" s="3" t="s">
        <v>230</v>
      </c>
      <c r="C64" s="3" t="s">
        <v>231</v>
      </c>
      <c r="D64" s="41">
        <v>8579</v>
      </c>
      <c r="E64" s="41">
        <v>5423</v>
      </c>
      <c r="F64" s="41">
        <v>3520</v>
      </c>
      <c r="G64" s="41">
        <v>2538</v>
      </c>
      <c r="H64" s="41">
        <v>2102</v>
      </c>
      <c r="I64" s="41">
        <v>2174</v>
      </c>
      <c r="J64" s="41">
        <v>2043</v>
      </c>
      <c r="K64" s="41">
        <v>1812</v>
      </c>
      <c r="L64" s="41">
        <v>1731</v>
      </c>
      <c r="M64" s="41">
        <v>1277</v>
      </c>
      <c r="N64" s="41">
        <v>1256</v>
      </c>
      <c r="O64" s="33">
        <v>0.3</v>
      </c>
      <c r="P64" s="3" t="s">
        <v>355</v>
      </c>
      <c r="Q64" s="3" t="s">
        <v>250</v>
      </c>
    </row>
    <row r="65" spans="2:17" ht="15" thickBot="1">
      <c r="B65" s="3" t="s">
        <v>230</v>
      </c>
      <c r="C65" s="3" t="s">
        <v>424</v>
      </c>
      <c r="D65" s="41">
        <v>20383</v>
      </c>
      <c r="E65" s="41">
        <v>11750</v>
      </c>
      <c r="F65" s="41">
        <v>7494</v>
      </c>
      <c r="G65" s="41">
        <v>5156</v>
      </c>
      <c r="H65" s="41">
        <v>4077</v>
      </c>
      <c r="I65" s="41">
        <v>3837</v>
      </c>
      <c r="J65" s="41">
        <v>3177</v>
      </c>
      <c r="K65" s="41">
        <v>2370</v>
      </c>
      <c r="L65" s="41">
        <v>2026</v>
      </c>
      <c r="M65" s="41">
        <v>1277</v>
      </c>
      <c r="N65" s="41">
        <v>1149</v>
      </c>
      <c r="O65" s="33">
        <v>0.3</v>
      </c>
      <c r="P65" s="3"/>
      <c r="Q65" s="3" t="s">
        <v>250</v>
      </c>
    </row>
    <row r="66" spans="2:17" ht="15" thickBot="1">
      <c r="B66" s="36" t="s">
        <v>236</v>
      </c>
      <c r="C66" s="3" t="s">
        <v>223</v>
      </c>
      <c r="D66" s="46">
        <v>63</v>
      </c>
      <c r="E66" s="46">
        <v>64</v>
      </c>
      <c r="F66" s="46">
        <v>64</v>
      </c>
      <c r="G66" s="46">
        <v>60</v>
      </c>
      <c r="H66" s="46">
        <v>59</v>
      </c>
      <c r="I66" s="46">
        <v>59</v>
      </c>
      <c r="J66" s="46">
        <v>56</v>
      </c>
      <c r="K66" s="46">
        <v>51</v>
      </c>
      <c r="L66" s="46">
        <v>52</v>
      </c>
      <c r="M66" s="46">
        <v>46</v>
      </c>
      <c r="N66" s="46">
        <v>46</v>
      </c>
      <c r="O66" s="3"/>
      <c r="P66" s="3" t="s">
        <v>151</v>
      </c>
      <c r="Q66" s="3"/>
    </row>
    <row r="67" spans="2:17" ht="15" thickBot="1">
      <c r="B67" s="36" t="s">
        <v>237</v>
      </c>
      <c r="C67" s="3" t="s">
        <v>223</v>
      </c>
      <c r="D67" s="46">
        <v>37</v>
      </c>
      <c r="E67" s="46">
        <v>36</v>
      </c>
      <c r="F67" s="46">
        <v>36</v>
      </c>
      <c r="G67" s="46">
        <v>40</v>
      </c>
      <c r="H67" s="46">
        <v>41</v>
      </c>
      <c r="I67" s="46">
        <v>41</v>
      </c>
      <c r="J67" s="46">
        <v>44</v>
      </c>
      <c r="K67" s="46">
        <v>49</v>
      </c>
      <c r="L67" s="46">
        <v>48</v>
      </c>
      <c r="M67" s="46">
        <v>54</v>
      </c>
      <c r="N67" s="46">
        <v>54</v>
      </c>
      <c r="O67" s="3"/>
      <c r="P67" s="3" t="s">
        <v>151</v>
      </c>
      <c r="Q67" s="3"/>
    </row>
    <row r="68" spans="2:17" ht="15" thickBot="1">
      <c r="B68" s="30" t="s">
        <v>263</v>
      </c>
      <c r="C68" s="3" t="s">
        <v>428</v>
      </c>
      <c r="D68" s="41">
        <v>41</v>
      </c>
      <c r="E68" s="41">
        <v>59</v>
      </c>
      <c r="F68" s="41">
        <v>75</v>
      </c>
      <c r="G68" s="41">
        <v>103</v>
      </c>
      <c r="H68" s="41">
        <v>122</v>
      </c>
      <c r="I68" s="41">
        <v>192</v>
      </c>
      <c r="J68" s="41">
        <v>318</v>
      </c>
      <c r="K68" s="41">
        <v>711</v>
      </c>
      <c r="L68" s="41">
        <v>1013</v>
      </c>
      <c r="M68" s="41">
        <v>2554</v>
      </c>
      <c r="N68" s="41">
        <v>11492</v>
      </c>
      <c r="O68" s="33">
        <v>0.3</v>
      </c>
      <c r="P68" s="3" t="s">
        <v>151</v>
      </c>
      <c r="Q68" s="3"/>
    </row>
    <row r="69" spans="2:17" ht="15" thickBot="1">
      <c r="B69" s="3" t="s">
        <v>242</v>
      </c>
      <c r="C69" s="3" t="s">
        <v>309</v>
      </c>
      <c r="D69" s="41">
        <v>174</v>
      </c>
      <c r="E69" s="41">
        <v>106</v>
      </c>
      <c r="F69" s="41">
        <v>92</v>
      </c>
      <c r="G69" s="41">
        <v>86</v>
      </c>
      <c r="H69" s="41">
        <v>79</v>
      </c>
      <c r="I69" s="41">
        <v>74</v>
      </c>
      <c r="J69" s="41">
        <v>63</v>
      </c>
      <c r="K69" s="41">
        <v>38</v>
      </c>
      <c r="L69" s="41">
        <v>33</v>
      </c>
      <c r="M69" s="41">
        <v>13</v>
      </c>
      <c r="N69" s="41">
        <v>10</v>
      </c>
      <c r="O69" s="3"/>
      <c r="P69" s="3" t="s">
        <v>151</v>
      </c>
      <c r="Q69" s="3"/>
    </row>
    <row r="70" spans="2:17" ht="15" thickBot="1">
      <c r="B70" s="3" t="s">
        <v>242</v>
      </c>
      <c r="C70" s="3" t="s">
        <v>431</v>
      </c>
      <c r="D70" s="41">
        <v>414</v>
      </c>
      <c r="E70" s="41">
        <v>229</v>
      </c>
      <c r="F70" s="41">
        <v>196</v>
      </c>
      <c r="G70" s="41">
        <v>174</v>
      </c>
      <c r="H70" s="41">
        <v>153</v>
      </c>
      <c r="I70" s="41">
        <v>131</v>
      </c>
      <c r="J70" s="41">
        <v>98</v>
      </c>
      <c r="K70" s="41">
        <v>49</v>
      </c>
      <c r="L70" s="41">
        <v>38</v>
      </c>
      <c r="M70" s="41">
        <v>13</v>
      </c>
      <c r="N70" s="41">
        <v>10</v>
      </c>
      <c r="O70" s="3"/>
      <c r="P70" s="3" t="s">
        <v>151</v>
      </c>
      <c r="Q70" s="3"/>
    </row>
    <row r="71" spans="2:17" ht="15" thickBot="1">
      <c r="B71" s="3" t="s">
        <v>433</v>
      </c>
      <c r="C71" s="3" t="s">
        <v>434</v>
      </c>
      <c r="D71" s="41">
        <v>44</v>
      </c>
      <c r="E71" s="41">
        <v>30</v>
      </c>
      <c r="F71" s="41">
        <v>26</v>
      </c>
      <c r="G71" s="41">
        <v>21</v>
      </c>
      <c r="H71" s="41">
        <v>20</v>
      </c>
      <c r="I71" s="41">
        <v>20</v>
      </c>
      <c r="J71" s="41">
        <v>19</v>
      </c>
      <c r="K71" s="41">
        <v>17</v>
      </c>
      <c r="L71" s="41">
        <v>16</v>
      </c>
      <c r="M71" s="41">
        <v>11</v>
      </c>
      <c r="N71" s="41">
        <v>9</v>
      </c>
      <c r="O71" s="3"/>
      <c r="P71" s="3" t="s">
        <v>151</v>
      </c>
      <c r="Q71" s="3"/>
    </row>
    <row r="72" spans="2:17" ht="15" thickBot="1">
      <c r="B72" s="3" t="s">
        <v>433</v>
      </c>
      <c r="C72" s="3" t="s">
        <v>435</v>
      </c>
      <c r="D72" s="41">
        <v>104</v>
      </c>
      <c r="E72" s="41">
        <v>65</v>
      </c>
      <c r="F72" s="41">
        <v>55</v>
      </c>
      <c r="G72" s="41">
        <v>44</v>
      </c>
      <c r="H72" s="41">
        <v>39</v>
      </c>
      <c r="I72" s="41">
        <v>36</v>
      </c>
      <c r="J72" s="41">
        <v>29</v>
      </c>
      <c r="K72" s="41">
        <v>22</v>
      </c>
      <c r="L72" s="41">
        <v>19</v>
      </c>
      <c r="M72" s="41">
        <v>11</v>
      </c>
      <c r="N72" s="41">
        <v>8</v>
      </c>
      <c r="O72" s="3"/>
      <c r="P72" s="3" t="s">
        <v>151</v>
      </c>
      <c r="Q72" s="3"/>
    </row>
    <row r="73" spans="2:17" ht="15" thickBot="1">
      <c r="B73" s="1" t="s">
        <v>246</v>
      </c>
      <c r="C73" s="2" t="s">
        <v>216</v>
      </c>
      <c r="D73" s="1"/>
      <c r="E73" s="1"/>
      <c r="F73" s="1"/>
      <c r="G73" s="1"/>
      <c r="H73" s="1"/>
      <c r="I73" s="1"/>
      <c r="J73" s="1"/>
      <c r="K73" s="1"/>
      <c r="L73" s="1"/>
      <c r="M73" s="1"/>
      <c r="N73" s="1"/>
      <c r="O73" s="1"/>
      <c r="P73" s="1"/>
      <c r="Q73" s="1"/>
    </row>
    <row r="74" spans="2:17" ht="15" thickBot="1">
      <c r="B74" s="3" t="s">
        <v>437</v>
      </c>
      <c r="C74" s="3" t="s">
        <v>231</v>
      </c>
      <c r="D74" s="41">
        <v>115</v>
      </c>
      <c r="E74" s="41">
        <v>50</v>
      </c>
      <c r="F74" s="41">
        <v>26</v>
      </c>
      <c r="G74" s="41">
        <v>54</v>
      </c>
      <c r="H74" s="41">
        <v>37</v>
      </c>
      <c r="I74" s="41">
        <v>62</v>
      </c>
      <c r="J74" s="41">
        <v>105</v>
      </c>
      <c r="K74" s="41">
        <v>125</v>
      </c>
      <c r="L74" s="41">
        <v>121</v>
      </c>
      <c r="M74" s="41">
        <v>109</v>
      </c>
      <c r="N74" s="41">
        <v>98</v>
      </c>
      <c r="O74" s="3"/>
      <c r="P74" s="3" t="s">
        <v>151</v>
      </c>
      <c r="Q74" s="3"/>
    </row>
    <row r="75" spans="2:17" ht="15" thickBot="1">
      <c r="B75" s="3" t="s">
        <v>437</v>
      </c>
      <c r="C75" s="3" t="s">
        <v>424</v>
      </c>
      <c r="D75" s="41">
        <v>273</v>
      </c>
      <c r="E75" s="41">
        <v>109</v>
      </c>
      <c r="F75" s="41">
        <v>55</v>
      </c>
      <c r="G75" s="41">
        <v>109</v>
      </c>
      <c r="H75" s="41">
        <v>73</v>
      </c>
      <c r="I75" s="41">
        <v>109</v>
      </c>
      <c r="J75" s="41">
        <v>164</v>
      </c>
      <c r="K75" s="41">
        <v>164</v>
      </c>
      <c r="L75" s="41">
        <v>142</v>
      </c>
      <c r="M75" s="41">
        <v>109</v>
      </c>
      <c r="N75" s="41">
        <v>107</v>
      </c>
      <c r="O75" s="3"/>
      <c r="P75" s="3" t="s">
        <v>151</v>
      </c>
      <c r="Q75" s="3"/>
    </row>
    <row r="76" spans="2:17" ht="15" thickBot="1">
      <c r="B76" s="3" t="s">
        <v>439</v>
      </c>
      <c r="C76" s="3" t="s">
        <v>231</v>
      </c>
      <c r="D76" s="41">
        <v>573</v>
      </c>
      <c r="E76" s="41">
        <v>352</v>
      </c>
      <c r="F76" s="41">
        <v>307</v>
      </c>
      <c r="G76" s="41">
        <v>376</v>
      </c>
      <c r="H76" s="41">
        <v>365</v>
      </c>
      <c r="I76" s="41">
        <v>432</v>
      </c>
      <c r="J76" s="41">
        <v>350</v>
      </c>
      <c r="K76" s="41">
        <v>278</v>
      </c>
      <c r="L76" s="41">
        <v>307</v>
      </c>
      <c r="M76" s="41">
        <v>147</v>
      </c>
      <c r="N76" s="41">
        <v>132</v>
      </c>
      <c r="O76" s="3"/>
      <c r="P76" s="3"/>
      <c r="Q76" s="3"/>
    </row>
    <row r="77" spans="2:17" ht="15" thickBot="1">
      <c r="B77" s="3" t="s">
        <v>439</v>
      </c>
      <c r="C77" s="3" t="s">
        <v>424</v>
      </c>
      <c r="D77" s="41">
        <v>1363</v>
      </c>
      <c r="E77" s="41">
        <v>763</v>
      </c>
      <c r="F77" s="41">
        <v>654</v>
      </c>
      <c r="G77" s="41">
        <v>763</v>
      </c>
      <c r="H77" s="41">
        <v>709</v>
      </c>
      <c r="I77" s="41">
        <v>763</v>
      </c>
      <c r="J77" s="41">
        <v>545</v>
      </c>
      <c r="K77" s="41">
        <v>363</v>
      </c>
      <c r="L77" s="41">
        <v>360</v>
      </c>
      <c r="M77" s="41">
        <v>147</v>
      </c>
      <c r="N77" s="41">
        <v>93</v>
      </c>
      <c r="O77" s="3"/>
      <c r="P77" s="3"/>
      <c r="Q77" s="3"/>
    </row>
    <row r="78" spans="2:17" ht="15" thickBot="1">
      <c r="B78" s="38" t="s">
        <v>263</v>
      </c>
      <c r="C78" s="38" t="s">
        <v>428</v>
      </c>
      <c r="D78" s="63">
        <v>44</v>
      </c>
      <c r="E78" s="63">
        <v>63</v>
      </c>
      <c r="F78" s="63">
        <v>82</v>
      </c>
      <c r="G78" s="63">
        <v>121</v>
      </c>
      <c r="H78" s="63">
        <v>146</v>
      </c>
      <c r="I78" s="63">
        <v>235</v>
      </c>
      <c r="J78" s="63">
        <v>389</v>
      </c>
      <c r="K78" s="63">
        <v>869</v>
      </c>
      <c r="L78" s="63">
        <v>1264</v>
      </c>
      <c r="M78" s="63">
        <v>3066</v>
      </c>
      <c r="N78" s="63">
        <v>13602</v>
      </c>
      <c r="O78" s="33">
        <v>0.3</v>
      </c>
      <c r="P78" s="3"/>
      <c r="Q78" s="3"/>
    </row>
  </sheetData>
  <mergeCells count="1">
    <mergeCell ref="G2:L3"/>
  </mergeCells>
  <conditionalFormatting sqref="O23:O26 O48:O51 O74:O77">
    <cfRule type="colorScale" priority="4">
      <colorScale>
        <cfvo type="num" val="0"/>
        <cfvo type="num" val="0.5"/>
        <color theme="0"/>
        <color theme="5"/>
      </colorScale>
    </cfRule>
  </conditionalFormatting>
  <conditionalFormatting sqref="O27">
    <cfRule type="colorScale" priority="3">
      <colorScale>
        <cfvo type="num" val="0"/>
        <cfvo type="num" val="0.5"/>
        <color theme="0"/>
        <color theme="5"/>
      </colorScale>
    </cfRule>
  </conditionalFormatting>
  <conditionalFormatting sqref="O52">
    <cfRule type="colorScale" priority="2">
      <colorScale>
        <cfvo type="num" val="0"/>
        <cfvo type="num" val="0.5"/>
        <color theme="0"/>
        <color theme="5"/>
      </colorScale>
    </cfRule>
  </conditionalFormatting>
  <conditionalFormatting sqref="O78">
    <cfRule type="colorScale" priority="1">
      <colorScale>
        <cfvo type="num" val="0"/>
        <cfvo type="num" val="0.5"/>
        <color theme="0"/>
        <color theme="5"/>
      </colorScale>
    </cfRule>
  </conditionalFormatting>
  <conditionalFormatting sqref="AE9:AE10 O8:O10 O33:O35 O59:O61 O17:O20 O13:O14 O42:O45 O38:O39 O68:O71 O64:O65">
    <cfRule type="colorScale" priority="5">
      <colorScale>
        <cfvo type="num" val="0"/>
        <cfvo type="num" val="0.5"/>
        <color theme="0"/>
        <color theme="5"/>
      </colorScale>
    </cfRule>
  </conditionalFormatting>
  <conditionalFormatting sqref="AE9:AE10">
    <cfRule type="colorScale" priority="6">
      <colorScale>
        <cfvo type="min"/>
        <cfvo type="max"/>
        <color theme="0"/>
        <color theme="5"/>
      </colorScale>
    </cfRule>
  </conditionalFormatting>
  <hyperlinks>
    <hyperlink ref="A1" location="Inhalt!A1" display="Zum Inhalt" xr:uid="{472FF741-2627-4BBC-BF72-3F9563A41F8E}"/>
  </hyperlinks>
  <pageMargins left="0.7" right="0.7" top="0.78740157499999996" bottom="0.78740157499999996" header="0.3" footer="0.3"/>
  <pageSetup paperSize="9" orientation="portrait"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311C-0716-4719-9A8D-F14A72C028B3}">
  <sheetPr codeName="Tabelle18"/>
  <dimension ref="A1:AE84"/>
  <sheetViews>
    <sheetView zoomScale="85" zoomScaleNormal="85" workbookViewId="0">
      <selection activeCell="Z42" sqref="Z42"/>
    </sheetView>
  </sheetViews>
  <sheetFormatPr baseColWidth="10" defaultColWidth="11.44140625" defaultRowHeight="14.4"/>
  <cols>
    <col min="2" max="2" width="32.6640625" customWidth="1"/>
    <col min="19" max="19" width="19.6640625" customWidth="1"/>
  </cols>
  <sheetData>
    <row r="1" spans="1:31" ht="28.2" thickBot="1">
      <c r="A1" s="99" t="s">
        <v>143</v>
      </c>
    </row>
    <row r="2" spans="1:31">
      <c r="G2" s="142" t="s">
        <v>212</v>
      </c>
      <c r="H2" s="143"/>
      <c r="I2" s="143"/>
      <c r="J2" s="143"/>
      <c r="K2" s="143"/>
      <c r="L2" s="144"/>
    </row>
    <row r="3" spans="1:31" ht="22.5" customHeight="1" thickBot="1">
      <c r="B3" s="4" t="s">
        <v>213</v>
      </c>
      <c r="C3" s="4" t="s">
        <v>90</v>
      </c>
      <c r="G3" s="145"/>
      <c r="H3" s="146"/>
      <c r="I3" s="146"/>
      <c r="J3" s="146"/>
      <c r="K3" s="146"/>
      <c r="L3" s="147"/>
    </row>
    <row r="4" spans="1:31">
      <c r="B4" s="4" t="s">
        <v>214</v>
      </c>
      <c r="C4" s="4">
        <v>2023</v>
      </c>
    </row>
    <row r="5" spans="1:31" ht="15" thickBot="1">
      <c r="B5" s="1" t="s">
        <v>215</v>
      </c>
      <c r="C5" s="2" t="s">
        <v>216</v>
      </c>
      <c r="D5" s="1"/>
      <c r="E5" s="2"/>
      <c r="F5" s="1"/>
      <c r="G5" s="1"/>
      <c r="H5" s="1"/>
      <c r="I5" s="1"/>
      <c r="J5" s="1"/>
      <c r="K5" s="1"/>
      <c r="L5" s="1"/>
      <c r="M5" s="1"/>
      <c r="N5" s="1"/>
      <c r="O5" s="1" t="s">
        <v>217</v>
      </c>
      <c r="P5" s="1" t="s">
        <v>147</v>
      </c>
      <c r="Q5" s="1" t="s">
        <v>148</v>
      </c>
      <c r="S5" s="4" t="s">
        <v>218</v>
      </c>
      <c r="T5" s="12" t="s">
        <v>219</v>
      </c>
    </row>
    <row r="6" spans="1:31" ht="15" thickBot="1">
      <c r="B6" s="3" t="s">
        <v>414</v>
      </c>
      <c r="C6" s="30" t="s">
        <v>415</v>
      </c>
      <c r="D6" s="42">
        <v>2</v>
      </c>
      <c r="E6" s="60">
        <v>5</v>
      </c>
      <c r="F6" s="42">
        <v>10</v>
      </c>
      <c r="G6" s="42">
        <v>20</v>
      </c>
      <c r="H6" s="42">
        <v>30</v>
      </c>
      <c r="I6" s="42">
        <v>50</v>
      </c>
      <c r="J6" s="42">
        <v>100</v>
      </c>
      <c r="K6" s="42">
        <v>300</v>
      </c>
      <c r="L6" s="42">
        <v>500</v>
      </c>
      <c r="M6" s="41">
        <v>2000</v>
      </c>
      <c r="N6" s="41">
        <v>10000</v>
      </c>
      <c r="O6" s="3"/>
      <c r="P6" s="3"/>
      <c r="Q6" s="3"/>
      <c r="S6" s="4" t="s">
        <v>214</v>
      </c>
      <c r="T6" s="4">
        <v>2023</v>
      </c>
      <c r="U6" s="4">
        <v>2030</v>
      </c>
      <c r="V6" s="4">
        <v>2040</v>
      </c>
    </row>
    <row r="7" spans="1:31" ht="15" thickBot="1">
      <c r="B7" s="3" t="s">
        <v>220</v>
      </c>
      <c r="C7" s="30" t="s">
        <v>221</v>
      </c>
      <c r="D7" s="42">
        <v>4.8</v>
      </c>
      <c r="E7" s="42">
        <v>10.8</v>
      </c>
      <c r="F7" s="42">
        <v>21.3</v>
      </c>
      <c r="G7" s="42">
        <v>40.6</v>
      </c>
      <c r="H7" s="42">
        <v>58.2</v>
      </c>
      <c r="I7" s="42">
        <v>88.2</v>
      </c>
      <c r="J7" s="42">
        <v>155.6</v>
      </c>
      <c r="K7" s="42">
        <v>392.3</v>
      </c>
      <c r="L7" s="42">
        <v>585.4</v>
      </c>
      <c r="M7" s="42">
        <v>2000</v>
      </c>
      <c r="N7" s="42">
        <v>9148.9</v>
      </c>
      <c r="O7" s="3"/>
      <c r="P7" s="3"/>
      <c r="Q7" s="3" t="s">
        <v>224</v>
      </c>
      <c r="S7" s="12" t="s">
        <v>416</v>
      </c>
      <c r="T7" s="12">
        <v>14888</v>
      </c>
      <c r="U7" s="12">
        <v>14888</v>
      </c>
      <c r="V7" s="12">
        <v>14888</v>
      </c>
    </row>
    <row r="8" spans="1:31" ht="15" thickBot="1">
      <c r="B8" s="3" t="s">
        <v>417</v>
      </c>
      <c r="C8" s="5" t="s">
        <v>223</v>
      </c>
      <c r="D8" s="46">
        <v>28</v>
      </c>
      <c r="E8" s="46">
        <v>30</v>
      </c>
      <c r="F8" s="46">
        <v>31</v>
      </c>
      <c r="G8" s="46">
        <v>32</v>
      </c>
      <c r="H8" s="46">
        <v>33</v>
      </c>
      <c r="I8" s="46">
        <v>33</v>
      </c>
      <c r="J8" s="46">
        <v>35</v>
      </c>
      <c r="K8" s="46">
        <v>38</v>
      </c>
      <c r="L8" s="46">
        <v>40</v>
      </c>
      <c r="M8" s="46">
        <v>43</v>
      </c>
      <c r="N8" s="46">
        <v>46</v>
      </c>
      <c r="O8" s="33"/>
      <c r="P8" s="3" t="s">
        <v>151</v>
      </c>
      <c r="Q8" s="3" t="s">
        <v>250</v>
      </c>
      <c r="S8" s="12" t="s">
        <v>418</v>
      </c>
      <c r="T8" s="12">
        <v>-0.438</v>
      </c>
      <c r="U8" s="12">
        <v>-0.438</v>
      </c>
      <c r="V8" s="12">
        <v>-0.438</v>
      </c>
      <c r="AE8" s="44"/>
    </row>
    <row r="9" spans="1:31" ht="15" thickBot="1">
      <c r="B9" s="3" t="s">
        <v>419</v>
      </c>
      <c r="C9" s="5" t="s">
        <v>223</v>
      </c>
      <c r="D9" s="46">
        <v>66</v>
      </c>
      <c r="E9" s="46">
        <v>64</v>
      </c>
      <c r="F9" s="46">
        <v>65</v>
      </c>
      <c r="G9" s="46">
        <v>64</v>
      </c>
      <c r="H9" s="46">
        <v>63</v>
      </c>
      <c r="I9" s="46">
        <v>59</v>
      </c>
      <c r="J9" s="46">
        <v>55</v>
      </c>
      <c r="K9" s="46">
        <v>50</v>
      </c>
      <c r="L9" s="46">
        <v>47</v>
      </c>
      <c r="M9" s="46">
        <v>43</v>
      </c>
      <c r="N9" s="46">
        <v>42</v>
      </c>
      <c r="O9" s="33"/>
      <c r="P9" s="3" t="s">
        <v>151</v>
      </c>
      <c r="Q9" s="3" t="s">
        <v>250</v>
      </c>
      <c r="S9" s="12" t="s">
        <v>420</v>
      </c>
      <c r="T9" s="12">
        <v>3898.9</v>
      </c>
      <c r="U9" s="12">
        <v>3898.9</v>
      </c>
      <c r="V9" s="12">
        <v>3898.9</v>
      </c>
      <c r="AE9" s="44"/>
    </row>
    <row r="10" spans="1:31" ht="15" thickBot="1">
      <c r="B10" s="3" t="s">
        <v>421</v>
      </c>
      <c r="C10" s="5" t="s">
        <v>223</v>
      </c>
      <c r="D10" s="46">
        <v>94</v>
      </c>
      <c r="E10" s="46">
        <v>94</v>
      </c>
      <c r="F10" s="46">
        <v>96</v>
      </c>
      <c r="G10" s="46">
        <v>96</v>
      </c>
      <c r="H10" s="46">
        <v>96</v>
      </c>
      <c r="I10" s="46">
        <v>93</v>
      </c>
      <c r="J10" s="46">
        <v>91</v>
      </c>
      <c r="K10" s="46">
        <v>89</v>
      </c>
      <c r="L10" s="46">
        <v>88</v>
      </c>
      <c r="M10" s="46">
        <v>87</v>
      </c>
      <c r="N10" s="46">
        <v>88</v>
      </c>
      <c r="O10" s="33"/>
      <c r="P10" s="3" t="s">
        <v>151</v>
      </c>
      <c r="Q10" s="3"/>
      <c r="S10" s="12" t="s">
        <v>422</v>
      </c>
      <c r="T10" s="12">
        <v>-0.13100000000000001</v>
      </c>
      <c r="U10" s="12">
        <v>-0.13100000000000001</v>
      </c>
      <c r="V10" s="12">
        <v>-0.13100000000000001</v>
      </c>
    </row>
    <row r="11" spans="1:31" ht="15" thickBot="1">
      <c r="B11" s="3" t="s">
        <v>226</v>
      </c>
      <c r="C11" s="5" t="s">
        <v>227</v>
      </c>
      <c r="D11" s="3">
        <v>15</v>
      </c>
      <c r="E11" s="3">
        <v>15</v>
      </c>
      <c r="F11" s="3">
        <v>15</v>
      </c>
      <c r="G11" s="3">
        <v>15</v>
      </c>
      <c r="H11" s="3">
        <v>15</v>
      </c>
      <c r="I11" s="3">
        <v>15</v>
      </c>
      <c r="J11" s="3">
        <v>15</v>
      </c>
      <c r="K11" s="3">
        <v>15</v>
      </c>
      <c r="L11" s="3">
        <v>15</v>
      </c>
      <c r="M11" s="3">
        <v>15</v>
      </c>
      <c r="N11" s="3">
        <v>15</v>
      </c>
      <c r="O11" s="3"/>
      <c r="P11" s="3" t="s">
        <v>303</v>
      </c>
      <c r="Q11" s="3" t="s">
        <v>240</v>
      </c>
      <c r="S11" s="12"/>
      <c r="T11" s="12"/>
    </row>
    <row r="12" spans="1:31" ht="15" thickBot="1">
      <c r="B12" s="1" t="s">
        <v>229</v>
      </c>
      <c r="C12" s="2" t="s">
        <v>216</v>
      </c>
      <c r="D12" s="1"/>
      <c r="E12" s="1"/>
      <c r="F12" s="1"/>
      <c r="G12" s="1"/>
      <c r="H12" s="1"/>
      <c r="I12" s="1"/>
      <c r="J12" s="1"/>
      <c r="K12" s="1"/>
      <c r="L12" s="1"/>
      <c r="M12" s="1"/>
      <c r="N12" s="1"/>
      <c r="O12" s="1"/>
      <c r="P12" s="1"/>
      <c r="Q12" s="1"/>
    </row>
    <row r="13" spans="1:31" ht="15" thickBot="1">
      <c r="B13" s="3" t="s">
        <v>230</v>
      </c>
      <c r="C13" s="3" t="s">
        <v>231</v>
      </c>
      <c r="D13" s="41">
        <v>8579</v>
      </c>
      <c r="E13" s="41">
        <v>5423</v>
      </c>
      <c r="F13" s="41">
        <v>3520</v>
      </c>
      <c r="G13" s="41">
        <v>2538</v>
      </c>
      <c r="H13" s="41">
        <v>2102</v>
      </c>
      <c r="I13" s="41">
        <v>2174</v>
      </c>
      <c r="J13" s="41">
        <v>2043</v>
      </c>
      <c r="K13" s="41">
        <v>1812</v>
      </c>
      <c r="L13" s="41">
        <v>1731</v>
      </c>
      <c r="M13" s="41">
        <v>1277</v>
      </c>
      <c r="N13" s="41">
        <v>1256</v>
      </c>
      <c r="O13" s="33">
        <v>0.15</v>
      </c>
      <c r="P13" s="3" t="s">
        <v>355</v>
      </c>
      <c r="Q13" s="3" t="s">
        <v>244</v>
      </c>
      <c r="S13" s="4" t="s">
        <v>234</v>
      </c>
      <c r="T13" s="12" t="s">
        <v>423</v>
      </c>
    </row>
    <row r="14" spans="1:31" ht="15" thickBot="1">
      <c r="B14" s="3" t="s">
        <v>230</v>
      </c>
      <c r="C14" s="3" t="s">
        <v>424</v>
      </c>
      <c r="D14" s="41">
        <v>20383</v>
      </c>
      <c r="E14" s="41">
        <v>11750</v>
      </c>
      <c r="F14" s="41">
        <v>7494</v>
      </c>
      <c r="G14" s="41">
        <v>5156</v>
      </c>
      <c r="H14" s="41">
        <v>4077</v>
      </c>
      <c r="I14" s="41">
        <v>3837</v>
      </c>
      <c r="J14" s="41">
        <v>3177</v>
      </c>
      <c r="K14" s="41">
        <v>2370</v>
      </c>
      <c r="L14" s="41">
        <v>2026</v>
      </c>
      <c r="M14" s="41">
        <v>1277</v>
      </c>
      <c r="N14" s="41">
        <v>1149</v>
      </c>
      <c r="O14" s="33">
        <v>0.15</v>
      </c>
      <c r="P14" s="3"/>
      <c r="Q14" s="3"/>
    </row>
    <row r="15" spans="1:31" ht="15" thickBot="1">
      <c r="B15" s="36" t="s">
        <v>236</v>
      </c>
      <c r="C15" s="3" t="s">
        <v>223</v>
      </c>
      <c r="D15" s="46">
        <v>63</v>
      </c>
      <c r="E15" s="46">
        <v>64</v>
      </c>
      <c r="F15" s="46">
        <v>64</v>
      </c>
      <c r="G15" s="46">
        <v>60</v>
      </c>
      <c r="H15" s="46">
        <v>59</v>
      </c>
      <c r="I15" s="46">
        <v>59</v>
      </c>
      <c r="J15" s="46">
        <v>56</v>
      </c>
      <c r="K15" s="46">
        <v>51</v>
      </c>
      <c r="L15" s="46">
        <v>52</v>
      </c>
      <c r="M15" s="46">
        <v>46</v>
      </c>
      <c r="N15" s="46">
        <v>46</v>
      </c>
      <c r="O15" s="3"/>
      <c r="P15" s="3" t="s">
        <v>151</v>
      </c>
      <c r="Q15" s="3"/>
      <c r="S15" s="4" t="s">
        <v>148</v>
      </c>
    </row>
    <row r="16" spans="1:31" ht="15" thickBot="1">
      <c r="B16" s="36" t="s">
        <v>237</v>
      </c>
      <c r="C16" s="3" t="s">
        <v>223</v>
      </c>
      <c r="D16" s="46">
        <v>37</v>
      </c>
      <c r="E16" s="46">
        <v>36</v>
      </c>
      <c r="F16" s="46">
        <v>36</v>
      </c>
      <c r="G16" s="46">
        <v>40</v>
      </c>
      <c r="H16" s="46">
        <v>41</v>
      </c>
      <c r="I16" s="46">
        <v>41</v>
      </c>
      <c r="J16" s="46">
        <v>44</v>
      </c>
      <c r="K16" s="46">
        <v>49</v>
      </c>
      <c r="L16" s="46">
        <v>48</v>
      </c>
      <c r="M16" s="46">
        <v>54</v>
      </c>
      <c r="N16" s="46">
        <v>54</v>
      </c>
      <c r="O16" s="3"/>
      <c r="P16" s="3" t="s">
        <v>151</v>
      </c>
      <c r="Q16" s="3"/>
      <c r="S16" s="12" t="s">
        <v>240</v>
      </c>
      <c r="T16" s="12" t="s">
        <v>427</v>
      </c>
    </row>
    <row r="17" spans="2:20" ht="15" thickBot="1">
      <c r="B17" s="30" t="s">
        <v>263</v>
      </c>
      <c r="C17" s="3" t="s">
        <v>428</v>
      </c>
      <c r="D17" s="34">
        <v>41</v>
      </c>
      <c r="E17" s="34">
        <v>59</v>
      </c>
      <c r="F17" s="34">
        <v>75</v>
      </c>
      <c r="G17" s="34">
        <v>103</v>
      </c>
      <c r="H17" s="34">
        <v>122</v>
      </c>
      <c r="I17" s="34">
        <v>192</v>
      </c>
      <c r="J17" s="34">
        <v>318</v>
      </c>
      <c r="K17" s="34">
        <v>711</v>
      </c>
      <c r="L17" s="34">
        <v>1013</v>
      </c>
      <c r="M17" s="34">
        <v>2554</v>
      </c>
      <c r="N17" s="34">
        <v>11492</v>
      </c>
      <c r="O17" s="33">
        <v>0.15</v>
      </c>
      <c r="P17" s="3" t="s">
        <v>151</v>
      </c>
      <c r="Q17" s="3"/>
      <c r="S17" s="12" t="s">
        <v>244</v>
      </c>
      <c r="T17" s="12" t="s">
        <v>440</v>
      </c>
    </row>
    <row r="18" spans="2:20" ht="15" thickBot="1">
      <c r="B18" s="3" t="s">
        <v>242</v>
      </c>
      <c r="C18" s="3" t="s">
        <v>309</v>
      </c>
      <c r="D18" s="13">
        <v>174</v>
      </c>
      <c r="E18" s="13">
        <v>106</v>
      </c>
      <c r="F18" s="13">
        <v>92</v>
      </c>
      <c r="G18" s="13">
        <v>86</v>
      </c>
      <c r="H18" s="13">
        <v>79</v>
      </c>
      <c r="I18" s="13">
        <v>74</v>
      </c>
      <c r="J18" s="13">
        <v>63</v>
      </c>
      <c r="K18" s="13">
        <v>38</v>
      </c>
      <c r="L18" s="13">
        <v>33</v>
      </c>
      <c r="M18" s="13">
        <v>13</v>
      </c>
      <c r="N18" s="13">
        <v>10</v>
      </c>
      <c r="O18" s="3"/>
      <c r="P18" s="3" t="s">
        <v>151</v>
      </c>
      <c r="Q18" s="3"/>
      <c r="S18" s="12" t="s">
        <v>224</v>
      </c>
      <c r="T18" s="12" t="s">
        <v>429</v>
      </c>
    </row>
    <row r="19" spans="2:20" ht="15" thickBot="1">
      <c r="B19" s="3" t="s">
        <v>242</v>
      </c>
      <c r="C19" s="3" t="s">
        <v>431</v>
      </c>
      <c r="D19" s="13">
        <v>414</v>
      </c>
      <c r="E19" s="13">
        <v>229</v>
      </c>
      <c r="F19" s="13">
        <v>196</v>
      </c>
      <c r="G19" s="13">
        <v>174</v>
      </c>
      <c r="H19" s="13">
        <v>153</v>
      </c>
      <c r="I19" s="13">
        <v>131</v>
      </c>
      <c r="J19" s="13">
        <v>98</v>
      </c>
      <c r="K19" s="13">
        <v>49</v>
      </c>
      <c r="L19" s="13">
        <v>38</v>
      </c>
      <c r="M19" s="13">
        <v>13</v>
      </c>
      <c r="N19" s="13">
        <v>10</v>
      </c>
      <c r="O19" s="3"/>
      <c r="P19" s="3" t="s">
        <v>151</v>
      </c>
      <c r="Q19" s="3"/>
      <c r="S19" s="12" t="s">
        <v>250</v>
      </c>
      <c r="T19" s="12" t="s">
        <v>430</v>
      </c>
    </row>
    <row r="20" spans="2:20" ht="15" thickBot="1">
      <c r="B20" s="3" t="s">
        <v>433</v>
      </c>
      <c r="C20" s="3" t="s">
        <v>434</v>
      </c>
      <c r="D20" s="13">
        <v>44</v>
      </c>
      <c r="E20" s="13">
        <v>30</v>
      </c>
      <c r="F20" s="13">
        <v>26</v>
      </c>
      <c r="G20" s="13">
        <v>21</v>
      </c>
      <c r="H20" s="13">
        <v>20</v>
      </c>
      <c r="I20" s="13">
        <v>20</v>
      </c>
      <c r="J20" s="13">
        <v>19</v>
      </c>
      <c r="K20" s="13">
        <v>17</v>
      </c>
      <c r="L20" s="13">
        <v>16</v>
      </c>
      <c r="M20" s="13">
        <v>11</v>
      </c>
      <c r="N20" s="13">
        <v>9</v>
      </c>
      <c r="O20" s="3"/>
      <c r="P20" s="3" t="s">
        <v>151</v>
      </c>
      <c r="Q20" s="3"/>
      <c r="S20" s="12"/>
    </row>
    <row r="21" spans="2:20" ht="15" thickBot="1">
      <c r="B21" s="3" t="s">
        <v>433</v>
      </c>
      <c r="C21" s="3" t="s">
        <v>435</v>
      </c>
      <c r="D21" s="13">
        <v>104</v>
      </c>
      <c r="E21" s="13">
        <v>65</v>
      </c>
      <c r="F21" s="13">
        <v>55</v>
      </c>
      <c r="G21" s="13">
        <v>44</v>
      </c>
      <c r="H21" s="13">
        <v>39</v>
      </c>
      <c r="I21" s="13">
        <v>36</v>
      </c>
      <c r="J21" s="13">
        <v>29</v>
      </c>
      <c r="K21" s="13">
        <v>22</v>
      </c>
      <c r="L21" s="13">
        <v>19</v>
      </c>
      <c r="M21" s="13">
        <v>11</v>
      </c>
      <c r="N21" s="13">
        <v>8</v>
      </c>
      <c r="O21" s="3"/>
      <c r="P21" s="3" t="s">
        <v>151</v>
      </c>
      <c r="Q21" s="3"/>
      <c r="S21" s="4" t="s">
        <v>147</v>
      </c>
    </row>
    <row r="22" spans="2:20" ht="15" thickBot="1">
      <c r="B22" s="1" t="s">
        <v>246</v>
      </c>
      <c r="C22" s="2" t="s">
        <v>216</v>
      </c>
      <c r="D22" s="1"/>
      <c r="E22" s="1"/>
      <c r="F22" s="1"/>
      <c r="G22" s="1"/>
      <c r="H22" s="1"/>
      <c r="I22" s="1"/>
      <c r="J22" s="1"/>
      <c r="K22" s="1"/>
      <c r="L22" s="1"/>
      <c r="M22" s="1"/>
      <c r="N22" s="1"/>
      <c r="O22" s="1"/>
      <c r="P22" s="1"/>
      <c r="Q22" s="1"/>
      <c r="S22" s="12" t="s">
        <v>151</v>
      </c>
      <c r="T22" s="12" t="s">
        <v>436</v>
      </c>
    </row>
    <row r="23" spans="2:20" ht="15" thickBot="1">
      <c r="B23" s="3" t="s">
        <v>437</v>
      </c>
      <c r="C23" s="3" t="s">
        <v>231</v>
      </c>
      <c r="D23" s="13">
        <v>132</v>
      </c>
      <c r="E23" s="13">
        <v>58</v>
      </c>
      <c r="F23" s="13">
        <v>29</v>
      </c>
      <c r="G23" s="13">
        <v>62</v>
      </c>
      <c r="H23" s="13">
        <v>43</v>
      </c>
      <c r="I23" s="13">
        <v>71</v>
      </c>
      <c r="J23" s="13">
        <v>121</v>
      </c>
      <c r="K23" s="13">
        <v>144</v>
      </c>
      <c r="L23" s="13">
        <v>139</v>
      </c>
      <c r="M23" s="13">
        <v>125</v>
      </c>
      <c r="N23" s="13">
        <v>113</v>
      </c>
      <c r="O23" s="3"/>
      <c r="P23" s="3" t="s">
        <v>151</v>
      </c>
      <c r="Q23" s="3"/>
      <c r="S23" s="12" t="s">
        <v>184</v>
      </c>
      <c r="T23" s="12" t="s">
        <v>185</v>
      </c>
    </row>
    <row r="24" spans="2:20" ht="15" thickBot="1">
      <c r="B24" s="3" t="s">
        <v>437</v>
      </c>
      <c r="C24" s="3" t="s">
        <v>424</v>
      </c>
      <c r="D24" s="13">
        <v>313</v>
      </c>
      <c r="E24" s="13">
        <v>125</v>
      </c>
      <c r="F24" s="13">
        <v>63</v>
      </c>
      <c r="G24" s="13">
        <v>125</v>
      </c>
      <c r="H24" s="13">
        <v>84</v>
      </c>
      <c r="I24" s="13">
        <v>125</v>
      </c>
      <c r="J24" s="13">
        <v>188</v>
      </c>
      <c r="K24" s="13">
        <v>188</v>
      </c>
      <c r="L24" s="13">
        <v>163</v>
      </c>
      <c r="M24" s="13">
        <v>125</v>
      </c>
      <c r="N24" s="13">
        <v>123</v>
      </c>
      <c r="O24" s="3"/>
      <c r="P24" s="3" t="s">
        <v>151</v>
      </c>
      <c r="Q24" s="3"/>
      <c r="S24" s="12" t="s">
        <v>186</v>
      </c>
      <c r="T24" s="12" t="s">
        <v>438</v>
      </c>
    </row>
    <row r="25" spans="2:20" ht="15" thickBot="1">
      <c r="B25" s="3" t="s">
        <v>439</v>
      </c>
      <c r="C25" s="3" t="s">
        <v>231</v>
      </c>
      <c r="D25" s="13">
        <v>573</v>
      </c>
      <c r="E25" s="13">
        <v>352</v>
      </c>
      <c r="F25" s="13">
        <v>307</v>
      </c>
      <c r="G25" s="13">
        <v>376</v>
      </c>
      <c r="H25" s="13">
        <v>365</v>
      </c>
      <c r="I25" s="13">
        <v>432</v>
      </c>
      <c r="J25" s="13">
        <v>350</v>
      </c>
      <c r="K25" s="13">
        <v>278</v>
      </c>
      <c r="L25" s="13">
        <v>307</v>
      </c>
      <c r="M25" s="13">
        <v>147</v>
      </c>
      <c r="N25" s="13">
        <v>132</v>
      </c>
      <c r="O25" s="3"/>
      <c r="P25" s="3"/>
      <c r="Q25" s="3"/>
      <c r="S25" s="12" t="s">
        <v>188</v>
      </c>
      <c r="T25" s="12" t="s">
        <v>265</v>
      </c>
    </row>
    <row r="26" spans="2:20" ht="15" thickBot="1">
      <c r="B26" s="3" t="s">
        <v>439</v>
      </c>
      <c r="C26" s="3" t="s">
        <v>424</v>
      </c>
      <c r="D26" s="13">
        <v>1363</v>
      </c>
      <c r="E26" s="13">
        <v>763</v>
      </c>
      <c r="F26" s="13">
        <v>654</v>
      </c>
      <c r="G26" s="13">
        <v>763</v>
      </c>
      <c r="H26" s="13">
        <v>709</v>
      </c>
      <c r="I26" s="13">
        <v>763</v>
      </c>
      <c r="J26" s="13">
        <v>545</v>
      </c>
      <c r="K26" s="13">
        <v>363</v>
      </c>
      <c r="L26" s="13">
        <v>360</v>
      </c>
      <c r="M26" s="13">
        <v>147</v>
      </c>
      <c r="N26" s="13">
        <v>93</v>
      </c>
      <c r="O26" s="3"/>
      <c r="P26" s="3"/>
      <c r="Q26" s="3"/>
    </row>
    <row r="27" spans="2:20" ht="15" thickBot="1">
      <c r="B27" s="38" t="s">
        <v>263</v>
      </c>
      <c r="C27" s="38" t="s">
        <v>428</v>
      </c>
      <c r="D27" s="63">
        <v>44</v>
      </c>
      <c r="E27" s="63">
        <v>63</v>
      </c>
      <c r="F27" s="63">
        <v>82</v>
      </c>
      <c r="G27" s="63">
        <v>121</v>
      </c>
      <c r="H27" s="63">
        <v>146</v>
      </c>
      <c r="I27" s="63">
        <v>236</v>
      </c>
      <c r="J27" s="63">
        <v>391</v>
      </c>
      <c r="K27" s="63">
        <v>876</v>
      </c>
      <c r="L27" s="63">
        <v>1274</v>
      </c>
      <c r="M27" s="63">
        <v>3099</v>
      </c>
      <c r="N27" s="63">
        <v>13736</v>
      </c>
      <c r="O27" s="33">
        <v>0.15</v>
      </c>
      <c r="P27" s="3"/>
      <c r="Q27" s="3"/>
      <c r="S27" s="12"/>
    </row>
    <row r="29" spans="2:20">
      <c r="D29" s="58"/>
      <c r="E29" s="58"/>
      <c r="F29" s="58"/>
      <c r="G29" s="58"/>
      <c r="H29" s="58"/>
      <c r="I29" s="58"/>
      <c r="J29" s="58"/>
      <c r="K29" s="58"/>
      <c r="L29" s="58"/>
      <c r="M29" s="58"/>
      <c r="N29" s="58"/>
    </row>
    <row r="30" spans="2:20">
      <c r="B30" s="4" t="s">
        <v>214</v>
      </c>
      <c r="C30" s="4">
        <v>2030</v>
      </c>
    </row>
    <row r="31" spans="2:20" ht="15" thickBot="1">
      <c r="B31" s="1" t="s">
        <v>215</v>
      </c>
      <c r="C31" s="2" t="s">
        <v>216</v>
      </c>
      <c r="D31" s="1"/>
      <c r="E31" s="2"/>
      <c r="F31" s="1"/>
      <c r="G31" s="1"/>
      <c r="H31" s="1"/>
      <c r="I31" s="1"/>
      <c r="J31" s="1"/>
      <c r="K31" s="1"/>
      <c r="L31" s="1"/>
      <c r="M31" s="1"/>
      <c r="N31" s="1"/>
      <c r="O31" s="1" t="s">
        <v>217</v>
      </c>
      <c r="P31" s="1" t="s">
        <v>147</v>
      </c>
      <c r="Q31" s="1" t="s">
        <v>148</v>
      </c>
    </row>
    <row r="32" spans="2:20" ht="15" thickBot="1">
      <c r="B32" s="3" t="s">
        <v>414</v>
      </c>
      <c r="C32" s="30" t="s">
        <v>415</v>
      </c>
      <c r="D32" s="42">
        <v>2</v>
      </c>
      <c r="E32" s="60">
        <v>5</v>
      </c>
      <c r="F32" s="42">
        <v>10</v>
      </c>
      <c r="G32" s="42">
        <v>20</v>
      </c>
      <c r="H32" s="42">
        <v>30</v>
      </c>
      <c r="I32" s="42">
        <v>50</v>
      </c>
      <c r="J32" s="42">
        <v>100</v>
      </c>
      <c r="K32" s="42">
        <v>300</v>
      </c>
      <c r="L32" s="42">
        <v>500</v>
      </c>
      <c r="M32" s="41">
        <v>2000</v>
      </c>
      <c r="N32" s="41">
        <v>10000</v>
      </c>
      <c r="O32" s="3"/>
      <c r="P32" s="3"/>
      <c r="Q32" s="3"/>
    </row>
    <row r="33" spans="2:20" ht="15" thickBot="1">
      <c r="B33" s="3" t="s">
        <v>220</v>
      </c>
      <c r="C33" s="30" t="s">
        <v>221</v>
      </c>
      <c r="D33" s="42">
        <v>4.8</v>
      </c>
      <c r="E33" s="42">
        <v>10.8</v>
      </c>
      <c r="F33" s="42">
        <v>21.3</v>
      </c>
      <c r="G33" s="42">
        <v>40.6</v>
      </c>
      <c r="H33" s="42">
        <v>58.2</v>
      </c>
      <c r="I33" s="42">
        <v>88.2</v>
      </c>
      <c r="J33" s="42">
        <v>155.6</v>
      </c>
      <c r="K33" s="42">
        <v>392.3</v>
      </c>
      <c r="L33" s="42">
        <v>585.4</v>
      </c>
      <c r="M33" s="42">
        <v>2000</v>
      </c>
      <c r="N33" s="42">
        <v>9148.9</v>
      </c>
      <c r="O33" s="3"/>
      <c r="P33" s="3"/>
      <c r="Q33" s="3" t="s">
        <v>224</v>
      </c>
      <c r="S33" s="12"/>
    </row>
    <row r="34" spans="2:20" ht="15" thickBot="1">
      <c r="B34" s="3" t="s">
        <v>417</v>
      </c>
      <c r="C34" s="5" t="s">
        <v>223</v>
      </c>
      <c r="D34" s="46">
        <v>28</v>
      </c>
      <c r="E34" s="46">
        <v>30</v>
      </c>
      <c r="F34" s="46">
        <v>31</v>
      </c>
      <c r="G34" s="46">
        <v>32</v>
      </c>
      <c r="H34" s="46">
        <v>33</v>
      </c>
      <c r="I34" s="46">
        <v>33</v>
      </c>
      <c r="J34" s="46">
        <v>35</v>
      </c>
      <c r="K34" s="46">
        <v>38</v>
      </c>
      <c r="L34" s="46">
        <v>40</v>
      </c>
      <c r="M34" s="46">
        <v>43</v>
      </c>
      <c r="N34" s="46">
        <v>46</v>
      </c>
      <c r="O34" s="33"/>
      <c r="P34" s="3" t="s">
        <v>151</v>
      </c>
      <c r="Q34" s="3" t="s">
        <v>250</v>
      </c>
      <c r="S34" s="12"/>
    </row>
    <row r="35" spans="2:20" ht="15" thickBot="1">
      <c r="B35" s="3" t="s">
        <v>419</v>
      </c>
      <c r="C35" s="5" t="s">
        <v>223</v>
      </c>
      <c r="D35" s="46">
        <v>66</v>
      </c>
      <c r="E35" s="46">
        <v>64</v>
      </c>
      <c r="F35" s="46">
        <v>65</v>
      </c>
      <c r="G35" s="46">
        <v>64</v>
      </c>
      <c r="H35" s="46">
        <v>63</v>
      </c>
      <c r="I35" s="46">
        <v>59</v>
      </c>
      <c r="J35" s="46">
        <v>55</v>
      </c>
      <c r="K35" s="46">
        <v>50</v>
      </c>
      <c r="L35" s="46">
        <v>47</v>
      </c>
      <c r="M35" s="46">
        <v>43</v>
      </c>
      <c r="N35" s="46">
        <v>42</v>
      </c>
      <c r="O35" s="33"/>
      <c r="P35" s="3" t="s">
        <v>151</v>
      </c>
      <c r="Q35" s="3" t="s">
        <v>250</v>
      </c>
      <c r="S35" s="12"/>
    </row>
    <row r="36" spans="2:20" ht="15" thickBot="1">
      <c r="B36" s="3" t="s">
        <v>421</v>
      </c>
      <c r="C36" s="5" t="s">
        <v>223</v>
      </c>
      <c r="D36" s="46">
        <v>94</v>
      </c>
      <c r="E36" s="46">
        <v>94</v>
      </c>
      <c r="F36" s="46">
        <v>96</v>
      </c>
      <c r="G36" s="46">
        <v>96</v>
      </c>
      <c r="H36" s="46">
        <v>96</v>
      </c>
      <c r="I36" s="46">
        <v>93</v>
      </c>
      <c r="J36" s="46">
        <v>91</v>
      </c>
      <c r="K36" s="46">
        <v>89</v>
      </c>
      <c r="L36" s="46">
        <v>88</v>
      </c>
      <c r="M36" s="46">
        <v>87</v>
      </c>
      <c r="N36" s="46">
        <v>88</v>
      </c>
      <c r="O36" s="33"/>
      <c r="P36" s="3" t="s">
        <v>151</v>
      </c>
      <c r="Q36" s="3"/>
      <c r="S36" s="12"/>
    </row>
    <row r="37" spans="2:20" ht="15" thickBot="1">
      <c r="B37" s="3" t="s">
        <v>226</v>
      </c>
      <c r="C37" s="5" t="s">
        <v>227</v>
      </c>
      <c r="D37" s="3">
        <v>15</v>
      </c>
      <c r="E37" s="3">
        <v>15</v>
      </c>
      <c r="F37" s="3">
        <v>15</v>
      </c>
      <c r="G37" s="3">
        <v>15</v>
      </c>
      <c r="H37" s="3">
        <v>15</v>
      </c>
      <c r="I37" s="3">
        <v>15</v>
      </c>
      <c r="J37" s="3">
        <v>15</v>
      </c>
      <c r="K37" s="3">
        <v>15</v>
      </c>
      <c r="L37" s="3">
        <v>15</v>
      </c>
      <c r="M37" s="3">
        <v>15</v>
      </c>
      <c r="N37" s="3">
        <v>15</v>
      </c>
      <c r="O37" s="3"/>
      <c r="P37" s="3" t="s">
        <v>303</v>
      </c>
      <c r="Q37" s="3" t="s">
        <v>240</v>
      </c>
      <c r="S37" s="12"/>
    </row>
    <row r="38" spans="2:20" ht="15" thickBot="1">
      <c r="B38" s="1" t="s">
        <v>229</v>
      </c>
      <c r="C38" s="2" t="s">
        <v>216</v>
      </c>
      <c r="D38" s="1"/>
      <c r="E38" s="1"/>
      <c r="F38" s="1"/>
      <c r="G38" s="1"/>
      <c r="H38" s="1"/>
      <c r="I38" s="1"/>
      <c r="J38" s="1"/>
      <c r="K38" s="1"/>
      <c r="L38" s="1"/>
      <c r="M38" s="1"/>
      <c r="N38" s="1"/>
      <c r="O38" s="1"/>
      <c r="P38" s="1"/>
      <c r="Q38" s="1"/>
      <c r="S38" s="12"/>
      <c r="T38" s="12"/>
    </row>
    <row r="39" spans="2:20" ht="15" thickBot="1">
      <c r="B39" s="3" t="s">
        <v>230</v>
      </c>
      <c r="C39" s="3" t="s">
        <v>231</v>
      </c>
      <c r="D39" s="41">
        <v>8579</v>
      </c>
      <c r="E39" s="41">
        <v>5423</v>
      </c>
      <c r="F39" s="41">
        <v>3520</v>
      </c>
      <c r="G39" s="41">
        <v>2538</v>
      </c>
      <c r="H39" s="41">
        <v>2102</v>
      </c>
      <c r="I39" s="41">
        <v>2174</v>
      </c>
      <c r="J39" s="41">
        <v>2043</v>
      </c>
      <c r="K39" s="41">
        <v>1812</v>
      </c>
      <c r="L39" s="41">
        <v>1731</v>
      </c>
      <c r="M39" s="41">
        <v>1277</v>
      </c>
      <c r="N39" s="41">
        <v>1256</v>
      </c>
      <c r="O39" s="33">
        <v>0.2</v>
      </c>
      <c r="P39" s="3" t="s">
        <v>151</v>
      </c>
      <c r="Q39" s="3" t="s">
        <v>244</v>
      </c>
    </row>
    <row r="40" spans="2:20" ht="15" thickBot="1">
      <c r="B40" s="3" t="s">
        <v>230</v>
      </c>
      <c r="C40" s="3" t="s">
        <v>424</v>
      </c>
      <c r="D40" s="41">
        <v>20383</v>
      </c>
      <c r="E40" s="41">
        <v>11750</v>
      </c>
      <c r="F40" s="41">
        <v>7494</v>
      </c>
      <c r="G40" s="41">
        <v>5156</v>
      </c>
      <c r="H40" s="41">
        <v>4077</v>
      </c>
      <c r="I40" s="41">
        <v>3837</v>
      </c>
      <c r="J40" s="41">
        <v>3177</v>
      </c>
      <c r="K40" s="41">
        <v>2370</v>
      </c>
      <c r="L40" s="41">
        <v>2026</v>
      </c>
      <c r="M40" s="41">
        <v>1277</v>
      </c>
      <c r="N40" s="41">
        <v>1149</v>
      </c>
      <c r="O40" s="33">
        <v>0.2</v>
      </c>
      <c r="P40" s="3"/>
      <c r="Q40" s="3"/>
      <c r="S40" s="4"/>
      <c r="T40" s="12"/>
    </row>
    <row r="41" spans="2:20" ht="15" thickBot="1">
      <c r="B41" s="36" t="s">
        <v>236</v>
      </c>
      <c r="C41" s="3" t="s">
        <v>223</v>
      </c>
      <c r="D41" s="46">
        <v>63</v>
      </c>
      <c r="E41" s="46">
        <v>64</v>
      </c>
      <c r="F41" s="46">
        <v>64</v>
      </c>
      <c r="G41" s="46">
        <v>60</v>
      </c>
      <c r="H41" s="46">
        <v>59</v>
      </c>
      <c r="I41" s="46">
        <v>59</v>
      </c>
      <c r="J41" s="46">
        <v>56</v>
      </c>
      <c r="K41" s="46">
        <v>51</v>
      </c>
      <c r="L41" s="46">
        <v>52</v>
      </c>
      <c r="M41" s="46">
        <v>46</v>
      </c>
      <c r="N41" s="46">
        <v>46</v>
      </c>
      <c r="O41" s="3"/>
      <c r="P41" s="3" t="s">
        <v>151</v>
      </c>
      <c r="Q41" s="3"/>
      <c r="S41" s="12"/>
    </row>
    <row r="42" spans="2:20" ht="15" thickBot="1">
      <c r="B42" s="36" t="s">
        <v>237</v>
      </c>
      <c r="C42" s="3" t="s">
        <v>223</v>
      </c>
      <c r="D42" s="46">
        <v>37</v>
      </c>
      <c r="E42" s="46">
        <v>36</v>
      </c>
      <c r="F42" s="46">
        <v>36</v>
      </c>
      <c r="G42" s="46">
        <v>40</v>
      </c>
      <c r="H42" s="46">
        <v>41</v>
      </c>
      <c r="I42" s="46">
        <v>41</v>
      </c>
      <c r="J42" s="46">
        <v>44</v>
      </c>
      <c r="K42" s="46">
        <v>49</v>
      </c>
      <c r="L42" s="46">
        <v>48</v>
      </c>
      <c r="M42" s="46">
        <v>54</v>
      </c>
      <c r="N42" s="46">
        <v>54</v>
      </c>
      <c r="O42" s="3"/>
      <c r="P42" s="3" t="s">
        <v>151</v>
      </c>
      <c r="Q42" s="3"/>
      <c r="S42" s="12"/>
    </row>
    <row r="43" spans="2:20" ht="15" thickBot="1">
      <c r="B43" s="30" t="s">
        <v>263</v>
      </c>
      <c r="C43" s="3" t="s">
        <v>428</v>
      </c>
      <c r="D43" s="34">
        <v>41</v>
      </c>
      <c r="E43" s="34">
        <v>59</v>
      </c>
      <c r="F43" s="34">
        <v>75</v>
      </c>
      <c r="G43" s="34">
        <v>103</v>
      </c>
      <c r="H43" s="34">
        <v>122</v>
      </c>
      <c r="I43" s="34">
        <v>192</v>
      </c>
      <c r="J43" s="34">
        <v>318</v>
      </c>
      <c r="K43" s="34">
        <v>711</v>
      </c>
      <c r="L43" s="34">
        <v>1013</v>
      </c>
      <c r="M43" s="34">
        <v>2554</v>
      </c>
      <c r="N43" s="34">
        <v>11492</v>
      </c>
      <c r="O43" s="33">
        <v>0.2</v>
      </c>
      <c r="P43" s="3" t="s">
        <v>151</v>
      </c>
      <c r="Q43" s="3"/>
    </row>
    <row r="44" spans="2:20" ht="15" thickBot="1">
      <c r="B44" s="3" t="s">
        <v>242</v>
      </c>
      <c r="C44" s="3" t="s">
        <v>309</v>
      </c>
      <c r="D44" s="13">
        <v>174</v>
      </c>
      <c r="E44" s="13">
        <v>106</v>
      </c>
      <c r="F44" s="13">
        <v>92</v>
      </c>
      <c r="G44" s="13">
        <v>86</v>
      </c>
      <c r="H44" s="13">
        <v>79</v>
      </c>
      <c r="I44" s="13">
        <v>74</v>
      </c>
      <c r="J44" s="13">
        <v>63</v>
      </c>
      <c r="K44" s="13">
        <v>38</v>
      </c>
      <c r="L44" s="13">
        <v>33</v>
      </c>
      <c r="M44" s="13">
        <v>13</v>
      </c>
      <c r="N44" s="13">
        <v>10</v>
      </c>
      <c r="O44" s="3"/>
      <c r="P44" s="3" t="s">
        <v>151</v>
      </c>
      <c r="Q44" s="3"/>
    </row>
    <row r="45" spans="2:20" ht="15" thickBot="1">
      <c r="B45" s="3" t="s">
        <v>242</v>
      </c>
      <c r="C45" s="3" t="s">
        <v>431</v>
      </c>
      <c r="D45" s="13">
        <v>414</v>
      </c>
      <c r="E45" s="13">
        <v>229</v>
      </c>
      <c r="F45" s="13">
        <v>196</v>
      </c>
      <c r="G45" s="13">
        <v>174</v>
      </c>
      <c r="H45" s="13">
        <v>153</v>
      </c>
      <c r="I45" s="13">
        <v>131</v>
      </c>
      <c r="J45" s="13">
        <v>98</v>
      </c>
      <c r="K45" s="13">
        <v>49</v>
      </c>
      <c r="L45" s="13">
        <v>38</v>
      </c>
      <c r="M45" s="13">
        <v>13</v>
      </c>
      <c r="N45" s="13">
        <v>10</v>
      </c>
      <c r="O45" s="3"/>
      <c r="P45" s="3" t="s">
        <v>151</v>
      </c>
      <c r="Q45" s="3"/>
    </row>
    <row r="46" spans="2:20" ht="15" thickBot="1">
      <c r="B46" s="3" t="s">
        <v>433</v>
      </c>
      <c r="C46" s="3" t="s">
        <v>434</v>
      </c>
      <c r="D46" s="13">
        <v>44</v>
      </c>
      <c r="E46" s="13">
        <v>30</v>
      </c>
      <c r="F46" s="13">
        <v>26</v>
      </c>
      <c r="G46" s="13">
        <v>21</v>
      </c>
      <c r="H46" s="13">
        <v>20</v>
      </c>
      <c r="I46" s="13">
        <v>20</v>
      </c>
      <c r="J46" s="13">
        <v>19</v>
      </c>
      <c r="K46" s="13">
        <v>17</v>
      </c>
      <c r="L46" s="13">
        <v>16</v>
      </c>
      <c r="M46" s="13">
        <v>11</v>
      </c>
      <c r="N46" s="13">
        <v>9</v>
      </c>
      <c r="O46" s="3"/>
      <c r="P46" s="3" t="s">
        <v>151</v>
      </c>
      <c r="Q46" s="3"/>
    </row>
    <row r="47" spans="2:20" ht="15" thickBot="1">
      <c r="B47" s="3" t="s">
        <v>433</v>
      </c>
      <c r="C47" s="3" t="s">
        <v>435</v>
      </c>
      <c r="D47" s="13">
        <v>104</v>
      </c>
      <c r="E47" s="13">
        <v>65</v>
      </c>
      <c r="F47" s="13">
        <v>55</v>
      </c>
      <c r="G47" s="13">
        <v>44</v>
      </c>
      <c r="H47" s="13">
        <v>39</v>
      </c>
      <c r="I47" s="13">
        <v>36</v>
      </c>
      <c r="J47" s="13">
        <v>29</v>
      </c>
      <c r="K47" s="13">
        <v>22</v>
      </c>
      <c r="L47" s="13">
        <v>19</v>
      </c>
      <c r="M47" s="13">
        <v>11</v>
      </c>
      <c r="N47" s="13">
        <v>8</v>
      </c>
      <c r="O47" s="3"/>
      <c r="P47" s="3" t="s">
        <v>151</v>
      </c>
      <c r="Q47" s="3"/>
    </row>
    <row r="48" spans="2:20" ht="15" thickBot="1">
      <c r="B48" s="1" t="s">
        <v>246</v>
      </c>
      <c r="C48" s="2" t="s">
        <v>216</v>
      </c>
      <c r="D48" s="1"/>
      <c r="E48" s="1"/>
      <c r="F48" s="1"/>
      <c r="G48" s="1"/>
      <c r="H48" s="1"/>
      <c r="I48" s="1"/>
      <c r="J48" s="1"/>
      <c r="K48" s="1"/>
      <c r="L48" s="1"/>
      <c r="M48" s="1"/>
      <c r="N48" s="1"/>
      <c r="O48" s="1"/>
      <c r="P48" s="1"/>
      <c r="Q48" s="1"/>
    </row>
    <row r="49" spans="2:17" ht="15" thickBot="1">
      <c r="B49" s="3" t="s">
        <v>437</v>
      </c>
      <c r="C49" s="3" t="s">
        <v>231</v>
      </c>
      <c r="D49" s="41">
        <v>132</v>
      </c>
      <c r="E49" s="41">
        <v>58</v>
      </c>
      <c r="F49" s="41">
        <v>29</v>
      </c>
      <c r="G49" s="41">
        <v>62</v>
      </c>
      <c r="H49" s="41">
        <v>43</v>
      </c>
      <c r="I49" s="41">
        <v>71</v>
      </c>
      <c r="J49" s="41">
        <v>121</v>
      </c>
      <c r="K49" s="41">
        <v>144</v>
      </c>
      <c r="L49" s="41">
        <v>139</v>
      </c>
      <c r="M49" s="41">
        <v>125</v>
      </c>
      <c r="N49" s="41">
        <v>113</v>
      </c>
      <c r="O49" s="3"/>
      <c r="P49" s="3" t="s">
        <v>151</v>
      </c>
      <c r="Q49" s="3"/>
    </row>
    <row r="50" spans="2:17" ht="15" thickBot="1">
      <c r="B50" s="3" t="s">
        <v>437</v>
      </c>
      <c r="C50" s="3" t="s">
        <v>424</v>
      </c>
      <c r="D50" s="41">
        <v>313</v>
      </c>
      <c r="E50" s="41">
        <v>125</v>
      </c>
      <c r="F50" s="41">
        <v>63</v>
      </c>
      <c r="G50" s="41">
        <v>125</v>
      </c>
      <c r="H50" s="41">
        <v>84</v>
      </c>
      <c r="I50" s="41">
        <v>125</v>
      </c>
      <c r="J50" s="41">
        <v>188</v>
      </c>
      <c r="K50" s="41">
        <v>188</v>
      </c>
      <c r="L50" s="41">
        <v>163</v>
      </c>
      <c r="M50" s="41">
        <v>125</v>
      </c>
      <c r="N50" s="41">
        <v>123</v>
      </c>
      <c r="O50" s="3"/>
      <c r="P50" s="3" t="s">
        <v>151</v>
      </c>
      <c r="Q50" s="3"/>
    </row>
    <row r="51" spans="2:17" ht="15" thickBot="1">
      <c r="B51" s="3" t="s">
        <v>439</v>
      </c>
      <c r="C51" s="3" t="s">
        <v>231</v>
      </c>
      <c r="D51" s="41">
        <v>526</v>
      </c>
      <c r="E51" s="41">
        <v>323</v>
      </c>
      <c r="F51" s="41">
        <v>282</v>
      </c>
      <c r="G51" s="41">
        <v>345</v>
      </c>
      <c r="H51" s="41">
        <v>335</v>
      </c>
      <c r="I51" s="41">
        <v>397</v>
      </c>
      <c r="J51" s="41">
        <v>321</v>
      </c>
      <c r="K51" s="41">
        <v>255</v>
      </c>
      <c r="L51" s="41">
        <v>282</v>
      </c>
      <c r="M51" s="41">
        <v>135</v>
      </c>
      <c r="N51" s="41">
        <v>122</v>
      </c>
      <c r="O51" s="3"/>
      <c r="P51" s="3"/>
      <c r="Q51" s="3"/>
    </row>
    <row r="52" spans="2:17" ht="15" thickBot="1">
      <c r="B52" s="3" t="s">
        <v>439</v>
      </c>
      <c r="C52" s="3" t="s">
        <v>424</v>
      </c>
      <c r="D52" s="41">
        <v>1250</v>
      </c>
      <c r="E52" s="41">
        <v>700</v>
      </c>
      <c r="F52" s="41">
        <v>600</v>
      </c>
      <c r="G52" s="41">
        <v>700</v>
      </c>
      <c r="H52" s="41">
        <v>650</v>
      </c>
      <c r="I52" s="41">
        <v>700</v>
      </c>
      <c r="J52" s="41">
        <v>500</v>
      </c>
      <c r="K52" s="41">
        <v>333</v>
      </c>
      <c r="L52" s="41">
        <v>330</v>
      </c>
      <c r="M52" s="41">
        <v>135</v>
      </c>
      <c r="N52" s="41">
        <v>85</v>
      </c>
      <c r="O52" s="3"/>
      <c r="P52" s="3"/>
      <c r="Q52" s="3"/>
    </row>
    <row r="53" spans="2:17" ht="15" thickBot="1">
      <c r="B53" s="38" t="s">
        <v>263</v>
      </c>
      <c r="C53" s="38" t="s">
        <v>428</v>
      </c>
      <c r="D53" s="63">
        <v>44</v>
      </c>
      <c r="E53" s="63">
        <v>63</v>
      </c>
      <c r="F53" s="63">
        <v>82</v>
      </c>
      <c r="G53" s="63">
        <v>120</v>
      </c>
      <c r="H53" s="63">
        <v>144</v>
      </c>
      <c r="I53" s="63">
        <v>233</v>
      </c>
      <c r="J53" s="63">
        <v>387</v>
      </c>
      <c r="K53" s="63">
        <v>867</v>
      </c>
      <c r="L53" s="63">
        <v>1260</v>
      </c>
      <c r="M53" s="63">
        <v>3075</v>
      </c>
      <c r="N53" s="63">
        <v>13636</v>
      </c>
      <c r="O53" s="33">
        <v>0.2</v>
      </c>
      <c r="P53" s="3"/>
      <c r="Q53" s="3"/>
    </row>
    <row r="56" spans="2:17">
      <c r="B56" s="4" t="s">
        <v>214</v>
      </c>
      <c r="C56" s="4">
        <v>2040</v>
      </c>
    </row>
    <row r="57" spans="2:17" ht="15" thickBot="1">
      <c r="B57" s="1" t="s">
        <v>215</v>
      </c>
      <c r="C57" s="2" t="s">
        <v>216</v>
      </c>
      <c r="D57" s="1"/>
      <c r="E57" s="2"/>
      <c r="F57" s="1"/>
      <c r="G57" s="1"/>
      <c r="H57" s="1"/>
      <c r="I57" s="1"/>
      <c r="J57" s="1"/>
      <c r="K57" s="1"/>
      <c r="L57" s="1"/>
      <c r="M57" s="1"/>
      <c r="N57" s="1"/>
      <c r="O57" s="1" t="s">
        <v>217</v>
      </c>
      <c r="P57" s="1" t="s">
        <v>147</v>
      </c>
      <c r="Q57" s="1" t="s">
        <v>148</v>
      </c>
    </row>
    <row r="58" spans="2:17" ht="15" thickBot="1">
      <c r="B58" s="3" t="s">
        <v>414</v>
      </c>
      <c r="C58" s="30" t="s">
        <v>415</v>
      </c>
      <c r="D58" s="42">
        <v>2</v>
      </c>
      <c r="E58" s="60">
        <v>5</v>
      </c>
      <c r="F58" s="42">
        <v>10</v>
      </c>
      <c r="G58" s="42">
        <v>20</v>
      </c>
      <c r="H58" s="42">
        <v>30</v>
      </c>
      <c r="I58" s="42">
        <v>50</v>
      </c>
      <c r="J58" s="42">
        <v>100</v>
      </c>
      <c r="K58" s="42">
        <v>300</v>
      </c>
      <c r="L58" s="42">
        <v>500</v>
      </c>
      <c r="M58" s="41">
        <v>2000</v>
      </c>
      <c r="N58" s="41">
        <v>10000</v>
      </c>
      <c r="O58" s="3"/>
      <c r="P58" s="3"/>
      <c r="Q58" s="3"/>
    </row>
    <row r="59" spans="2:17" ht="15" thickBot="1">
      <c r="B59" s="3" t="s">
        <v>220</v>
      </c>
      <c r="C59" s="30" t="s">
        <v>221</v>
      </c>
      <c r="D59" s="42">
        <v>4.8</v>
      </c>
      <c r="E59" s="42">
        <v>10.8</v>
      </c>
      <c r="F59" s="42">
        <v>21.3</v>
      </c>
      <c r="G59" s="42">
        <v>40.6</v>
      </c>
      <c r="H59" s="42">
        <v>58.2</v>
      </c>
      <c r="I59" s="42">
        <v>88.2</v>
      </c>
      <c r="J59" s="42">
        <v>155.6</v>
      </c>
      <c r="K59" s="42">
        <v>392.3</v>
      </c>
      <c r="L59" s="42">
        <v>585.4</v>
      </c>
      <c r="M59" s="42">
        <v>2000</v>
      </c>
      <c r="N59" s="42">
        <v>9148.9</v>
      </c>
      <c r="O59" s="3"/>
      <c r="P59" s="3"/>
      <c r="Q59" s="3" t="s">
        <v>224</v>
      </c>
    </row>
    <row r="60" spans="2:17" ht="15" thickBot="1">
      <c r="B60" s="3" t="s">
        <v>417</v>
      </c>
      <c r="C60" s="5" t="s">
        <v>223</v>
      </c>
      <c r="D60" s="46">
        <v>28</v>
      </c>
      <c r="E60" s="46">
        <v>30</v>
      </c>
      <c r="F60" s="46">
        <v>31</v>
      </c>
      <c r="G60" s="46">
        <v>32</v>
      </c>
      <c r="H60" s="46">
        <v>33</v>
      </c>
      <c r="I60" s="46">
        <v>33</v>
      </c>
      <c r="J60" s="46">
        <v>35</v>
      </c>
      <c r="K60" s="46">
        <v>38</v>
      </c>
      <c r="L60" s="46">
        <v>40</v>
      </c>
      <c r="M60" s="46">
        <v>43</v>
      </c>
      <c r="N60" s="46">
        <v>46</v>
      </c>
      <c r="O60" s="33"/>
      <c r="P60" s="3" t="s">
        <v>151</v>
      </c>
      <c r="Q60" s="3" t="s">
        <v>250</v>
      </c>
    </row>
    <row r="61" spans="2:17" ht="15" thickBot="1">
      <c r="B61" s="3" t="s">
        <v>419</v>
      </c>
      <c r="C61" s="5" t="s">
        <v>223</v>
      </c>
      <c r="D61" s="46">
        <v>66</v>
      </c>
      <c r="E61" s="46">
        <v>64</v>
      </c>
      <c r="F61" s="46">
        <v>65</v>
      </c>
      <c r="G61" s="46">
        <v>64</v>
      </c>
      <c r="H61" s="46">
        <v>63</v>
      </c>
      <c r="I61" s="46">
        <v>59</v>
      </c>
      <c r="J61" s="46">
        <v>55</v>
      </c>
      <c r="K61" s="46">
        <v>50</v>
      </c>
      <c r="L61" s="46">
        <v>47</v>
      </c>
      <c r="M61" s="46">
        <v>43</v>
      </c>
      <c r="N61" s="46">
        <v>42</v>
      </c>
      <c r="O61" s="33"/>
      <c r="P61" s="3" t="s">
        <v>151</v>
      </c>
      <c r="Q61" s="3" t="s">
        <v>250</v>
      </c>
    </row>
    <row r="62" spans="2:17" ht="15" thickBot="1">
      <c r="B62" s="3" t="s">
        <v>421</v>
      </c>
      <c r="C62" s="5" t="s">
        <v>223</v>
      </c>
      <c r="D62" s="46">
        <v>94</v>
      </c>
      <c r="E62" s="46">
        <v>94</v>
      </c>
      <c r="F62" s="46">
        <v>96</v>
      </c>
      <c r="G62" s="46">
        <v>96</v>
      </c>
      <c r="H62" s="46">
        <v>96</v>
      </c>
      <c r="I62" s="46">
        <v>93</v>
      </c>
      <c r="J62" s="46">
        <v>91</v>
      </c>
      <c r="K62" s="46">
        <v>89</v>
      </c>
      <c r="L62" s="46">
        <v>88</v>
      </c>
      <c r="M62" s="46">
        <v>87</v>
      </c>
      <c r="N62" s="46">
        <v>88</v>
      </c>
      <c r="O62" s="33"/>
      <c r="P62" s="3" t="s">
        <v>151</v>
      </c>
      <c r="Q62" s="3"/>
    </row>
    <row r="63" spans="2:17" ht="15" thickBot="1">
      <c r="B63" s="3" t="s">
        <v>226</v>
      </c>
      <c r="C63" s="5" t="s">
        <v>227</v>
      </c>
      <c r="D63" s="3">
        <v>15</v>
      </c>
      <c r="E63" s="3">
        <v>15</v>
      </c>
      <c r="F63" s="3">
        <v>15</v>
      </c>
      <c r="G63" s="3">
        <v>15</v>
      </c>
      <c r="H63" s="3">
        <v>15</v>
      </c>
      <c r="I63" s="3">
        <v>15</v>
      </c>
      <c r="J63" s="3">
        <v>15</v>
      </c>
      <c r="K63" s="3">
        <v>15</v>
      </c>
      <c r="L63" s="3">
        <v>15</v>
      </c>
      <c r="M63" s="3">
        <v>15</v>
      </c>
      <c r="N63" s="3">
        <v>15</v>
      </c>
      <c r="O63" s="3"/>
      <c r="P63" s="3" t="s">
        <v>303</v>
      </c>
      <c r="Q63" s="3" t="s">
        <v>240</v>
      </c>
    </row>
    <row r="64" spans="2:17" ht="15" thickBot="1">
      <c r="B64" s="1" t="s">
        <v>229</v>
      </c>
      <c r="C64" s="2" t="s">
        <v>216</v>
      </c>
      <c r="D64" s="1"/>
      <c r="E64" s="1"/>
      <c r="F64" s="1"/>
      <c r="G64" s="1"/>
      <c r="H64" s="1"/>
      <c r="I64" s="1"/>
      <c r="J64" s="1"/>
      <c r="K64" s="1"/>
      <c r="L64" s="1"/>
      <c r="M64" s="1"/>
      <c r="N64" s="1"/>
      <c r="O64" s="1"/>
      <c r="P64" s="1"/>
      <c r="Q64" s="1"/>
    </row>
    <row r="65" spans="2:17" ht="15" thickBot="1">
      <c r="B65" s="3" t="s">
        <v>230</v>
      </c>
      <c r="C65" s="3" t="s">
        <v>231</v>
      </c>
      <c r="D65" s="41">
        <v>8579</v>
      </c>
      <c r="E65" s="41">
        <v>5423</v>
      </c>
      <c r="F65" s="41">
        <v>3520</v>
      </c>
      <c r="G65" s="41">
        <v>2538</v>
      </c>
      <c r="H65" s="41">
        <v>2102</v>
      </c>
      <c r="I65" s="41">
        <v>2174</v>
      </c>
      <c r="J65" s="41">
        <v>2043</v>
      </c>
      <c r="K65" s="41">
        <v>1812</v>
      </c>
      <c r="L65" s="41">
        <v>1731</v>
      </c>
      <c r="M65" s="41">
        <v>1277</v>
      </c>
      <c r="N65" s="41">
        <v>1256</v>
      </c>
      <c r="O65" s="33">
        <v>0.3</v>
      </c>
      <c r="P65" s="3" t="s">
        <v>151</v>
      </c>
      <c r="Q65" s="3" t="s">
        <v>244</v>
      </c>
    </row>
    <row r="66" spans="2:17" ht="15" thickBot="1">
      <c r="B66" s="3" t="s">
        <v>230</v>
      </c>
      <c r="C66" s="3" t="s">
        <v>424</v>
      </c>
      <c r="D66" s="41">
        <v>20383</v>
      </c>
      <c r="E66" s="41">
        <v>11750</v>
      </c>
      <c r="F66" s="41">
        <v>7494</v>
      </c>
      <c r="G66" s="41">
        <v>5156</v>
      </c>
      <c r="H66" s="41">
        <v>4077</v>
      </c>
      <c r="I66" s="41">
        <v>3837</v>
      </c>
      <c r="J66" s="41">
        <v>3177</v>
      </c>
      <c r="K66" s="41">
        <v>2370</v>
      </c>
      <c r="L66" s="41">
        <v>2026</v>
      </c>
      <c r="M66" s="41">
        <v>1277</v>
      </c>
      <c r="N66" s="41">
        <v>1149</v>
      </c>
      <c r="O66" s="33">
        <v>0.3</v>
      </c>
      <c r="P66" s="3"/>
      <c r="Q66" s="3"/>
    </row>
    <row r="67" spans="2:17" ht="15" thickBot="1">
      <c r="B67" s="36" t="s">
        <v>236</v>
      </c>
      <c r="C67" s="3" t="s">
        <v>223</v>
      </c>
      <c r="D67" s="46">
        <v>63</v>
      </c>
      <c r="E67" s="46">
        <v>64</v>
      </c>
      <c r="F67" s="46">
        <v>64</v>
      </c>
      <c r="G67" s="46">
        <v>60</v>
      </c>
      <c r="H67" s="46">
        <v>59</v>
      </c>
      <c r="I67" s="46">
        <v>59</v>
      </c>
      <c r="J67" s="46">
        <v>56</v>
      </c>
      <c r="K67" s="46">
        <v>51</v>
      </c>
      <c r="L67" s="46">
        <v>52</v>
      </c>
      <c r="M67" s="46">
        <v>46</v>
      </c>
      <c r="N67" s="46">
        <v>46</v>
      </c>
      <c r="O67" s="3"/>
      <c r="P67" s="3" t="s">
        <v>151</v>
      </c>
      <c r="Q67" s="3"/>
    </row>
    <row r="68" spans="2:17" ht="15" thickBot="1">
      <c r="B68" s="36" t="s">
        <v>237</v>
      </c>
      <c r="C68" s="3" t="s">
        <v>223</v>
      </c>
      <c r="D68" s="46">
        <v>37</v>
      </c>
      <c r="E68" s="46">
        <v>36</v>
      </c>
      <c r="F68" s="46">
        <v>36</v>
      </c>
      <c r="G68" s="46">
        <v>40</v>
      </c>
      <c r="H68" s="46">
        <v>41</v>
      </c>
      <c r="I68" s="46">
        <v>41</v>
      </c>
      <c r="J68" s="46">
        <v>44</v>
      </c>
      <c r="K68" s="46">
        <v>49</v>
      </c>
      <c r="L68" s="46">
        <v>48</v>
      </c>
      <c r="M68" s="46">
        <v>54</v>
      </c>
      <c r="N68" s="46">
        <v>54</v>
      </c>
      <c r="O68" s="3"/>
      <c r="P68" s="3" t="s">
        <v>151</v>
      </c>
      <c r="Q68" s="3"/>
    </row>
    <row r="69" spans="2:17" ht="15" thickBot="1">
      <c r="B69" s="30" t="s">
        <v>263</v>
      </c>
      <c r="C69" s="3" t="s">
        <v>428</v>
      </c>
      <c r="D69" s="34">
        <v>45</v>
      </c>
      <c r="E69" s="34">
        <v>65</v>
      </c>
      <c r="F69" s="34">
        <v>82</v>
      </c>
      <c r="G69" s="34">
        <v>113</v>
      </c>
      <c r="H69" s="34">
        <v>135</v>
      </c>
      <c r="I69" s="34">
        <v>211</v>
      </c>
      <c r="J69" s="34">
        <v>350</v>
      </c>
      <c r="K69" s="34">
        <v>782</v>
      </c>
      <c r="L69" s="34">
        <v>1114</v>
      </c>
      <c r="M69" s="34">
        <v>2809</v>
      </c>
      <c r="N69" s="34">
        <v>12642</v>
      </c>
      <c r="O69" s="33">
        <v>0.3</v>
      </c>
      <c r="P69" s="3" t="s">
        <v>151</v>
      </c>
      <c r="Q69" s="3"/>
    </row>
    <row r="70" spans="2:17" ht="15" thickBot="1">
      <c r="B70" s="3" t="s">
        <v>242</v>
      </c>
      <c r="C70" s="3" t="s">
        <v>309</v>
      </c>
      <c r="D70" s="13">
        <v>174</v>
      </c>
      <c r="E70" s="13">
        <v>106</v>
      </c>
      <c r="F70" s="13">
        <v>92</v>
      </c>
      <c r="G70" s="13">
        <v>86</v>
      </c>
      <c r="H70" s="13">
        <v>79</v>
      </c>
      <c r="I70" s="13">
        <v>74</v>
      </c>
      <c r="J70" s="13">
        <v>63</v>
      </c>
      <c r="K70" s="13">
        <v>38</v>
      </c>
      <c r="L70" s="13">
        <v>33</v>
      </c>
      <c r="M70" s="13">
        <v>13</v>
      </c>
      <c r="N70" s="13">
        <v>10</v>
      </c>
      <c r="O70" s="3"/>
      <c r="P70" s="3" t="s">
        <v>151</v>
      </c>
      <c r="Q70" s="3"/>
    </row>
    <row r="71" spans="2:17" ht="15" thickBot="1">
      <c r="B71" s="3" t="s">
        <v>242</v>
      </c>
      <c r="C71" s="3" t="s">
        <v>431</v>
      </c>
      <c r="D71" s="13">
        <v>414</v>
      </c>
      <c r="E71" s="13">
        <v>229</v>
      </c>
      <c r="F71" s="13">
        <v>196</v>
      </c>
      <c r="G71" s="13">
        <v>174</v>
      </c>
      <c r="H71" s="13">
        <v>153</v>
      </c>
      <c r="I71" s="13">
        <v>131</v>
      </c>
      <c r="J71" s="13">
        <v>98</v>
      </c>
      <c r="K71" s="13">
        <v>49</v>
      </c>
      <c r="L71" s="13">
        <v>38</v>
      </c>
      <c r="M71" s="13">
        <v>13</v>
      </c>
      <c r="N71" s="13">
        <v>10</v>
      </c>
      <c r="O71" s="3"/>
      <c r="P71" s="3" t="s">
        <v>151</v>
      </c>
      <c r="Q71" s="3"/>
    </row>
    <row r="72" spans="2:17" ht="15" thickBot="1">
      <c r="B72" s="3" t="s">
        <v>433</v>
      </c>
      <c r="C72" s="3" t="s">
        <v>434</v>
      </c>
      <c r="D72" s="13">
        <v>44</v>
      </c>
      <c r="E72" s="13">
        <v>30</v>
      </c>
      <c r="F72" s="13">
        <v>26</v>
      </c>
      <c r="G72" s="13">
        <v>21</v>
      </c>
      <c r="H72" s="13">
        <v>20</v>
      </c>
      <c r="I72" s="13">
        <v>20</v>
      </c>
      <c r="J72" s="13">
        <v>19</v>
      </c>
      <c r="K72" s="13">
        <v>17</v>
      </c>
      <c r="L72" s="13">
        <v>16</v>
      </c>
      <c r="M72" s="13">
        <v>11</v>
      </c>
      <c r="N72" s="13">
        <v>9</v>
      </c>
      <c r="O72" s="3"/>
      <c r="P72" s="3" t="s">
        <v>151</v>
      </c>
      <c r="Q72" s="3"/>
    </row>
    <row r="73" spans="2:17" ht="15" thickBot="1">
      <c r="B73" s="3" t="s">
        <v>433</v>
      </c>
      <c r="C73" s="3" t="s">
        <v>435</v>
      </c>
      <c r="D73" s="13">
        <v>104</v>
      </c>
      <c r="E73" s="13">
        <v>65</v>
      </c>
      <c r="F73" s="13">
        <v>55</v>
      </c>
      <c r="G73" s="13">
        <v>44</v>
      </c>
      <c r="H73" s="13">
        <v>39</v>
      </c>
      <c r="I73" s="13">
        <v>36</v>
      </c>
      <c r="J73" s="13">
        <v>29</v>
      </c>
      <c r="K73" s="13">
        <v>22</v>
      </c>
      <c r="L73" s="13">
        <v>19</v>
      </c>
      <c r="M73" s="13">
        <v>11</v>
      </c>
      <c r="N73" s="13">
        <v>8</v>
      </c>
      <c r="O73" s="3"/>
      <c r="P73" s="3" t="s">
        <v>151</v>
      </c>
      <c r="Q73" s="3"/>
    </row>
    <row r="74" spans="2:17" ht="15" thickBot="1">
      <c r="B74" s="1" t="s">
        <v>246</v>
      </c>
      <c r="C74" s="2" t="s">
        <v>216</v>
      </c>
      <c r="D74" s="1"/>
      <c r="E74" s="1"/>
      <c r="F74" s="1"/>
      <c r="G74" s="1"/>
      <c r="H74" s="1"/>
      <c r="I74" s="1"/>
      <c r="J74" s="1"/>
      <c r="K74" s="1"/>
      <c r="L74" s="1"/>
      <c r="M74" s="1"/>
      <c r="N74" s="1"/>
      <c r="O74" s="1"/>
      <c r="P74" s="1"/>
      <c r="Q74" s="1"/>
    </row>
    <row r="75" spans="2:17" ht="15" thickBot="1">
      <c r="B75" s="3" t="s">
        <v>437</v>
      </c>
      <c r="C75" s="3" t="s">
        <v>231</v>
      </c>
      <c r="D75" s="41">
        <v>132</v>
      </c>
      <c r="E75" s="41">
        <v>58</v>
      </c>
      <c r="F75" s="41">
        <v>29</v>
      </c>
      <c r="G75" s="41">
        <v>62</v>
      </c>
      <c r="H75" s="41">
        <v>43</v>
      </c>
      <c r="I75" s="41">
        <v>71</v>
      </c>
      <c r="J75" s="41">
        <v>121</v>
      </c>
      <c r="K75" s="41">
        <v>144</v>
      </c>
      <c r="L75" s="41">
        <v>139</v>
      </c>
      <c r="M75" s="41">
        <v>125</v>
      </c>
      <c r="N75" s="41">
        <v>113</v>
      </c>
      <c r="O75" s="3"/>
      <c r="P75" s="3" t="s">
        <v>151</v>
      </c>
      <c r="Q75" s="3"/>
    </row>
    <row r="76" spans="2:17" ht="15" thickBot="1">
      <c r="B76" s="3" t="s">
        <v>437</v>
      </c>
      <c r="C76" s="3" t="s">
        <v>424</v>
      </c>
      <c r="D76" s="41">
        <v>313</v>
      </c>
      <c r="E76" s="41">
        <v>125</v>
      </c>
      <c r="F76" s="41">
        <v>63</v>
      </c>
      <c r="G76" s="41">
        <v>125</v>
      </c>
      <c r="H76" s="41">
        <v>84</v>
      </c>
      <c r="I76" s="41">
        <v>125</v>
      </c>
      <c r="J76" s="41">
        <v>188</v>
      </c>
      <c r="K76" s="41">
        <v>188</v>
      </c>
      <c r="L76" s="41">
        <v>163</v>
      </c>
      <c r="M76" s="41">
        <v>125</v>
      </c>
      <c r="N76" s="41">
        <v>123</v>
      </c>
      <c r="O76" s="3"/>
      <c r="P76" s="3" t="s">
        <v>151</v>
      </c>
      <c r="Q76" s="3"/>
    </row>
    <row r="77" spans="2:17" ht="15" thickBot="1">
      <c r="B77" s="3" t="s">
        <v>439</v>
      </c>
      <c r="C77" s="3" t="s">
        <v>231</v>
      </c>
      <c r="D77" s="41">
        <v>526</v>
      </c>
      <c r="E77" s="41">
        <v>323</v>
      </c>
      <c r="F77" s="41">
        <v>282</v>
      </c>
      <c r="G77" s="41">
        <v>345</v>
      </c>
      <c r="H77" s="41">
        <v>335</v>
      </c>
      <c r="I77" s="41">
        <v>397</v>
      </c>
      <c r="J77" s="41">
        <v>321</v>
      </c>
      <c r="K77" s="41">
        <v>255</v>
      </c>
      <c r="L77" s="41">
        <v>282</v>
      </c>
      <c r="M77" s="41">
        <v>135</v>
      </c>
      <c r="N77" s="41">
        <v>122</v>
      </c>
      <c r="O77" s="3"/>
      <c r="P77" s="3"/>
      <c r="Q77" s="3"/>
    </row>
    <row r="78" spans="2:17" ht="15" thickBot="1">
      <c r="B78" s="3" t="s">
        <v>439</v>
      </c>
      <c r="C78" s="3" t="s">
        <v>424</v>
      </c>
      <c r="D78" s="41">
        <v>1250</v>
      </c>
      <c r="E78" s="41">
        <v>700</v>
      </c>
      <c r="F78" s="41">
        <v>600</v>
      </c>
      <c r="G78" s="41">
        <v>700</v>
      </c>
      <c r="H78" s="41">
        <v>650</v>
      </c>
      <c r="I78" s="41">
        <v>700</v>
      </c>
      <c r="J78" s="41">
        <v>500</v>
      </c>
      <c r="K78" s="41">
        <v>333</v>
      </c>
      <c r="L78" s="41">
        <v>330</v>
      </c>
      <c r="M78" s="41">
        <v>135</v>
      </c>
      <c r="N78" s="41">
        <v>85</v>
      </c>
      <c r="O78" s="3"/>
      <c r="P78" s="3"/>
      <c r="Q78" s="3"/>
    </row>
    <row r="79" spans="2:17" ht="15" thickBot="1">
      <c r="B79" s="38" t="s">
        <v>263</v>
      </c>
      <c r="C79" s="38" t="s">
        <v>428</v>
      </c>
      <c r="D79" s="63">
        <v>48</v>
      </c>
      <c r="E79" s="63">
        <v>69</v>
      </c>
      <c r="F79" s="63">
        <v>90</v>
      </c>
      <c r="G79" s="63">
        <v>131</v>
      </c>
      <c r="H79" s="63">
        <v>158</v>
      </c>
      <c r="I79" s="63">
        <v>255</v>
      </c>
      <c r="J79" s="63">
        <v>423</v>
      </c>
      <c r="K79" s="63">
        <v>948</v>
      </c>
      <c r="L79" s="63">
        <v>1376</v>
      </c>
      <c r="M79" s="63">
        <v>3354</v>
      </c>
      <c r="N79" s="63">
        <v>14885</v>
      </c>
      <c r="O79" s="33">
        <v>0.3</v>
      </c>
      <c r="P79" s="3"/>
      <c r="Q79" s="3"/>
    </row>
    <row r="82" spans="4:14">
      <c r="D82" s="66"/>
      <c r="E82" s="66"/>
      <c r="F82" s="66"/>
      <c r="G82" s="66"/>
      <c r="H82" s="66"/>
      <c r="I82" s="66"/>
      <c r="J82" s="66"/>
      <c r="K82" s="66"/>
      <c r="L82" s="66"/>
      <c r="M82" s="66"/>
      <c r="N82" s="66"/>
    </row>
    <row r="83" spans="4:14">
      <c r="D83" s="66"/>
      <c r="E83" s="66"/>
      <c r="F83" s="66"/>
      <c r="G83" s="66"/>
      <c r="H83" s="66"/>
      <c r="I83" s="66"/>
      <c r="J83" s="66"/>
      <c r="K83" s="66"/>
      <c r="L83" s="66"/>
      <c r="M83" s="66"/>
      <c r="N83" s="66"/>
    </row>
    <row r="84" spans="4:14">
      <c r="D84" s="66"/>
      <c r="E84" s="66"/>
      <c r="F84" s="66"/>
      <c r="G84" s="66"/>
      <c r="H84" s="66"/>
      <c r="I84" s="66"/>
      <c r="J84" s="66"/>
      <c r="K84" s="66"/>
      <c r="L84" s="66"/>
      <c r="M84" s="66"/>
      <c r="N84" s="66"/>
    </row>
  </sheetData>
  <mergeCells count="1">
    <mergeCell ref="G2:L3"/>
  </mergeCells>
  <conditionalFormatting sqref="O8:O10 O34:O36 O60:O62 O17:O20 O13:O14 O43:O46 O39:O40 O69:O72 O65:O66">
    <cfRule type="colorScale" priority="5">
      <colorScale>
        <cfvo type="num" val="0"/>
        <cfvo type="num" val="0.5"/>
        <color theme="0"/>
        <color theme="5"/>
      </colorScale>
    </cfRule>
  </conditionalFormatting>
  <conditionalFormatting sqref="O23:O26 O49:O52 O75:O78">
    <cfRule type="colorScale" priority="4">
      <colorScale>
        <cfvo type="num" val="0"/>
        <cfvo type="num" val="0.5"/>
        <color theme="0"/>
        <color theme="5"/>
      </colorScale>
    </cfRule>
  </conditionalFormatting>
  <conditionalFormatting sqref="O27">
    <cfRule type="colorScale" priority="3">
      <colorScale>
        <cfvo type="num" val="0"/>
        <cfvo type="num" val="0.5"/>
        <color theme="0"/>
        <color theme="5"/>
      </colorScale>
    </cfRule>
  </conditionalFormatting>
  <conditionalFormatting sqref="O53">
    <cfRule type="colorScale" priority="2">
      <colorScale>
        <cfvo type="num" val="0"/>
        <cfvo type="num" val="0.5"/>
        <color theme="0"/>
        <color theme="5"/>
      </colorScale>
    </cfRule>
  </conditionalFormatting>
  <conditionalFormatting sqref="O79">
    <cfRule type="colorScale" priority="1">
      <colorScale>
        <cfvo type="num" val="0"/>
        <cfvo type="num" val="0.5"/>
        <color theme="0"/>
        <color theme="5"/>
      </colorScale>
    </cfRule>
  </conditionalFormatting>
  <conditionalFormatting sqref="AE8:AE9">
    <cfRule type="colorScale" priority="6">
      <colorScale>
        <cfvo type="num" val="0"/>
        <cfvo type="num" val="0.5"/>
        <color theme="0"/>
        <color theme="5"/>
      </colorScale>
    </cfRule>
    <cfRule type="colorScale" priority="7">
      <colorScale>
        <cfvo type="min"/>
        <cfvo type="max"/>
        <color theme="0"/>
        <color theme="5"/>
      </colorScale>
    </cfRule>
  </conditionalFormatting>
  <hyperlinks>
    <hyperlink ref="A1" location="Inhalt!A1" display="Zum Inhalt" xr:uid="{214641EA-95B3-4929-9830-FE9EE45EE972}"/>
  </hyperlinks>
  <pageMargins left="0.7" right="0.7" top="0.78740157499999996" bottom="0.78740157499999996" header="0.3" footer="0.3"/>
  <pageSetup paperSize="9" orientation="portrait"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9BCC8-D1E6-4122-9CF9-E0B01CEB5463}">
  <sheetPr codeName="Tabelle19"/>
  <dimension ref="A1:AB79"/>
  <sheetViews>
    <sheetView topLeftCell="B1" zoomScale="85" zoomScaleNormal="85" workbookViewId="0">
      <selection activeCell="E16" sqref="E16"/>
    </sheetView>
  </sheetViews>
  <sheetFormatPr baseColWidth="10" defaultColWidth="11.44140625" defaultRowHeight="14.4"/>
  <cols>
    <col min="1" max="1" width="10" customWidth="1"/>
    <col min="2" max="2" width="33.109375" customWidth="1"/>
    <col min="16" max="16" width="18" customWidth="1"/>
  </cols>
  <sheetData>
    <row r="1" spans="1:28" ht="28.2" thickBot="1">
      <c r="A1" s="99" t="s">
        <v>143</v>
      </c>
    </row>
    <row r="2" spans="1:28">
      <c r="G2" s="142" t="s">
        <v>212</v>
      </c>
      <c r="H2" s="143"/>
      <c r="I2" s="143"/>
      <c r="J2" s="143"/>
      <c r="K2" s="143"/>
      <c r="L2" s="144"/>
    </row>
    <row r="3" spans="1:28" ht="21" customHeight="1" thickBot="1">
      <c r="B3" s="4" t="s">
        <v>213</v>
      </c>
      <c r="C3" s="4" t="s">
        <v>94</v>
      </c>
      <c r="G3" s="145"/>
      <c r="H3" s="146"/>
      <c r="I3" s="146"/>
      <c r="J3" s="146"/>
      <c r="K3" s="146"/>
      <c r="L3" s="147"/>
    </row>
    <row r="4" spans="1:28">
      <c r="B4" s="4" t="s">
        <v>214</v>
      </c>
      <c r="C4" s="4">
        <v>2023</v>
      </c>
    </row>
    <row r="5" spans="1:28" ht="15" thickBot="1">
      <c r="B5" s="1" t="s">
        <v>215</v>
      </c>
      <c r="C5" s="2" t="s">
        <v>216</v>
      </c>
      <c r="D5" s="1"/>
      <c r="E5" s="1"/>
      <c r="F5" s="1"/>
      <c r="G5" s="1"/>
      <c r="H5" s="1"/>
      <c r="I5" s="1"/>
      <c r="J5" s="1"/>
      <c r="K5" s="1"/>
      <c r="L5" s="1" t="s">
        <v>217</v>
      </c>
      <c r="M5" s="1" t="s">
        <v>147</v>
      </c>
      <c r="N5" s="1" t="s">
        <v>148</v>
      </c>
      <c r="P5" s="4" t="s">
        <v>218</v>
      </c>
      <c r="Q5" s="12" t="s">
        <v>219</v>
      </c>
    </row>
    <row r="6" spans="1:28" ht="15" thickBot="1">
      <c r="B6" s="3" t="s">
        <v>414</v>
      </c>
      <c r="C6" s="30" t="s">
        <v>415</v>
      </c>
      <c r="D6" s="42">
        <v>20</v>
      </c>
      <c r="E6" s="42">
        <v>30</v>
      </c>
      <c r="F6" s="42">
        <v>50</v>
      </c>
      <c r="G6" s="42">
        <v>100</v>
      </c>
      <c r="H6" s="42">
        <v>300</v>
      </c>
      <c r="I6" s="42">
        <v>500</v>
      </c>
      <c r="J6" s="41">
        <v>2000</v>
      </c>
      <c r="K6" s="41">
        <v>10000</v>
      </c>
      <c r="L6" s="3"/>
      <c r="M6" s="3"/>
      <c r="N6" s="3"/>
      <c r="P6" s="4" t="s">
        <v>214</v>
      </c>
      <c r="Q6" s="4">
        <v>2023</v>
      </c>
      <c r="R6" s="4">
        <v>2030</v>
      </c>
      <c r="S6" s="4">
        <v>2040</v>
      </c>
    </row>
    <row r="7" spans="1:28" ht="15" thickBot="1">
      <c r="B7" s="3" t="s">
        <v>220</v>
      </c>
      <c r="C7" s="30" t="s">
        <v>221</v>
      </c>
      <c r="D7" s="42">
        <v>40.6</v>
      </c>
      <c r="E7" s="42">
        <v>58.2</v>
      </c>
      <c r="F7" s="42">
        <v>88.2</v>
      </c>
      <c r="G7" s="42">
        <v>155.6</v>
      </c>
      <c r="H7" s="42">
        <v>392.3</v>
      </c>
      <c r="I7" s="42">
        <v>585.4</v>
      </c>
      <c r="J7" s="42">
        <v>2000</v>
      </c>
      <c r="K7" s="42">
        <v>9148.9</v>
      </c>
      <c r="L7" s="3"/>
      <c r="M7" s="3"/>
      <c r="N7" s="3" t="s">
        <v>224</v>
      </c>
      <c r="P7" s="12" t="s">
        <v>416</v>
      </c>
      <c r="Q7" s="12">
        <v>3907.9</v>
      </c>
      <c r="R7" s="12">
        <v>3907.9</v>
      </c>
      <c r="S7" s="12">
        <v>3907.9</v>
      </c>
    </row>
    <row r="8" spans="1:28" ht="15" thickBot="1">
      <c r="B8" s="3" t="s">
        <v>417</v>
      </c>
      <c r="C8" s="5" t="s">
        <v>223</v>
      </c>
      <c r="D8" s="46">
        <v>32</v>
      </c>
      <c r="E8" s="46">
        <v>33</v>
      </c>
      <c r="F8" s="46">
        <v>34</v>
      </c>
      <c r="G8" s="46">
        <v>36</v>
      </c>
      <c r="H8" s="46">
        <v>39</v>
      </c>
      <c r="I8" s="46">
        <v>41</v>
      </c>
      <c r="J8" s="46">
        <v>44</v>
      </c>
      <c r="K8" s="46">
        <v>46</v>
      </c>
      <c r="L8" s="33"/>
      <c r="M8" s="3" t="s">
        <v>151</v>
      </c>
      <c r="N8" s="3" t="s">
        <v>250</v>
      </c>
      <c r="P8" s="12" t="s">
        <v>418</v>
      </c>
      <c r="Q8" s="12">
        <v>-0.13200000000000001</v>
      </c>
      <c r="R8" s="12">
        <v>-0.13200000000000001</v>
      </c>
      <c r="S8" s="12">
        <v>-0.13200000000000001</v>
      </c>
      <c r="AB8" s="44"/>
    </row>
    <row r="9" spans="1:28" ht="15" thickBot="1">
      <c r="B9" s="3" t="s">
        <v>419</v>
      </c>
      <c r="C9" s="5" t="s">
        <v>223</v>
      </c>
      <c r="D9" s="46">
        <v>65</v>
      </c>
      <c r="E9" s="46">
        <v>64</v>
      </c>
      <c r="F9" s="46">
        <v>60</v>
      </c>
      <c r="G9" s="46">
        <v>56</v>
      </c>
      <c r="H9" s="46">
        <v>51</v>
      </c>
      <c r="I9" s="46">
        <v>48</v>
      </c>
      <c r="J9" s="46">
        <v>44</v>
      </c>
      <c r="K9" s="46">
        <v>43</v>
      </c>
      <c r="L9" s="33"/>
      <c r="M9" s="3" t="s">
        <v>151</v>
      </c>
      <c r="N9" s="3" t="s">
        <v>250</v>
      </c>
      <c r="P9" s="12" t="s">
        <v>420</v>
      </c>
      <c r="Q9" s="12">
        <v>3898.9</v>
      </c>
      <c r="R9" s="12">
        <v>3898.9</v>
      </c>
      <c r="S9" s="12">
        <v>3898.9</v>
      </c>
      <c r="AB9" s="44"/>
    </row>
    <row r="10" spans="1:28" ht="15" thickBot="1">
      <c r="B10" s="3" t="s">
        <v>421</v>
      </c>
      <c r="C10" s="5" t="s">
        <v>223</v>
      </c>
      <c r="D10" s="46">
        <v>97</v>
      </c>
      <c r="E10" s="46">
        <v>97</v>
      </c>
      <c r="F10" s="46">
        <v>94</v>
      </c>
      <c r="G10" s="46">
        <v>92</v>
      </c>
      <c r="H10" s="46">
        <v>90</v>
      </c>
      <c r="I10" s="46">
        <v>89</v>
      </c>
      <c r="J10" s="46">
        <v>88</v>
      </c>
      <c r="K10" s="46">
        <v>89</v>
      </c>
      <c r="L10" s="33"/>
      <c r="M10" s="3" t="s">
        <v>151</v>
      </c>
      <c r="N10" s="3"/>
      <c r="P10" s="12" t="s">
        <v>422</v>
      </c>
      <c r="Q10" s="12">
        <v>-0.13100000000000001</v>
      </c>
      <c r="R10" s="12">
        <v>-0.13100000000000001</v>
      </c>
      <c r="S10" s="12">
        <v>-0.13100000000000001</v>
      </c>
    </row>
    <row r="11" spans="1:28" ht="15" thickBot="1">
      <c r="B11" s="3" t="s">
        <v>226</v>
      </c>
      <c r="C11" s="5" t="s">
        <v>227</v>
      </c>
      <c r="D11" s="3">
        <v>15</v>
      </c>
      <c r="E11" s="3">
        <v>15</v>
      </c>
      <c r="F11" s="3">
        <v>15</v>
      </c>
      <c r="G11" s="3">
        <v>15</v>
      </c>
      <c r="H11" s="3">
        <v>15</v>
      </c>
      <c r="I11" s="3">
        <v>15</v>
      </c>
      <c r="J11" s="3">
        <v>15</v>
      </c>
      <c r="K11" s="3">
        <v>15</v>
      </c>
      <c r="L11" s="3"/>
      <c r="M11" s="3" t="s">
        <v>303</v>
      </c>
      <c r="N11" s="3" t="s">
        <v>240</v>
      </c>
      <c r="P11" s="12"/>
      <c r="Q11" s="12"/>
      <c r="R11" s="12"/>
      <c r="S11" s="12"/>
    </row>
    <row r="12" spans="1:28" ht="15" thickBot="1">
      <c r="B12" s="1" t="s">
        <v>229</v>
      </c>
      <c r="C12" s="2" t="s">
        <v>216</v>
      </c>
      <c r="D12" s="1"/>
      <c r="E12" s="1"/>
      <c r="F12" s="1"/>
      <c r="G12" s="1"/>
      <c r="H12" s="1"/>
      <c r="I12" s="1"/>
      <c r="J12" s="1"/>
      <c r="K12" s="1"/>
      <c r="L12" s="1"/>
      <c r="M12" s="1"/>
      <c r="N12" s="1"/>
    </row>
    <row r="13" spans="1:28" ht="15" thickBot="1">
      <c r="B13" s="3" t="s">
        <v>230</v>
      </c>
      <c r="C13" s="3" t="s">
        <v>231</v>
      </c>
      <c r="D13" s="41">
        <v>2538</v>
      </c>
      <c r="E13" s="41">
        <v>2102</v>
      </c>
      <c r="F13" s="41">
        <v>2174</v>
      </c>
      <c r="G13" s="41">
        <v>2043</v>
      </c>
      <c r="H13" s="41">
        <v>1812</v>
      </c>
      <c r="I13" s="41">
        <v>1731</v>
      </c>
      <c r="J13" s="41">
        <v>1277</v>
      </c>
      <c r="K13" s="41">
        <v>1256</v>
      </c>
      <c r="L13" s="33">
        <v>0.2</v>
      </c>
      <c r="M13" s="3" t="s">
        <v>355</v>
      </c>
      <c r="N13" s="3" t="s">
        <v>244</v>
      </c>
      <c r="P13" s="4" t="s">
        <v>234</v>
      </c>
      <c r="Q13" s="12" t="s">
        <v>423</v>
      </c>
    </row>
    <row r="14" spans="1:28" ht="15" thickBot="1">
      <c r="B14" s="3" t="s">
        <v>230</v>
      </c>
      <c r="C14" s="3" t="s">
        <v>424</v>
      </c>
      <c r="D14" s="41">
        <v>5156</v>
      </c>
      <c r="E14" s="41">
        <v>4077</v>
      </c>
      <c r="F14" s="41">
        <v>3837</v>
      </c>
      <c r="G14" s="41">
        <v>3177</v>
      </c>
      <c r="H14" s="41">
        <v>2370</v>
      </c>
      <c r="I14" s="41">
        <v>2026</v>
      </c>
      <c r="J14" s="41">
        <v>1277</v>
      </c>
      <c r="K14" s="41">
        <v>1149</v>
      </c>
      <c r="L14" s="33">
        <v>0.2</v>
      </c>
      <c r="M14" s="3"/>
      <c r="N14" s="3"/>
    </row>
    <row r="15" spans="1:28" ht="15" thickBot="1">
      <c r="B15" s="36" t="s">
        <v>236</v>
      </c>
      <c r="C15" s="3" t="s">
        <v>223</v>
      </c>
      <c r="D15" s="46">
        <v>60</v>
      </c>
      <c r="E15" s="46">
        <v>59</v>
      </c>
      <c r="F15" s="46">
        <v>59</v>
      </c>
      <c r="G15" s="46">
        <v>56</v>
      </c>
      <c r="H15" s="46">
        <v>51</v>
      </c>
      <c r="I15" s="46">
        <v>52</v>
      </c>
      <c r="J15" s="46">
        <v>46</v>
      </c>
      <c r="K15" s="46">
        <v>46</v>
      </c>
      <c r="L15" s="3"/>
      <c r="M15" s="3" t="s">
        <v>151</v>
      </c>
      <c r="N15" s="3"/>
      <c r="P15" s="4" t="s">
        <v>148</v>
      </c>
    </row>
    <row r="16" spans="1:28" ht="15" thickBot="1">
      <c r="B16" s="36" t="s">
        <v>237</v>
      </c>
      <c r="C16" s="3" t="s">
        <v>223</v>
      </c>
      <c r="D16" s="46">
        <v>40</v>
      </c>
      <c r="E16" s="46">
        <v>41</v>
      </c>
      <c r="F16" s="46">
        <v>41</v>
      </c>
      <c r="G16" s="46">
        <v>44</v>
      </c>
      <c r="H16" s="46">
        <v>49</v>
      </c>
      <c r="I16" s="46">
        <v>48</v>
      </c>
      <c r="J16" s="46">
        <v>54</v>
      </c>
      <c r="K16" s="46">
        <v>54</v>
      </c>
      <c r="L16" s="3"/>
      <c r="M16" s="3" t="s">
        <v>151</v>
      </c>
      <c r="N16" s="3"/>
      <c r="P16" s="12" t="s">
        <v>240</v>
      </c>
      <c r="Q16" s="12" t="s">
        <v>427</v>
      </c>
    </row>
    <row r="17" spans="2:17" ht="15" thickBot="1">
      <c r="B17" s="30" t="s">
        <v>263</v>
      </c>
      <c r="C17" s="3" t="s">
        <v>428</v>
      </c>
      <c r="D17" s="34">
        <v>103</v>
      </c>
      <c r="E17" s="34">
        <v>122</v>
      </c>
      <c r="F17" s="34">
        <v>192</v>
      </c>
      <c r="G17" s="34">
        <v>318</v>
      </c>
      <c r="H17" s="34">
        <v>711</v>
      </c>
      <c r="I17" s="34">
        <v>1013</v>
      </c>
      <c r="J17" s="34">
        <v>2554</v>
      </c>
      <c r="K17" s="34">
        <v>11492</v>
      </c>
      <c r="L17" s="33">
        <v>0.2</v>
      </c>
      <c r="M17" s="3" t="s">
        <v>151</v>
      </c>
      <c r="N17" s="3"/>
      <c r="P17" s="12" t="s">
        <v>244</v>
      </c>
      <c r="Q17" s="12" t="s">
        <v>441</v>
      </c>
    </row>
    <row r="18" spans="2:17" ht="15" thickBot="1">
      <c r="B18" s="3" t="s">
        <v>242</v>
      </c>
      <c r="C18" s="3" t="s">
        <v>309</v>
      </c>
      <c r="D18" s="13">
        <v>86</v>
      </c>
      <c r="E18" s="13">
        <v>79</v>
      </c>
      <c r="F18" s="13">
        <v>74</v>
      </c>
      <c r="G18" s="13">
        <v>63</v>
      </c>
      <c r="H18" s="13">
        <v>38</v>
      </c>
      <c r="I18" s="13">
        <v>33</v>
      </c>
      <c r="J18" s="13">
        <v>13</v>
      </c>
      <c r="K18" s="13">
        <v>10</v>
      </c>
      <c r="L18" s="3"/>
      <c r="M18" s="3" t="s">
        <v>151</v>
      </c>
      <c r="N18" s="3"/>
      <c r="P18" s="12" t="s">
        <v>224</v>
      </c>
      <c r="Q18" s="12" t="s">
        <v>429</v>
      </c>
    </row>
    <row r="19" spans="2:17" ht="15" thickBot="1">
      <c r="B19" s="3" t="s">
        <v>242</v>
      </c>
      <c r="C19" s="3" t="s">
        <v>431</v>
      </c>
      <c r="D19" s="13">
        <v>174</v>
      </c>
      <c r="E19" s="13">
        <v>153</v>
      </c>
      <c r="F19" s="13">
        <v>131</v>
      </c>
      <c r="G19" s="13">
        <v>98</v>
      </c>
      <c r="H19" s="13">
        <v>49</v>
      </c>
      <c r="I19" s="13">
        <v>38</v>
      </c>
      <c r="J19" s="13">
        <v>13</v>
      </c>
      <c r="K19" s="13">
        <v>10</v>
      </c>
      <c r="L19" s="3"/>
      <c r="M19" s="3"/>
      <c r="N19" s="3"/>
      <c r="P19" s="12" t="s">
        <v>250</v>
      </c>
      <c r="Q19" s="12" t="s">
        <v>430</v>
      </c>
    </row>
    <row r="20" spans="2:17" ht="15" thickBot="1">
      <c r="B20" s="3" t="s">
        <v>433</v>
      </c>
      <c r="C20" s="3" t="s">
        <v>434</v>
      </c>
      <c r="D20" s="13">
        <v>21</v>
      </c>
      <c r="E20" s="13">
        <v>20</v>
      </c>
      <c r="F20" s="13">
        <v>20</v>
      </c>
      <c r="G20" s="13">
        <v>19</v>
      </c>
      <c r="H20" s="13">
        <v>17</v>
      </c>
      <c r="I20" s="13">
        <v>16</v>
      </c>
      <c r="J20" s="13">
        <v>11</v>
      </c>
      <c r="K20" s="13">
        <v>9</v>
      </c>
      <c r="L20" s="3"/>
      <c r="M20" s="3" t="s">
        <v>151</v>
      </c>
      <c r="N20" s="3"/>
    </row>
    <row r="21" spans="2:17" ht="15" thickBot="1">
      <c r="B21" s="3" t="s">
        <v>433</v>
      </c>
      <c r="C21" s="3" t="s">
        <v>435</v>
      </c>
      <c r="D21" s="13">
        <v>44</v>
      </c>
      <c r="E21" s="13">
        <v>39</v>
      </c>
      <c r="F21" s="13">
        <v>36</v>
      </c>
      <c r="G21" s="13">
        <v>29</v>
      </c>
      <c r="H21" s="13">
        <v>22</v>
      </c>
      <c r="I21" s="13">
        <v>19</v>
      </c>
      <c r="J21" s="13">
        <v>11</v>
      </c>
      <c r="K21" s="13">
        <v>8</v>
      </c>
      <c r="L21" s="3"/>
      <c r="M21" s="3" t="s">
        <v>151</v>
      </c>
      <c r="N21" s="3"/>
      <c r="P21" s="4" t="s">
        <v>147</v>
      </c>
    </row>
    <row r="22" spans="2:17" ht="15" thickBot="1">
      <c r="B22" s="1" t="s">
        <v>246</v>
      </c>
      <c r="C22" s="2" t="s">
        <v>216</v>
      </c>
      <c r="D22" s="1"/>
      <c r="E22" s="1"/>
      <c r="F22" s="1"/>
      <c r="G22" s="1"/>
      <c r="H22" s="1"/>
      <c r="I22" s="1"/>
      <c r="J22" s="1"/>
      <c r="K22" s="1"/>
      <c r="L22" s="1"/>
      <c r="M22" s="1"/>
      <c r="N22" s="1"/>
      <c r="P22" s="12" t="s">
        <v>151</v>
      </c>
      <c r="Q22" s="12" t="s">
        <v>436</v>
      </c>
    </row>
    <row r="23" spans="2:17" ht="15" thickBot="1">
      <c r="B23" s="3" t="s">
        <v>437</v>
      </c>
      <c r="C23" s="3" t="s">
        <v>231</v>
      </c>
      <c r="D23" s="41">
        <v>54</v>
      </c>
      <c r="E23" s="41">
        <v>37</v>
      </c>
      <c r="F23" s="41">
        <v>62</v>
      </c>
      <c r="G23" s="41">
        <v>105</v>
      </c>
      <c r="H23" s="41">
        <v>125</v>
      </c>
      <c r="I23" s="41">
        <v>121</v>
      </c>
      <c r="J23" s="41">
        <v>109</v>
      </c>
      <c r="K23" s="41">
        <v>98</v>
      </c>
      <c r="L23" s="3"/>
      <c r="M23" s="3" t="s">
        <v>151</v>
      </c>
      <c r="N23" s="3"/>
      <c r="P23" s="12" t="s">
        <v>184</v>
      </c>
      <c r="Q23" s="12" t="s">
        <v>185</v>
      </c>
    </row>
    <row r="24" spans="2:17" ht="15" thickBot="1">
      <c r="B24" s="3" t="s">
        <v>437</v>
      </c>
      <c r="C24" s="3" t="s">
        <v>424</v>
      </c>
      <c r="D24" s="41">
        <v>109</v>
      </c>
      <c r="E24" s="41">
        <v>73</v>
      </c>
      <c r="F24" s="41">
        <v>109</v>
      </c>
      <c r="G24" s="41">
        <v>164</v>
      </c>
      <c r="H24" s="41">
        <v>164</v>
      </c>
      <c r="I24" s="41">
        <v>142</v>
      </c>
      <c r="J24" s="41">
        <v>109</v>
      </c>
      <c r="K24" s="41">
        <v>107</v>
      </c>
      <c r="L24" s="3"/>
      <c r="M24" s="3" t="s">
        <v>151</v>
      </c>
      <c r="N24" s="3"/>
      <c r="P24" s="12" t="s">
        <v>186</v>
      </c>
      <c r="Q24" s="12" t="s">
        <v>438</v>
      </c>
    </row>
    <row r="25" spans="2:17" ht="15" thickBot="1">
      <c r="B25" s="3" t="s">
        <v>439</v>
      </c>
      <c r="C25" s="3" t="s">
        <v>231</v>
      </c>
      <c r="D25" s="41">
        <v>376</v>
      </c>
      <c r="E25" s="41">
        <v>365</v>
      </c>
      <c r="F25" s="41">
        <v>432</v>
      </c>
      <c r="G25" s="41">
        <v>350</v>
      </c>
      <c r="H25" s="41">
        <v>278</v>
      </c>
      <c r="I25" s="41">
        <v>307</v>
      </c>
      <c r="J25" s="41">
        <v>147</v>
      </c>
      <c r="K25" s="41">
        <v>132</v>
      </c>
      <c r="L25" s="3"/>
      <c r="M25" s="3"/>
      <c r="N25" s="3"/>
      <c r="P25" s="12" t="s">
        <v>188</v>
      </c>
      <c r="Q25" s="12" t="s">
        <v>265</v>
      </c>
    </row>
    <row r="26" spans="2:17" ht="15" thickBot="1">
      <c r="B26" s="3" t="s">
        <v>439</v>
      </c>
      <c r="C26" s="3" t="s">
        <v>424</v>
      </c>
      <c r="D26" s="41">
        <v>763</v>
      </c>
      <c r="E26" s="41">
        <v>709</v>
      </c>
      <c r="F26" s="41">
        <v>763</v>
      </c>
      <c r="G26" s="41">
        <v>545</v>
      </c>
      <c r="H26" s="41">
        <v>363</v>
      </c>
      <c r="I26" s="41">
        <v>360</v>
      </c>
      <c r="J26" s="41">
        <v>147</v>
      </c>
      <c r="K26" s="41">
        <v>93</v>
      </c>
      <c r="L26" s="3"/>
      <c r="M26" s="3"/>
      <c r="N26" s="3"/>
    </row>
    <row r="27" spans="2:17" ht="15" thickBot="1">
      <c r="B27" s="38" t="s">
        <v>263</v>
      </c>
      <c r="C27" s="38" t="s">
        <v>428</v>
      </c>
      <c r="D27" s="63">
        <v>121</v>
      </c>
      <c r="E27" s="63">
        <v>146</v>
      </c>
      <c r="F27" s="63">
        <v>235</v>
      </c>
      <c r="G27" s="63">
        <v>389</v>
      </c>
      <c r="H27" s="63">
        <v>869</v>
      </c>
      <c r="I27" s="63">
        <v>1264</v>
      </c>
      <c r="J27" s="63">
        <v>3066</v>
      </c>
      <c r="K27" s="63">
        <v>13602</v>
      </c>
      <c r="L27" s="33">
        <v>0.2</v>
      </c>
      <c r="M27" s="3"/>
      <c r="N27" s="3"/>
    </row>
    <row r="28" spans="2:17">
      <c r="J28" s="67"/>
    </row>
    <row r="29" spans="2:17">
      <c r="D29" s="9"/>
      <c r="E29" s="9"/>
      <c r="F29" s="9"/>
      <c r="G29" s="9"/>
      <c r="H29" s="9"/>
      <c r="I29" s="9"/>
      <c r="J29" s="9"/>
      <c r="K29" s="9"/>
      <c r="P29" s="12"/>
    </row>
    <row r="30" spans="2:17">
      <c r="B30" s="4" t="s">
        <v>214</v>
      </c>
      <c r="C30" s="4">
        <v>2030</v>
      </c>
    </row>
    <row r="31" spans="2:17" ht="15" thickBot="1">
      <c r="B31" s="1" t="s">
        <v>215</v>
      </c>
      <c r="C31" s="2" t="s">
        <v>216</v>
      </c>
      <c r="D31" s="1"/>
      <c r="E31" s="1"/>
      <c r="F31" s="1"/>
      <c r="G31" s="1"/>
      <c r="H31" s="1"/>
      <c r="I31" s="1"/>
      <c r="J31" s="1"/>
      <c r="K31" s="1"/>
      <c r="L31" s="1" t="s">
        <v>217</v>
      </c>
      <c r="M31" s="1" t="s">
        <v>147</v>
      </c>
      <c r="N31" s="1" t="s">
        <v>148</v>
      </c>
    </row>
    <row r="32" spans="2:17" ht="15" thickBot="1">
      <c r="B32" s="3" t="s">
        <v>414</v>
      </c>
      <c r="C32" s="30" t="s">
        <v>415</v>
      </c>
      <c r="D32" s="42">
        <v>20</v>
      </c>
      <c r="E32" s="42">
        <v>30</v>
      </c>
      <c r="F32" s="42">
        <v>50</v>
      </c>
      <c r="G32" s="42">
        <v>100</v>
      </c>
      <c r="H32" s="42">
        <v>300</v>
      </c>
      <c r="I32" s="42">
        <v>500</v>
      </c>
      <c r="J32" s="41">
        <v>2000</v>
      </c>
      <c r="K32" s="41">
        <v>10000</v>
      </c>
      <c r="L32" s="3"/>
      <c r="M32" s="3"/>
      <c r="N32" s="3"/>
    </row>
    <row r="33" spans="2:17" ht="15" thickBot="1">
      <c r="B33" s="3" t="s">
        <v>220</v>
      </c>
      <c r="C33" s="30" t="s">
        <v>221</v>
      </c>
      <c r="D33" s="42">
        <v>40.6</v>
      </c>
      <c r="E33" s="42">
        <v>58.2</v>
      </c>
      <c r="F33" s="42">
        <v>88.2</v>
      </c>
      <c r="G33" s="42">
        <v>155.6</v>
      </c>
      <c r="H33" s="42">
        <v>392.3</v>
      </c>
      <c r="I33" s="42">
        <v>585.4</v>
      </c>
      <c r="J33" s="42">
        <v>2000</v>
      </c>
      <c r="K33" s="42">
        <v>9347.7999999999993</v>
      </c>
      <c r="L33" s="3"/>
      <c r="M33" s="3"/>
      <c r="N33" s="3" t="s">
        <v>224</v>
      </c>
    </row>
    <row r="34" spans="2:17" ht="15" thickBot="1">
      <c r="B34" s="3" t="s">
        <v>417</v>
      </c>
      <c r="C34" s="5" t="s">
        <v>223</v>
      </c>
      <c r="D34" s="46">
        <v>32</v>
      </c>
      <c r="E34" s="46">
        <v>33</v>
      </c>
      <c r="F34" s="46">
        <v>34</v>
      </c>
      <c r="G34" s="46">
        <v>36</v>
      </c>
      <c r="H34" s="46">
        <v>39</v>
      </c>
      <c r="I34" s="46">
        <v>41</v>
      </c>
      <c r="J34" s="46">
        <v>44</v>
      </c>
      <c r="K34" s="46">
        <v>46</v>
      </c>
      <c r="L34" s="33"/>
      <c r="M34" s="3" t="s">
        <v>151</v>
      </c>
      <c r="N34" s="3" t="s">
        <v>250</v>
      </c>
    </row>
    <row r="35" spans="2:17" ht="15" thickBot="1">
      <c r="B35" s="3" t="s">
        <v>419</v>
      </c>
      <c r="C35" s="5" t="s">
        <v>223</v>
      </c>
      <c r="D35" s="46">
        <v>65</v>
      </c>
      <c r="E35" s="46">
        <v>64</v>
      </c>
      <c r="F35" s="46">
        <v>60</v>
      </c>
      <c r="G35" s="46">
        <v>56</v>
      </c>
      <c r="H35" s="46">
        <v>51</v>
      </c>
      <c r="I35" s="46">
        <v>48</v>
      </c>
      <c r="J35" s="46">
        <v>44</v>
      </c>
      <c r="K35" s="46">
        <v>43</v>
      </c>
      <c r="L35" s="33"/>
      <c r="M35" s="3" t="s">
        <v>151</v>
      </c>
      <c r="N35" s="3" t="s">
        <v>250</v>
      </c>
      <c r="P35" s="12"/>
    </row>
    <row r="36" spans="2:17" ht="15" thickBot="1">
      <c r="B36" s="3" t="s">
        <v>421</v>
      </c>
      <c r="C36" s="5" t="s">
        <v>223</v>
      </c>
      <c r="D36" s="46">
        <v>97</v>
      </c>
      <c r="E36" s="46">
        <v>97</v>
      </c>
      <c r="F36" s="46">
        <v>94</v>
      </c>
      <c r="G36" s="46">
        <v>92</v>
      </c>
      <c r="H36" s="46">
        <v>90</v>
      </c>
      <c r="I36" s="46">
        <v>89</v>
      </c>
      <c r="J36" s="46">
        <v>88</v>
      </c>
      <c r="K36" s="46">
        <v>89</v>
      </c>
      <c r="L36" s="33"/>
      <c r="M36" s="3" t="s">
        <v>151</v>
      </c>
      <c r="N36" s="3"/>
      <c r="P36" s="12"/>
    </row>
    <row r="37" spans="2:17" ht="15" thickBot="1">
      <c r="B37" s="3" t="s">
        <v>226</v>
      </c>
      <c r="C37" s="5" t="s">
        <v>227</v>
      </c>
      <c r="D37" s="3">
        <v>15</v>
      </c>
      <c r="E37" s="3">
        <v>15</v>
      </c>
      <c r="F37" s="3">
        <v>15</v>
      </c>
      <c r="G37" s="3">
        <v>15</v>
      </c>
      <c r="H37" s="3">
        <v>15</v>
      </c>
      <c r="I37" s="3">
        <v>15</v>
      </c>
      <c r="J37" s="3">
        <v>15</v>
      </c>
      <c r="K37" s="3">
        <v>15</v>
      </c>
      <c r="L37" s="3"/>
      <c r="M37" s="3" t="s">
        <v>303</v>
      </c>
      <c r="N37" s="3" t="s">
        <v>240</v>
      </c>
      <c r="P37" s="12"/>
    </row>
    <row r="38" spans="2:17" ht="15" thickBot="1">
      <c r="B38" s="1" t="s">
        <v>229</v>
      </c>
      <c r="C38" s="2" t="s">
        <v>216</v>
      </c>
      <c r="D38" s="1"/>
      <c r="E38" s="1"/>
      <c r="F38" s="1"/>
      <c r="G38" s="1"/>
      <c r="H38" s="1"/>
      <c r="I38" s="1"/>
      <c r="J38" s="1"/>
      <c r="K38" s="1"/>
      <c r="L38" s="1"/>
      <c r="M38" s="1"/>
      <c r="N38" s="1"/>
      <c r="P38" s="12"/>
      <c r="Q38" s="12"/>
    </row>
    <row r="39" spans="2:17" ht="15" thickBot="1">
      <c r="B39" s="3" t="s">
        <v>230</v>
      </c>
      <c r="C39" s="3" t="s">
        <v>231</v>
      </c>
      <c r="D39" s="41">
        <v>2538</v>
      </c>
      <c r="E39" s="41">
        <v>2102</v>
      </c>
      <c r="F39" s="41">
        <v>2174</v>
      </c>
      <c r="G39" s="41">
        <v>2043</v>
      </c>
      <c r="H39" s="41">
        <v>1812</v>
      </c>
      <c r="I39" s="41">
        <v>1731</v>
      </c>
      <c r="J39" s="41">
        <v>1277</v>
      </c>
      <c r="K39" s="41">
        <v>1256</v>
      </c>
      <c r="L39" s="33">
        <v>0.3</v>
      </c>
      <c r="M39" s="3" t="s">
        <v>151</v>
      </c>
      <c r="N39" s="3" t="s">
        <v>244</v>
      </c>
      <c r="P39" s="12"/>
    </row>
    <row r="40" spans="2:17" ht="15" thickBot="1">
      <c r="B40" s="3" t="s">
        <v>230</v>
      </c>
      <c r="C40" s="3" t="s">
        <v>424</v>
      </c>
      <c r="D40" s="41">
        <v>5156</v>
      </c>
      <c r="E40" s="41">
        <v>4077</v>
      </c>
      <c r="F40" s="41">
        <v>3837</v>
      </c>
      <c r="G40" s="41">
        <v>3177</v>
      </c>
      <c r="H40" s="41">
        <v>2370</v>
      </c>
      <c r="I40" s="41">
        <v>2026</v>
      </c>
      <c r="J40" s="41">
        <v>1277</v>
      </c>
      <c r="K40" s="41">
        <v>1174</v>
      </c>
      <c r="L40" s="33">
        <v>0.3</v>
      </c>
      <c r="M40" s="3"/>
      <c r="N40" s="3"/>
      <c r="P40" s="12"/>
      <c r="Q40" s="12"/>
    </row>
    <row r="41" spans="2:17" ht="15" thickBot="1">
      <c r="B41" s="36" t="s">
        <v>236</v>
      </c>
      <c r="C41" s="3" t="s">
        <v>223</v>
      </c>
      <c r="D41" s="46">
        <v>60</v>
      </c>
      <c r="E41" s="46">
        <v>59</v>
      </c>
      <c r="F41" s="46">
        <v>59</v>
      </c>
      <c r="G41" s="46">
        <v>56</v>
      </c>
      <c r="H41" s="46">
        <v>51</v>
      </c>
      <c r="I41" s="46">
        <v>52</v>
      </c>
      <c r="J41" s="46">
        <v>46</v>
      </c>
      <c r="K41" s="46">
        <v>46</v>
      </c>
      <c r="L41" s="3"/>
      <c r="M41" s="3" t="s">
        <v>151</v>
      </c>
      <c r="N41" s="3"/>
    </row>
    <row r="42" spans="2:17" ht="15" thickBot="1">
      <c r="B42" s="36" t="s">
        <v>237</v>
      </c>
      <c r="C42" s="3" t="s">
        <v>223</v>
      </c>
      <c r="D42" s="46">
        <v>40</v>
      </c>
      <c r="E42" s="46">
        <v>41</v>
      </c>
      <c r="F42" s="46">
        <v>41</v>
      </c>
      <c r="G42" s="46">
        <v>44</v>
      </c>
      <c r="H42" s="46">
        <v>49</v>
      </c>
      <c r="I42" s="46">
        <v>48</v>
      </c>
      <c r="J42" s="46">
        <v>54</v>
      </c>
      <c r="K42" s="46">
        <v>54</v>
      </c>
      <c r="L42" s="3"/>
      <c r="M42" s="3" t="s">
        <v>151</v>
      </c>
      <c r="N42" s="3"/>
      <c r="P42" s="4"/>
      <c r="Q42" s="12"/>
    </row>
    <row r="43" spans="2:17" ht="15" thickBot="1">
      <c r="B43" s="30" t="s">
        <v>263</v>
      </c>
      <c r="C43" s="3" t="s">
        <v>428</v>
      </c>
      <c r="D43" s="34">
        <v>103</v>
      </c>
      <c r="E43" s="34">
        <v>122</v>
      </c>
      <c r="F43" s="34">
        <v>192</v>
      </c>
      <c r="G43" s="34">
        <v>318</v>
      </c>
      <c r="H43" s="34">
        <v>711</v>
      </c>
      <c r="I43" s="34">
        <v>1013</v>
      </c>
      <c r="J43" s="34">
        <v>2554</v>
      </c>
      <c r="K43" s="34">
        <v>11742</v>
      </c>
      <c r="L43" s="33">
        <v>0.3</v>
      </c>
      <c r="M43" s="3" t="s">
        <v>151</v>
      </c>
      <c r="N43" s="3"/>
      <c r="P43" s="12"/>
    </row>
    <row r="44" spans="2:17" ht="15" thickBot="1">
      <c r="B44" s="3" t="s">
        <v>242</v>
      </c>
      <c r="C44" s="3" t="s">
        <v>309</v>
      </c>
      <c r="D44" s="13">
        <v>86</v>
      </c>
      <c r="E44" s="13">
        <v>79</v>
      </c>
      <c r="F44" s="13">
        <v>74</v>
      </c>
      <c r="G44" s="13">
        <v>63</v>
      </c>
      <c r="H44" s="13">
        <v>38</v>
      </c>
      <c r="I44" s="13">
        <v>33</v>
      </c>
      <c r="J44" s="13">
        <v>13</v>
      </c>
      <c r="K44" s="13">
        <v>10</v>
      </c>
      <c r="L44" s="3"/>
      <c r="M44" s="3" t="s">
        <v>151</v>
      </c>
      <c r="N44" s="3"/>
      <c r="P44" s="12"/>
    </row>
    <row r="45" spans="2:17" ht="15" thickBot="1">
      <c r="B45" s="3" t="s">
        <v>242</v>
      </c>
      <c r="C45" s="3" t="s">
        <v>431</v>
      </c>
      <c r="D45" s="13">
        <v>174</v>
      </c>
      <c r="E45" s="13">
        <v>153</v>
      </c>
      <c r="F45" s="13">
        <v>131</v>
      </c>
      <c r="G45" s="13">
        <v>98</v>
      </c>
      <c r="H45" s="13">
        <v>49</v>
      </c>
      <c r="I45" s="13">
        <v>38</v>
      </c>
      <c r="J45" s="13">
        <v>13</v>
      </c>
      <c r="K45" s="13">
        <v>10</v>
      </c>
      <c r="L45" s="3"/>
      <c r="M45" s="3"/>
      <c r="N45" s="3"/>
    </row>
    <row r="46" spans="2:17" ht="15" thickBot="1">
      <c r="B46" s="3" t="s">
        <v>433</v>
      </c>
      <c r="C46" s="3" t="s">
        <v>434</v>
      </c>
      <c r="D46" s="13">
        <v>21</v>
      </c>
      <c r="E46" s="13">
        <v>20</v>
      </c>
      <c r="F46" s="13">
        <v>20</v>
      </c>
      <c r="G46" s="13">
        <v>19</v>
      </c>
      <c r="H46" s="13">
        <v>17</v>
      </c>
      <c r="I46" s="13">
        <v>16</v>
      </c>
      <c r="J46" s="13">
        <v>11</v>
      </c>
      <c r="K46" s="13">
        <v>9</v>
      </c>
      <c r="L46" s="3"/>
      <c r="M46" s="3" t="s">
        <v>151</v>
      </c>
      <c r="N46" s="3"/>
    </row>
    <row r="47" spans="2:17" ht="15" thickBot="1">
      <c r="B47" s="3" t="s">
        <v>433</v>
      </c>
      <c r="C47" s="3" t="s">
        <v>435</v>
      </c>
      <c r="D47" s="13">
        <v>44</v>
      </c>
      <c r="E47" s="13">
        <v>39</v>
      </c>
      <c r="F47" s="13">
        <v>36</v>
      </c>
      <c r="G47" s="13">
        <v>29</v>
      </c>
      <c r="H47" s="13">
        <v>22</v>
      </c>
      <c r="I47" s="13">
        <v>19</v>
      </c>
      <c r="J47" s="13">
        <v>11</v>
      </c>
      <c r="K47" s="13">
        <v>8</v>
      </c>
      <c r="L47" s="3"/>
      <c r="M47" s="3" t="s">
        <v>151</v>
      </c>
      <c r="N47" s="3"/>
    </row>
    <row r="48" spans="2:17" ht="15" thickBot="1">
      <c r="B48" s="1" t="s">
        <v>246</v>
      </c>
      <c r="C48" s="2" t="s">
        <v>216</v>
      </c>
      <c r="D48" s="1"/>
      <c r="E48" s="1"/>
      <c r="F48" s="1"/>
      <c r="G48" s="1"/>
      <c r="H48" s="1"/>
      <c r="I48" s="1"/>
      <c r="J48" s="1"/>
      <c r="K48" s="1"/>
      <c r="L48" s="1"/>
      <c r="M48" s="1"/>
      <c r="N48" s="1"/>
    </row>
    <row r="49" spans="2:14" ht="15" thickBot="1">
      <c r="B49" s="3" t="s">
        <v>437</v>
      </c>
      <c r="C49" s="3" t="s">
        <v>231</v>
      </c>
      <c r="D49" s="13">
        <v>54</v>
      </c>
      <c r="E49" s="13">
        <v>37</v>
      </c>
      <c r="F49" s="13">
        <v>62</v>
      </c>
      <c r="G49" s="13">
        <v>105</v>
      </c>
      <c r="H49" s="13">
        <v>125</v>
      </c>
      <c r="I49" s="13">
        <v>121</v>
      </c>
      <c r="J49" s="13">
        <v>109</v>
      </c>
      <c r="K49" s="13">
        <v>98</v>
      </c>
      <c r="L49" s="3"/>
      <c r="M49" s="3" t="s">
        <v>151</v>
      </c>
      <c r="N49" s="3"/>
    </row>
    <row r="50" spans="2:14" ht="15" thickBot="1">
      <c r="B50" s="3" t="s">
        <v>437</v>
      </c>
      <c r="C50" s="3" t="s">
        <v>424</v>
      </c>
      <c r="D50" s="13">
        <v>109</v>
      </c>
      <c r="E50" s="13">
        <v>73</v>
      </c>
      <c r="F50" s="13">
        <v>109</v>
      </c>
      <c r="G50" s="13">
        <v>164</v>
      </c>
      <c r="H50" s="13">
        <v>164</v>
      </c>
      <c r="I50" s="13">
        <v>142</v>
      </c>
      <c r="J50" s="13">
        <v>109</v>
      </c>
      <c r="K50" s="13">
        <v>107</v>
      </c>
      <c r="L50" s="3"/>
      <c r="M50" s="3" t="s">
        <v>151</v>
      </c>
      <c r="N50" s="3"/>
    </row>
    <row r="51" spans="2:14" ht="15" thickBot="1">
      <c r="B51" s="3" t="s">
        <v>439</v>
      </c>
      <c r="C51" s="3" t="s">
        <v>231</v>
      </c>
      <c r="D51" s="13">
        <v>376</v>
      </c>
      <c r="E51" s="13">
        <v>365</v>
      </c>
      <c r="F51" s="13">
        <v>432</v>
      </c>
      <c r="G51" s="13">
        <v>350</v>
      </c>
      <c r="H51" s="13">
        <v>278</v>
      </c>
      <c r="I51" s="13">
        <v>307</v>
      </c>
      <c r="J51" s="13">
        <v>147</v>
      </c>
      <c r="K51" s="13">
        <v>132</v>
      </c>
      <c r="L51" s="3"/>
      <c r="M51" s="3"/>
      <c r="N51" s="3"/>
    </row>
    <row r="52" spans="2:14" ht="15" thickBot="1">
      <c r="B52" s="3" t="s">
        <v>439</v>
      </c>
      <c r="C52" s="3" t="s">
        <v>424</v>
      </c>
      <c r="D52" s="13">
        <v>763</v>
      </c>
      <c r="E52" s="13">
        <v>709</v>
      </c>
      <c r="F52" s="13">
        <v>763</v>
      </c>
      <c r="G52" s="13">
        <v>545</v>
      </c>
      <c r="H52" s="13">
        <v>363</v>
      </c>
      <c r="I52" s="13">
        <v>360</v>
      </c>
      <c r="J52" s="13">
        <v>147</v>
      </c>
      <c r="K52" s="13">
        <v>93</v>
      </c>
      <c r="L52" s="3"/>
      <c r="M52" s="3"/>
      <c r="N52" s="3"/>
    </row>
    <row r="53" spans="2:14" ht="15" thickBot="1">
      <c r="B53" s="38" t="s">
        <v>263</v>
      </c>
      <c r="C53" s="38" t="s">
        <v>428</v>
      </c>
      <c r="D53" s="63">
        <v>121</v>
      </c>
      <c r="E53" s="63">
        <v>146</v>
      </c>
      <c r="F53" s="63">
        <v>235</v>
      </c>
      <c r="G53" s="63">
        <v>389</v>
      </c>
      <c r="H53" s="63">
        <v>869</v>
      </c>
      <c r="I53" s="63">
        <v>1264</v>
      </c>
      <c r="J53" s="63">
        <v>3066</v>
      </c>
      <c r="K53" s="63">
        <v>13897</v>
      </c>
      <c r="L53" s="33">
        <v>0.3</v>
      </c>
      <c r="M53" s="3"/>
      <c r="N53" s="3"/>
    </row>
    <row r="56" spans="2:14">
      <c r="B56" s="4" t="s">
        <v>214</v>
      </c>
      <c r="C56" s="4">
        <v>2040</v>
      </c>
    </row>
    <row r="57" spans="2:14" ht="15" thickBot="1">
      <c r="B57" s="1" t="s">
        <v>215</v>
      </c>
      <c r="C57" s="2" t="s">
        <v>216</v>
      </c>
      <c r="D57" s="1"/>
      <c r="E57" s="1"/>
      <c r="F57" s="1"/>
      <c r="G57" s="1"/>
      <c r="H57" s="1"/>
      <c r="I57" s="1"/>
      <c r="J57" s="1"/>
      <c r="K57" s="1"/>
      <c r="L57" s="1" t="s">
        <v>217</v>
      </c>
      <c r="M57" s="1" t="s">
        <v>147</v>
      </c>
      <c r="N57" s="1" t="s">
        <v>148</v>
      </c>
    </row>
    <row r="58" spans="2:14" ht="15" thickBot="1">
      <c r="B58" s="3" t="s">
        <v>414</v>
      </c>
      <c r="C58" s="30" t="s">
        <v>415</v>
      </c>
      <c r="D58" s="42">
        <v>20</v>
      </c>
      <c r="E58" s="42">
        <v>30</v>
      </c>
      <c r="F58" s="42">
        <v>50</v>
      </c>
      <c r="G58" s="42">
        <v>100</v>
      </c>
      <c r="H58" s="42">
        <v>300</v>
      </c>
      <c r="I58" s="42">
        <v>500</v>
      </c>
      <c r="J58" s="41">
        <v>2000</v>
      </c>
      <c r="K58" s="41">
        <v>10000</v>
      </c>
      <c r="L58" s="3"/>
      <c r="M58" s="3"/>
      <c r="N58" s="3"/>
    </row>
    <row r="59" spans="2:14" ht="15" thickBot="1">
      <c r="B59" s="3" t="s">
        <v>220</v>
      </c>
      <c r="C59" s="30" t="s">
        <v>221</v>
      </c>
      <c r="D59" s="42">
        <v>40.6</v>
      </c>
      <c r="E59" s="42">
        <v>58.2</v>
      </c>
      <c r="F59" s="42">
        <v>88.2</v>
      </c>
      <c r="G59" s="42">
        <v>155.6</v>
      </c>
      <c r="H59" s="42">
        <v>392.3</v>
      </c>
      <c r="I59" s="42">
        <v>585.4</v>
      </c>
      <c r="J59" s="42">
        <v>2000</v>
      </c>
      <c r="K59" s="42">
        <v>9347.7999999999993</v>
      </c>
      <c r="L59" s="3"/>
      <c r="M59" s="3"/>
      <c r="N59" s="3" t="s">
        <v>224</v>
      </c>
    </row>
    <row r="60" spans="2:14" ht="15" thickBot="1">
      <c r="B60" s="3" t="s">
        <v>417</v>
      </c>
      <c r="C60" s="5" t="s">
        <v>223</v>
      </c>
      <c r="D60" s="46">
        <v>32</v>
      </c>
      <c r="E60" s="46">
        <v>33</v>
      </c>
      <c r="F60" s="46">
        <v>34</v>
      </c>
      <c r="G60" s="46">
        <v>36</v>
      </c>
      <c r="H60" s="46">
        <v>39</v>
      </c>
      <c r="I60" s="46">
        <v>41</v>
      </c>
      <c r="J60" s="46">
        <v>44</v>
      </c>
      <c r="K60" s="46">
        <v>46</v>
      </c>
      <c r="L60" s="33"/>
      <c r="M60" s="3" t="s">
        <v>151</v>
      </c>
      <c r="N60" s="3" t="s">
        <v>250</v>
      </c>
    </row>
    <row r="61" spans="2:14" ht="15" thickBot="1">
      <c r="B61" s="3" t="s">
        <v>419</v>
      </c>
      <c r="C61" s="5" t="s">
        <v>223</v>
      </c>
      <c r="D61" s="46">
        <v>65</v>
      </c>
      <c r="E61" s="46">
        <v>64</v>
      </c>
      <c r="F61" s="46">
        <v>60</v>
      </c>
      <c r="G61" s="46">
        <v>56</v>
      </c>
      <c r="H61" s="46">
        <v>51</v>
      </c>
      <c r="I61" s="46">
        <v>48</v>
      </c>
      <c r="J61" s="46">
        <v>44</v>
      </c>
      <c r="K61" s="46">
        <v>43</v>
      </c>
      <c r="L61" s="33"/>
      <c r="M61" s="3" t="s">
        <v>151</v>
      </c>
      <c r="N61" s="3" t="s">
        <v>250</v>
      </c>
    </row>
    <row r="62" spans="2:14" ht="15" thickBot="1">
      <c r="B62" s="3" t="s">
        <v>421</v>
      </c>
      <c r="C62" s="5" t="s">
        <v>223</v>
      </c>
      <c r="D62" s="46">
        <v>97</v>
      </c>
      <c r="E62" s="46">
        <v>97</v>
      </c>
      <c r="F62" s="46">
        <v>94</v>
      </c>
      <c r="G62" s="46">
        <v>92</v>
      </c>
      <c r="H62" s="46">
        <v>90</v>
      </c>
      <c r="I62" s="46">
        <v>89</v>
      </c>
      <c r="J62" s="46">
        <v>88</v>
      </c>
      <c r="K62" s="46">
        <v>89</v>
      </c>
      <c r="L62" s="33"/>
      <c r="M62" s="3" t="s">
        <v>151</v>
      </c>
      <c r="N62" s="3"/>
    </row>
    <row r="63" spans="2:14" ht="15" thickBot="1">
      <c r="B63" s="3" t="s">
        <v>226</v>
      </c>
      <c r="C63" s="5" t="s">
        <v>227</v>
      </c>
      <c r="D63" s="3">
        <v>15</v>
      </c>
      <c r="E63" s="3">
        <v>15</v>
      </c>
      <c r="F63" s="3">
        <v>15</v>
      </c>
      <c r="G63" s="3">
        <v>15</v>
      </c>
      <c r="H63" s="3">
        <v>15</v>
      </c>
      <c r="I63" s="3">
        <v>15</v>
      </c>
      <c r="J63" s="3">
        <v>15</v>
      </c>
      <c r="K63" s="3">
        <v>15</v>
      </c>
      <c r="L63" s="3"/>
      <c r="M63" s="3" t="s">
        <v>303</v>
      </c>
      <c r="N63" s="3" t="s">
        <v>240</v>
      </c>
    </row>
    <row r="64" spans="2:14" ht="15" thickBot="1">
      <c r="B64" s="1" t="s">
        <v>229</v>
      </c>
      <c r="C64" s="2" t="s">
        <v>216</v>
      </c>
      <c r="D64" s="1"/>
      <c r="E64" s="1"/>
      <c r="F64" s="1"/>
      <c r="G64" s="1"/>
      <c r="H64" s="1"/>
      <c r="I64" s="1"/>
      <c r="J64" s="1"/>
      <c r="K64" s="1"/>
      <c r="L64" s="1"/>
      <c r="M64" s="1"/>
      <c r="N64" s="1"/>
    </row>
    <row r="65" spans="2:14" ht="15" thickBot="1">
      <c r="B65" s="3" t="s">
        <v>230</v>
      </c>
      <c r="C65" s="3" t="s">
        <v>231</v>
      </c>
      <c r="D65" s="41">
        <v>2538</v>
      </c>
      <c r="E65" s="41">
        <v>2102</v>
      </c>
      <c r="F65" s="41">
        <v>2174</v>
      </c>
      <c r="G65" s="41">
        <v>2043</v>
      </c>
      <c r="H65" s="41">
        <v>1812</v>
      </c>
      <c r="I65" s="41">
        <v>1731</v>
      </c>
      <c r="J65" s="41">
        <v>1277</v>
      </c>
      <c r="K65" s="41">
        <v>1256</v>
      </c>
      <c r="L65" s="33">
        <v>0.4</v>
      </c>
      <c r="M65" s="3" t="s">
        <v>151</v>
      </c>
      <c r="N65" s="3" t="s">
        <v>244</v>
      </c>
    </row>
    <row r="66" spans="2:14" ht="15" thickBot="1">
      <c r="B66" s="3" t="s">
        <v>230</v>
      </c>
      <c r="C66" s="3" t="s">
        <v>424</v>
      </c>
      <c r="D66" s="41">
        <v>5156</v>
      </c>
      <c r="E66" s="41">
        <v>4077</v>
      </c>
      <c r="F66" s="41">
        <v>3837</v>
      </c>
      <c r="G66" s="41">
        <v>3177</v>
      </c>
      <c r="H66" s="41">
        <v>2370</v>
      </c>
      <c r="I66" s="41">
        <v>2026</v>
      </c>
      <c r="J66" s="41">
        <v>1277</v>
      </c>
      <c r="K66" s="41">
        <v>1174</v>
      </c>
      <c r="L66" s="33">
        <v>0.4</v>
      </c>
      <c r="M66" s="3"/>
      <c r="N66" s="3"/>
    </row>
    <row r="67" spans="2:14" ht="15" thickBot="1">
      <c r="B67" s="36" t="s">
        <v>236</v>
      </c>
      <c r="C67" s="3" t="s">
        <v>223</v>
      </c>
      <c r="D67" s="46">
        <v>60</v>
      </c>
      <c r="E67" s="46">
        <v>59</v>
      </c>
      <c r="F67" s="46">
        <v>59</v>
      </c>
      <c r="G67" s="46">
        <v>56</v>
      </c>
      <c r="H67" s="46">
        <v>51</v>
      </c>
      <c r="I67" s="46">
        <v>52</v>
      </c>
      <c r="J67" s="46">
        <v>46</v>
      </c>
      <c r="K67" s="46">
        <v>46</v>
      </c>
      <c r="L67" s="3"/>
      <c r="M67" s="3" t="s">
        <v>151</v>
      </c>
      <c r="N67" s="3"/>
    </row>
    <row r="68" spans="2:14" ht="15" thickBot="1">
      <c r="B68" s="36" t="s">
        <v>237</v>
      </c>
      <c r="C68" s="3" t="s">
        <v>223</v>
      </c>
      <c r="D68" s="46">
        <v>40</v>
      </c>
      <c r="E68" s="46">
        <v>41</v>
      </c>
      <c r="F68" s="46">
        <v>41</v>
      </c>
      <c r="G68" s="46">
        <v>44</v>
      </c>
      <c r="H68" s="46">
        <v>49</v>
      </c>
      <c r="I68" s="46">
        <v>48</v>
      </c>
      <c r="J68" s="46">
        <v>54</v>
      </c>
      <c r="K68" s="46">
        <v>54</v>
      </c>
      <c r="L68" s="3"/>
      <c r="M68" s="3" t="s">
        <v>151</v>
      </c>
      <c r="N68" s="3"/>
    </row>
    <row r="69" spans="2:14" ht="15" thickBot="1">
      <c r="B69" s="30" t="s">
        <v>263</v>
      </c>
      <c r="C69" s="3" t="s">
        <v>428</v>
      </c>
      <c r="D69" s="34">
        <v>103</v>
      </c>
      <c r="E69" s="34">
        <v>122</v>
      </c>
      <c r="F69" s="34">
        <v>192</v>
      </c>
      <c r="G69" s="34">
        <v>318</v>
      </c>
      <c r="H69" s="34">
        <v>711</v>
      </c>
      <c r="I69" s="34">
        <v>1013</v>
      </c>
      <c r="J69" s="34">
        <v>2554</v>
      </c>
      <c r="K69" s="34">
        <v>11742</v>
      </c>
      <c r="L69" s="33">
        <v>0.4</v>
      </c>
      <c r="M69" s="3" t="s">
        <v>151</v>
      </c>
      <c r="N69" s="3"/>
    </row>
    <row r="70" spans="2:14" ht="15" thickBot="1">
      <c r="B70" s="3" t="s">
        <v>242</v>
      </c>
      <c r="C70" s="3" t="s">
        <v>309</v>
      </c>
      <c r="D70" s="13">
        <v>86</v>
      </c>
      <c r="E70" s="13">
        <v>79</v>
      </c>
      <c r="F70" s="13">
        <v>74</v>
      </c>
      <c r="G70" s="13">
        <v>63</v>
      </c>
      <c r="H70" s="13">
        <v>38</v>
      </c>
      <c r="I70" s="13">
        <v>33</v>
      </c>
      <c r="J70" s="13">
        <v>13</v>
      </c>
      <c r="K70" s="13">
        <v>10</v>
      </c>
      <c r="L70" s="3"/>
      <c r="M70" s="3" t="s">
        <v>151</v>
      </c>
      <c r="N70" s="3"/>
    </row>
    <row r="71" spans="2:14" ht="15" thickBot="1">
      <c r="B71" s="3" t="s">
        <v>242</v>
      </c>
      <c r="C71" s="3" t="s">
        <v>431</v>
      </c>
      <c r="D71" s="13">
        <v>174</v>
      </c>
      <c r="E71" s="13">
        <v>153</v>
      </c>
      <c r="F71" s="13">
        <v>131</v>
      </c>
      <c r="G71" s="13">
        <v>98</v>
      </c>
      <c r="H71" s="13">
        <v>49</v>
      </c>
      <c r="I71" s="13">
        <v>38</v>
      </c>
      <c r="J71" s="13">
        <v>13</v>
      </c>
      <c r="K71" s="13">
        <v>10</v>
      </c>
      <c r="L71" s="3"/>
      <c r="M71" s="3"/>
      <c r="N71" s="3"/>
    </row>
    <row r="72" spans="2:14" ht="15" thickBot="1">
      <c r="B72" s="3" t="s">
        <v>433</v>
      </c>
      <c r="C72" s="3" t="s">
        <v>434</v>
      </c>
      <c r="D72" s="13">
        <v>21</v>
      </c>
      <c r="E72" s="13">
        <v>20</v>
      </c>
      <c r="F72" s="13">
        <v>20</v>
      </c>
      <c r="G72" s="13">
        <v>19</v>
      </c>
      <c r="H72" s="13">
        <v>17</v>
      </c>
      <c r="I72" s="13">
        <v>16</v>
      </c>
      <c r="J72" s="13">
        <v>11</v>
      </c>
      <c r="K72" s="13">
        <v>9</v>
      </c>
      <c r="L72" s="3"/>
      <c r="M72" s="3" t="s">
        <v>151</v>
      </c>
      <c r="N72" s="3"/>
    </row>
    <row r="73" spans="2:14" ht="15" thickBot="1">
      <c r="B73" s="3" t="s">
        <v>433</v>
      </c>
      <c r="C73" s="3" t="s">
        <v>435</v>
      </c>
      <c r="D73" s="13">
        <v>44</v>
      </c>
      <c r="E73" s="13">
        <v>39</v>
      </c>
      <c r="F73" s="13">
        <v>36</v>
      </c>
      <c r="G73" s="13">
        <v>29</v>
      </c>
      <c r="H73" s="13">
        <v>22</v>
      </c>
      <c r="I73" s="13">
        <v>19</v>
      </c>
      <c r="J73" s="13">
        <v>11</v>
      </c>
      <c r="K73" s="13">
        <v>8</v>
      </c>
      <c r="L73" s="3"/>
      <c r="M73" s="3" t="s">
        <v>151</v>
      </c>
      <c r="N73" s="3"/>
    </row>
    <row r="74" spans="2:14" ht="15" thickBot="1">
      <c r="B74" s="1" t="s">
        <v>246</v>
      </c>
      <c r="C74" s="2" t="s">
        <v>216</v>
      </c>
      <c r="D74" s="1"/>
      <c r="E74" s="1"/>
      <c r="F74" s="1"/>
      <c r="G74" s="1"/>
      <c r="H74" s="1"/>
      <c r="I74" s="1"/>
      <c r="J74" s="1"/>
      <c r="K74" s="1"/>
      <c r="L74" s="1"/>
      <c r="M74" s="1"/>
      <c r="N74" s="1"/>
    </row>
    <row r="75" spans="2:14" ht="15" thickBot="1">
      <c r="B75" s="3" t="s">
        <v>437</v>
      </c>
      <c r="C75" s="3" t="s">
        <v>231</v>
      </c>
      <c r="D75" s="13">
        <v>54</v>
      </c>
      <c r="E75" s="13">
        <v>37</v>
      </c>
      <c r="F75" s="13">
        <v>62</v>
      </c>
      <c r="G75" s="13">
        <v>105</v>
      </c>
      <c r="H75" s="13">
        <v>125</v>
      </c>
      <c r="I75" s="13">
        <v>121</v>
      </c>
      <c r="J75" s="13">
        <v>109</v>
      </c>
      <c r="K75" s="13">
        <v>98</v>
      </c>
      <c r="L75" s="3"/>
      <c r="M75" s="3" t="s">
        <v>151</v>
      </c>
      <c r="N75" s="3"/>
    </row>
    <row r="76" spans="2:14" ht="15" thickBot="1">
      <c r="B76" s="3" t="s">
        <v>437</v>
      </c>
      <c r="C76" s="3" t="s">
        <v>424</v>
      </c>
      <c r="D76" s="13">
        <v>109</v>
      </c>
      <c r="E76" s="13">
        <v>73</v>
      </c>
      <c r="F76" s="13">
        <v>109</v>
      </c>
      <c r="G76" s="13">
        <v>164</v>
      </c>
      <c r="H76" s="13">
        <v>164</v>
      </c>
      <c r="I76" s="13">
        <v>142</v>
      </c>
      <c r="J76" s="13">
        <v>109</v>
      </c>
      <c r="K76" s="13">
        <v>107</v>
      </c>
      <c r="L76" s="3"/>
      <c r="M76" s="3" t="s">
        <v>151</v>
      </c>
      <c r="N76" s="3"/>
    </row>
    <row r="77" spans="2:14" ht="15" thickBot="1">
      <c r="B77" s="3" t="s">
        <v>439</v>
      </c>
      <c r="C77" s="3" t="s">
        <v>231</v>
      </c>
      <c r="D77" s="13">
        <v>376</v>
      </c>
      <c r="E77" s="13">
        <v>365</v>
      </c>
      <c r="F77" s="13">
        <v>432</v>
      </c>
      <c r="G77" s="13">
        <v>350</v>
      </c>
      <c r="H77" s="13">
        <v>278</v>
      </c>
      <c r="I77" s="13">
        <v>307</v>
      </c>
      <c r="J77" s="13">
        <v>147</v>
      </c>
      <c r="K77" s="13">
        <v>132</v>
      </c>
      <c r="L77" s="3"/>
      <c r="M77" s="3"/>
      <c r="N77" s="3"/>
    </row>
    <row r="78" spans="2:14" ht="15" thickBot="1">
      <c r="B78" s="3" t="s">
        <v>439</v>
      </c>
      <c r="C78" s="3" t="s">
        <v>424</v>
      </c>
      <c r="D78" s="13">
        <v>763</v>
      </c>
      <c r="E78" s="13">
        <v>709</v>
      </c>
      <c r="F78" s="13">
        <v>763</v>
      </c>
      <c r="G78" s="13">
        <v>545</v>
      </c>
      <c r="H78" s="13">
        <v>363</v>
      </c>
      <c r="I78" s="13">
        <v>360</v>
      </c>
      <c r="J78" s="13">
        <v>147</v>
      </c>
      <c r="K78" s="13">
        <v>93</v>
      </c>
      <c r="L78" s="3"/>
      <c r="M78" s="3"/>
      <c r="N78" s="3"/>
    </row>
    <row r="79" spans="2:14" ht="15" thickBot="1">
      <c r="B79" s="38" t="s">
        <v>263</v>
      </c>
      <c r="C79" s="38" t="s">
        <v>428</v>
      </c>
      <c r="D79" s="63">
        <v>121</v>
      </c>
      <c r="E79" s="63">
        <v>146</v>
      </c>
      <c r="F79" s="63">
        <v>235</v>
      </c>
      <c r="G79" s="63">
        <v>389</v>
      </c>
      <c r="H79" s="63">
        <v>869</v>
      </c>
      <c r="I79" s="63">
        <v>1264</v>
      </c>
      <c r="J79" s="63">
        <v>3066</v>
      </c>
      <c r="K79" s="63">
        <v>13897</v>
      </c>
      <c r="L79" s="33">
        <v>0.4</v>
      </c>
      <c r="M79" s="3"/>
      <c r="N79" s="3"/>
    </row>
  </sheetData>
  <mergeCells count="1">
    <mergeCell ref="G2:L3"/>
  </mergeCells>
  <conditionalFormatting sqref="L8:L10 L34:L36 L60:L62 L13:L14 L17:L20 L39:L40 L43:L46 L65:L66 L69:L72">
    <cfRule type="colorScale" priority="5">
      <colorScale>
        <cfvo type="num" val="0"/>
        <cfvo type="num" val="0.5"/>
        <color theme="0"/>
        <color theme="5"/>
      </colorScale>
    </cfRule>
  </conditionalFormatting>
  <conditionalFormatting sqref="L23:L26 L49:L52 L75:L78">
    <cfRule type="colorScale" priority="4">
      <colorScale>
        <cfvo type="num" val="0"/>
        <cfvo type="num" val="0.5"/>
        <color theme="0"/>
        <color theme="5"/>
      </colorScale>
    </cfRule>
  </conditionalFormatting>
  <conditionalFormatting sqref="L27">
    <cfRule type="colorScale" priority="3">
      <colorScale>
        <cfvo type="num" val="0"/>
        <cfvo type="num" val="0.5"/>
        <color theme="0"/>
        <color theme="5"/>
      </colorScale>
    </cfRule>
  </conditionalFormatting>
  <conditionalFormatting sqref="L53">
    <cfRule type="colorScale" priority="2">
      <colorScale>
        <cfvo type="num" val="0"/>
        <cfvo type="num" val="0.5"/>
        <color theme="0"/>
        <color theme="5"/>
      </colorScale>
    </cfRule>
  </conditionalFormatting>
  <conditionalFormatting sqref="L79">
    <cfRule type="colorScale" priority="1">
      <colorScale>
        <cfvo type="num" val="0"/>
        <cfvo type="num" val="0.5"/>
        <color theme="0"/>
        <color theme="5"/>
      </colorScale>
    </cfRule>
  </conditionalFormatting>
  <conditionalFormatting sqref="AB8:AB9">
    <cfRule type="colorScale" priority="6">
      <colorScale>
        <cfvo type="num" val="0"/>
        <cfvo type="num" val="0.5"/>
        <color theme="0"/>
        <color theme="5"/>
      </colorScale>
    </cfRule>
    <cfRule type="colorScale" priority="7">
      <colorScale>
        <cfvo type="min"/>
        <cfvo type="max"/>
        <color theme="0"/>
        <color theme="5"/>
      </colorScale>
    </cfRule>
  </conditionalFormatting>
  <hyperlinks>
    <hyperlink ref="A1" location="Inhalt!A1" display="Zum Inhalt" xr:uid="{665CFF98-848D-4DBE-9D8F-D866B5404653}"/>
  </hyperlinks>
  <pageMargins left="0.7" right="0.7" top="0.78740157499999996" bottom="0.78740157499999996" header="0.3" footer="0.3"/>
  <pageSetup paperSize="9" orientation="portrait"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7C96-C10A-490E-A15D-78572787096E}">
  <sheetPr codeName="Tabelle20"/>
  <dimension ref="A1:K49"/>
  <sheetViews>
    <sheetView zoomScaleNormal="100" workbookViewId="0"/>
  </sheetViews>
  <sheetFormatPr baseColWidth="10" defaultColWidth="11.44140625" defaultRowHeight="14.4"/>
  <cols>
    <col min="2" max="2" width="33.109375" bestFit="1" customWidth="1"/>
    <col min="3" max="3" width="9.109375" customWidth="1"/>
  </cols>
  <sheetData>
    <row r="1" spans="1:11" ht="28.2" thickBot="1">
      <c r="A1" s="99" t="s">
        <v>143</v>
      </c>
    </row>
    <row r="2" spans="1:11">
      <c r="G2" s="142" t="s">
        <v>212</v>
      </c>
      <c r="H2" s="143"/>
      <c r="I2" s="143"/>
      <c r="J2" s="143"/>
      <c r="K2" s="144"/>
    </row>
    <row r="3" spans="1:11" ht="22.5" customHeight="1" thickBot="1">
      <c r="B3" s="4" t="s">
        <v>213</v>
      </c>
      <c r="C3" s="4" t="s">
        <v>98</v>
      </c>
      <c r="G3" s="145"/>
      <c r="H3" s="146"/>
      <c r="I3" s="146"/>
      <c r="J3" s="146"/>
      <c r="K3" s="147"/>
    </row>
    <row r="4" spans="1:11">
      <c r="B4" s="4" t="s">
        <v>214</v>
      </c>
      <c r="C4" s="4">
        <v>2023</v>
      </c>
    </row>
    <row r="5" spans="1:11" ht="15" thickBot="1">
      <c r="B5" s="1" t="s">
        <v>215</v>
      </c>
      <c r="C5" s="2" t="s">
        <v>216</v>
      </c>
      <c r="D5" s="1"/>
      <c r="E5" s="1" t="s">
        <v>217</v>
      </c>
      <c r="F5" s="1" t="s">
        <v>147</v>
      </c>
      <c r="G5" s="1" t="s">
        <v>148</v>
      </c>
      <c r="I5" s="4" t="s">
        <v>218</v>
      </c>
      <c r="J5" s="12" t="s">
        <v>442</v>
      </c>
    </row>
    <row r="6" spans="1:11" ht="15" thickBot="1">
      <c r="B6" s="3" t="s">
        <v>220</v>
      </c>
      <c r="C6" s="30" t="s">
        <v>443</v>
      </c>
      <c r="D6" s="3">
        <v>17.100000000000001</v>
      </c>
      <c r="E6" s="3"/>
      <c r="F6" s="3" t="s">
        <v>290</v>
      </c>
      <c r="G6" s="3" t="s">
        <v>444</v>
      </c>
      <c r="I6" s="12"/>
    </row>
    <row r="7" spans="1:11" ht="15" thickBot="1">
      <c r="B7" s="3" t="s">
        <v>414</v>
      </c>
      <c r="C7" s="30" t="s">
        <v>445</v>
      </c>
      <c r="D7" s="3">
        <v>2.9</v>
      </c>
      <c r="E7" s="33"/>
      <c r="F7" s="3" t="s">
        <v>290</v>
      </c>
      <c r="G7" s="3"/>
      <c r="I7" s="4" t="s">
        <v>234</v>
      </c>
      <c r="J7" s="12" t="s">
        <v>306</v>
      </c>
    </row>
    <row r="8" spans="1:11" ht="15" thickBot="1">
      <c r="B8" s="3" t="s">
        <v>446</v>
      </c>
      <c r="C8" s="5" t="s">
        <v>223</v>
      </c>
      <c r="D8" s="13">
        <v>77</v>
      </c>
      <c r="E8" s="3"/>
      <c r="F8" s="3" t="s">
        <v>290</v>
      </c>
      <c r="G8" s="3" t="s">
        <v>224</v>
      </c>
    </row>
    <row r="9" spans="1:11" ht="15" thickBot="1">
      <c r="B9" s="3" t="s">
        <v>447</v>
      </c>
      <c r="C9" s="5" t="s">
        <v>223</v>
      </c>
      <c r="D9" s="13">
        <v>13</v>
      </c>
      <c r="E9" s="3"/>
      <c r="F9" s="3" t="s">
        <v>448</v>
      </c>
      <c r="G9" s="3" t="s">
        <v>224</v>
      </c>
      <c r="I9" s="4" t="s">
        <v>148</v>
      </c>
    </row>
    <row r="10" spans="1:11" ht="15" thickBot="1">
      <c r="B10" s="3" t="s">
        <v>226</v>
      </c>
      <c r="C10" s="5" t="s">
        <v>227</v>
      </c>
      <c r="D10" s="3">
        <v>28</v>
      </c>
      <c r="E10" s="3"/>
      <c r="F10" s="3" t="s">
        <v>290</v>
      </c>
      <c r="G10" s="3"/>
      <c r="I10" s="12" t="s">
        <v>240</v>
      </c>
      <c r="J10" s="12" t="s">
        <v>449</v>
      </c>
    </row>
    <row r="11" spans="1:11" ht="15" thickBot="1">
      <c r="B11" s="1" t="s">
        <v>229</v>
      </c>
      <c r="C11" s="2" t="s">
        <v>216</v>
      </c>
      <c r="D11" s="1"/>
      <c r="E11" s="1"/>
      <c r="F11" s="1"/>
      <c r="G11" s="1"/>
      <c r="I11" s="12" t="s">
        <v>244</v>
      </c>
      <c r="J11" s="12" t="s">
        <v>450</v>
      </c>
    </row>
    <row r="12" spans="1:11" ht="15" thickBot="1">
      <c r="B12" s="3" t="s">
        <v>230</v>
      </c>
      <c r="C12" s="3" t="s">
        <v>231</v>
      </c>
      <c r="D12" s="13">
        <v>1083</v>
      </c>
      <c r="E12" s="33">
        <v>0.2</v>
      </c>
      <c r="F12" s="3" t="s">
        <v>290</v>
      </c>
      <c r="G12" s="3" t="s">
        <v>244</v>
      </c>
      <c r="I12" s="12" t="s">
        <v>224</v>
      </c>
      <c r="J12" s="12" t="s">
        <v>451</v>
      </c>
    </row>
    <row r="13" spans="1:11" ht="15" thickBot="1">
      <c r="B13" s="36" t="s">
        <v>236</v>
      </c>
      <c r="C13" s="3" t="s">
        <v>223</v>
      </c>
      <c r="D13" s="46">
        <v>62</v>
      </c>
      <c r="E13" s="3"/>
      <c r="F13" s="3" t="s">
        <v>290</v>
      </c>
      <c r="G13" s="3"/>
      <c r="I13" s="12"/>
      <c r="J13" s="12"/>
    </row>
    <row r="14" spans="1:11" ht="15" thickBot="1">
      <c r="B14" s="36" t="s">
        <v>237</v>
      </c>
      <c r="C14" s="3" t="s">
        <v>223</v>
      </c>
      <c r="D14" s="46">
        <v>38</v>
      </c>
      <c r="E14" s="3"/>
      <c r="F14" s="3" t="s">
        <v>290</v>
      </c>
      <c r="G14" s="3"/>
      <c r="I14" s="12"/>
      <c r="J14" s="12"/>
    </row>
    <row r="15" spans="1:11" ht="15" thickBot="1">
      <c r="B15" s="30" t="s">
        <v>263</v>
      </c>
      <c r="C15" s="3" t="s">
        <v>428</v>
      </c>
      <c r="D15" s="41">
        <v>18519</v>
      </c>
      <c r="E15" s="33">
        <v>0.2</v>
      </c>
      <c r="F15" s="3"/>
      <c r="G15" s="3"/>
      <c r="I15" s="4" t="s">
        <v>147</v>
      </c>
      <c r="J15" s="12"/>
    </row>
    <row r="16" spans="1:11" ht="15" thickBot="1">
      <c r="B16" s="3" t="s">
        <v>242</v>
      </c>
      <c r="C16" s="3" t="s">
        <v>452</v>
      </c>
      <c r="D16" s="13">
        <v>2805</v>
      </c>
      <c r="E16" s="3"/>
      <c r="F16" s="3" t="s">
        <v>290</v>
      </c>
      <c r="G16" s="3"/>
      <c r="I16" s="12" t="s">
        <v>151</v>
      </c>
      <c r="J16" s="12" t="s">
        <v>185</v>
      </c>
    </row>
    <row r="17" spans="2:10" ht="15" thickBot="1">
      <c r="B17" s="3" t="s">
        <v>453</v>
      </c>
      <c r="C17" s="3" t="s">
        <v>434</v>
      </c>
      <c r="D17" s="37">
        <v>1.2</v>
      </c>
      <c r="E17" s="3"/>
      <c r="F17" s="3" t="s">
        <v>290</v>
      </c>
      <c r="G17" s="3"/>
      <c r="I17" s="12" t="s">
        <v>184</v>
      </c>
      <c r="J17" s="12" t="s">
        <v>454</v>
      </c>
    </row>
    <row r="18" spans="2:10">
      <c r="I18" s="12" t="s">
        <v>186</v>
      </c>
      <c r="J18" s="12" t="s">
        <v>455</v>
      </c>
    </row>
    <row r="19" spans="2:10">
      <c r="I19" s="12" t="s">
        <v>188</v>
      </c>
      <c r="J19" s="12" t="s">
        <v>456</v>
      </c>
    </row>
    <row r="20" spans="2:10">
      <c r="B20" s="4" t="s">
        <v>214</v>
      </c>
      <c r="C20" s="4">
        <v>2030</v>
      </c>
    </row>
    <row r="21" spans="2:10" ht="15" thickBot="1">
      <c r="B21" s="1" t="s">
        <v>215</v>
      </c>
      <c r="C21" s="2" t="s">
        <v>216</v>
      </c>
      <c r="D21" s="1"/>
      <c r="E21" s="1" t="s">
        <v>217</v>
      </c>
      <c r="F21" s="1" t="s">
        <v>147</v>
      </c>
      <c r="G21" s="1" t="s">
        <v>148</v>
      </c>
      <c r="I21" s="4"/>
      <c r="J21" s="12"/>
    </row>
    <row r="22" spans="2:10" ht="15" thickBot="1">
      <c r="B22" s="3" t="s">
        <v>220</v>
      </c>
      <c r="C22" s="30" t="s">
        <v>443</v>
      </c>
      <c r="D22" s="3">
        <v>17.100000000000001</v>
      </c>
      <c r="E22" s="3"/>
      <c r="F22" s="3" t="s">
        <v>290</v>
      </c>
      <c r="G22" s="3" t="s">
        <v>444</v>
      </c>
    </row>
    <row r="23" spans="2:10" ht="15" thickBot="1">
      <c r="B23" s="3" t="s">
        <v>414</v>
      </c>
      <c r="C23" s="30" t="s">
        <v>445</v>
      </c>
      <c r="D23" s="3">
        <v>2.9</v>
      </c>
      <c r="E23" s="3"/>
      <c r="F23" s="3" t="s">
        <v>290</v>
      </c>
      <c r="G23" s="3"/>
    </row>
    <row r="24" spans="2:10" ht="15" thickBot="1">
      <c r="B24" s="3" t="s">
        <v>446</v>
      </c>
      <c r="C24" s="5" t="s">
        <v>223</v>
      </c>
      <c r="D24" s="13">
        <v>77</v>
      </c>
      <c r="E24" s="3"/>
      <c r="F24" s="3" t="s">
        <v>290</v>
      </c>
      <c r="G24" s="3" t="s">
        <v>224</v>
      </c>
    </row>
    <row r="25" spans="2:10" ht="15" thickBot="1">
      <c r="B25" s="3" t="s">
        <v>447</v>
      </c>
      <c r="C25" s="5" t="s">
        <v>223</v>
      </c>
      <c r="D25" s="13">
        <v>13</v>
      </c>
      <c r="E25" s="3"/>
      <c r="F25" s="3" t="s">
        <v>448</v>
      </c>
      <c r="G25" s="3" t="s">
        <v>224</v>
      </c>
    </row>
    <row r="26" spans="2:10" ht="15" thickBot="1">
      <c r="B26" s="3" t="s">
        <v>226</v>
      </c>
      <c r="C26" s="5" t="s">
        <v>227</v>
      </c>
      <c r="D26" s="3">
        <v>28</v>
      </c>
      <c r="E26" s="3"/>
      <c r="F26" s="3" t="s">
        <v>290</v>
      </c>
      <c r="G26" s="3"/>
    </row>
    <row r="27" spans="2:10" ht="15" thickBot="1">
      <c r="B27" s="1" t="s">
        <v>229</v>
      </c>
      <c r="C27" s="2" t="s">
        <v>216</v>
      </c>
      <c r="D27" s="1"/>
      <c r="E27" s="1"/>
      <c r="F27" s="1"/>
      <c r="G27" s="1"/>
    </row>
    <row r="28" spans="2:10" ht="15" thickBot="1">
      <c r="B28" s="3" t="s">
        <v>230</v>
      </c>
      <c r="C28" s="3" t="s">
        <v>231</v>
      </c>
      <c r="D28" s="13">
        <v>1054</v>
      </c>
      <c r="E28" s="33">
        <v>0.25</v>
      </c>
      <c r="F28" s="3" t="s">
        <v>290</v>
      </c>
      <c r="G28" s="3" t="s">
        <v>244</v>
      </c>
    </row>
    <row r="29" spans="2:10" ht="15" thickBot="1">
      <c r="B29" s="36" t="s">
        <v>236</v>
      </c>
      <c r="C29" s="3" t="s">
        <v>223</v>
      </c>
      <c r="D29" s="46">
        <v>63</v>
      </c>
      <c r="E29" s="3"/>
      <c r="F29" s="3" t="s">
        <v>290</v>
      </c>
      <c r="G29" s="3"/>
    </row>
    <row r="30" spans="2:10" ht="15" thickBot="1">
      <c r="B30" s="36" t="s">
        <v>237</v>
      </c>
      <c r="C30" s="3" t="s">
        <v>223</v>
      </c>
      <c r="D30" s="46">
        <v>37</v>
      </c>
      <c r="E30" s="3"/>
      <c r="F30" s="3" t="s">
        <v>290</v>
      </c>
      <c r="G30" s="3"/>
    </row>
    <row r="31" spans="2:10" ht="15" thickBot="1">
      <c r="B31" s="30" t="s">
        <v>263</v>
      </c>
      <c r="C31" s="3" t="s">
        <v>428</v>
      </c>
      <c r="D31" s="41">
        <v>18023</v>
      </c>
      <c r="E31" s="33">
        <v>0.25</v>
      </c>
      <c r="F31" s="3"/>
      <c r="G31" s="3"/>
    </row>
    <row r="32" spans="2:10" ht="15" thickBot="1">
      <c r="B32" s="3" t="s">
        <v>242</v>
      </c>
      <c r="C32" s="3" t="s">
        <v>452</v>
      </c>
      <c r="D32" s="13">
        <v>2741</v>
      </c>
      <c r="E32" s="3"/>
      <c r="F32" s="3" t="s">
        <v>290</v>
      </c>
      <c r="G32" s="3"/>
    </row>
    <row r="33" spans="2:10" ht="15" thickBot="1">
      <c r="B33" s="3" t="s">
        <v>453</v>
      </c>
      <c r="C33" s="3" t="s">
        <v>434</v>
      </c>
      <c r="D33" s="37">
        <v>1.2</v>
      </c>
      <c r="E33" s="3"/>
      <c r="F33" s="3" t="s">
        <v>290</v>
      </c>
      <c r="G33" s="3"/>
    </row>
    <row r="36" spans="2:10">
      <c r="B36" s="4" t="s">
        <v>214</v>
      </c>
      <c r="C36" s="4">
        <v>2040</v>
      </c>
    </row>
    <row r="37" spans="2:10" ht="15" thickBot="1">
      <c r="B37" s="1" t="s">
        <v>215</v>
      </c>
      <c r="C37" s="2" t="s">
        <v>216</v>
      </c>
      <c r="D37" s="1"/>
      <c r="E37" s="1" t="s">
        <v>217</v>
      </c>
      <c r="F37" s="1" t="s">
        <v>147</v>
      </c>
      <c r="G37" s="1" t="s">
        <v>148</v>
      </c>
      <c r="I37" s="4"/>
      <c r="J37" s="12"/>
    </row>
    <row r="38" spans="2:10" ht="15" thickBot="1">
      <c r="B38" s="3" t="s">
        <v>220</v>
      </c>
      <c r="C38" s="30" t="s">
        <v>443</v>
      </c>
      <c r="D38" s="3">
        <v>17.100000000000001</v>
      </c>
      <c r="E38" s="3"/>
      <c r="F38" s="3" t="s">
        <v>290</v>
      </c>
      <c r="G38" s="3" t="s">
        <v>444</v>
      </c>
      <c r="I38" s="12"/>
    </row>
    <row r="39" spans="2:10" ht="15" thickBot="1">
      <c r="B39" s="3" t="s">
        <v>414</v>
      </c>
      <c r="C39" s="30" t="s">
        <v>445</v>
      </c>
      <c r="D39" s="3">
        <v>2.9</v>
      </c>
      <c r="E39" s="3"/>
      <c r="F39" s="3" t="s">
        <v>290</v>
      </c>
      <c r="G39" s="3"/>
      <c r="I39" s="12"/>
    </row>
    <row r="40" spans="2:10" ht="15" thickBot="1">
      <c r="B40" s="3" t="s">
        <v>446</v>
      </c>
      <c r="C40" s="5" t="s">
        <v>223</v>
      </c>
      <c r="D40" s="13">
        <v>77</v>
      </c>
      <c r="E40" s="3"/>
      <c r="F40" s="3" t="s">
        <v>290</v>
      </c>
      <c r="G40" s="3" t="s">
        <v>224</v>
      </c>
      <c r="I40" s="12"/>
    </row>
    <row r="41" spans="2:10" ht="15" thickBot="1">
      <c r="B41" s="3" t="s">
        <v>447</v>
      </c>
      <c r="C41" s="5" t="s">
        <v>223</v>
      </c>
      <c r="D41" s="13">
        <v>13</v>
      </c>
      <c r="E41" s="3"/>
      <c r="F41" s="3" t="s">
        <v>448</v>
      </c>
      <c r="G41" s="3" t="s">
        <v>224</v>
      </c>
      <c r="I41" s="12"/>
    </row>
    <row r="42" spans="2:10" ht="15" thickBot="1">
      <c r="B42" s="3" t="s">
        <v>226</v>
      </c>
      <c r="C42" s="5" t="s">
        <v>227</v>
      </c>
      <c r="D42" s="3">
        <v>28</v>
      </c>
      <c r="E42" s="3"/>
      <c r="F42" s="3" t="s">
        <v>290</v>
      </c>
      <c r="G42" s="3"/>
    </row>
    <row r="43" spans="2:10" ht="15" thickBot="1">
      <c r="B43" s="1" t="s">
        <v>229</v>
      </c>
      <c r="C43" s="2" t="s">
        <v>216</v>
      </c>
      <c r="D43" s="1"/>
      <c r="E43" s="1"/>
      <c r="F43" s="1"/>
      <c r="G43" s="1"/>
    </row>
    <row r="44" spans="2:10" ht="15" thickBot="1">
      <c r="B44" s="3" t="s">
        <v>230</v>
      </c>
      <c r="C44" s="3" t="s">
        <v>231</v>
      </c>
      <c r="D44" s="13">
        <v>1040</v>
      </c>
      <c r="E44" s="33">
        <v>0.3</v>
      </c>
      <c r="F44" s="3" t="s">
        <v>290</v>
      </c>
      <c r="G44" s="3" t="s">
        <v>244</v>
      </c>
    </row>
    <row r="45" spans="2:10" ht="15" thickBot="1">
      <c r="B45" s="36" t="s">
        <v>236</v>
      </c>
      <c r="C45" s="3" t="s">
        <v>223</v>
      </c>
      <c r="D45" s="46">
        <v>63</v>
      </c>
      <c r="E45" s="3"/>
      <c r="F45" s="3" t="s">
        <v>290</v>
      </c>
      <c r="G45" s="3"/>
    </row>
    <row r="46" spans="2:10" ht="15" thickBot="1">
      <c r="B46" s="36" t="s">
        <v>237</v>
      </c>
      <c r="C46" s="3" t="s">
        <v>223</v>
      </c>
      <c r="D46" s="46">
        <v>37</v>
      </c>
      <c r="E46" s="3"/>
      <c r="F46" s="3" t="s">
        <v>290</v>
      </c>
      <c r="G46" s="3"/>
    </row>
    <row r="47" spans="2:10" ht="15" thickBot="1">
      <c r="B47" s="30" t="s">
        <v>263</v>
      </c>
      <c r="C47" s="3" t="s">
        <v>428</v>
      </c>
      <c r="D47" s="41">
        <v>17784</v>
      </c>
      <c r="E47" s="33">
        <v>0.3</v>
      </c>
      <c r="F47" s="3"/>
      <c r="G47" s="3"/>
    </row>
    <row r="48" spans="2:10" ht="15" thickBot="1">
      <c r="B48" s="3" t="s">
        <v>242</v>
      </c>
      <c r="C48" s="3" t="s">
        <v>452</v>
      </c>
      <c r="D48" s="13">
        <v>2677</v>
      </c>
      <c r="E48" s="3"/>
      <c r="F48" s="3" t="s">
        <v>290</v>
      </c>
      <c r="G48" s="3"/>
    </row>
    <row r="49" spans="2:7" ht="15" thickBot="1">
      <c r="B49" s="3" t="s">
        <v>453</v>
      </c>
      <c r="C49" s="3" t="s">
        <v>434</v>
      </c>
      <c r="D49" s="37">
        <v>1.2</v>
      </c>
      <c r="E49" s="3"/>
      <c r="F49" s="3" t="s">
        <v>290</v>
      </c>
      <c r="G49" s="3"/>
    </row>
  </sheetData>
  <mergeCells count="1">
    <mergeCell ref="G2:K3"/>
  </mergeCells>
  <conditionalFormatting sqref="E7 E12 E17 E23 E28 E39 E44 E33 E49">
    <cfRule type="colorScale" priority="4">
      <colorScale>
        <cfvo type="num" val="0"/>
        <cfvo type="num" val="0.5"/>
        <color theme="0"/>
        <color theme="5"/>
      </colorScale>
    </cfRule>
  </conditionalFormatting>
  <conditionalFormatting sqref="E15">
    <cfRule type="colorScale" priority="3">
      <colorScale>
        <cfvo type="num" val="0"/>
        <cfvo type="num" val="0.5"/>
        <color theme="0"/>
        <color theme="5"/>
      </colorScale>
    </cfRule>
  </conditionalFormatting>
  <conditionalFormatting sqref="E31">
    <cfRule type="colorScale" priority="2">
      <colorScale>
        <cfvo type="num" val="0"/>
        <cfvo type="num" val="0.5"/>
        <color theme="0"/>
        <color theme="5"/>
      </colorScale>
    </cfRule>
  </conditionalFormatting>
  <conditionalFormatting sqref="E47">
    <cfRule type="colorScale" priority="1">
      <colorScale>
        <cfvo type="num" val="0"/>
        <cfvo type="num" val="0.5"/>
        <color theme="0"/>
        <color theme="5"/>
      </colorScale>
    </cfRule>
  </conditionalFormatting>
  <hyperlinks>
    <hyperlink ref="A1" location="Inhalt!A1" display="Zum Inhalt" xr:uid="{05A1D82E-9B25-464F-B41B-349C49D6E716}"/>
  </hyperlinks>
  <pageMargins left="0.7" right="0.7" top="0.78740157499999996" bottom="0.78740157499999996"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90889-CE0A-445E-8256-07A581BE229E}">
  <sheetPr codeName="Tabelle21"/>
  <dimension ref="A1:K49"/>
  <sheetViews>
    <sheetView zoomScaleNormal="100" workbookViewId="0">
      <selection activeCell="J27" sqref="J27"/>
    </sheetView>
  </sheetViews>
  <sheetFormatPr baseColWidth="10" defaultColWidth="11.44140625" defaultRowHeight="14.4"/>
  <cols>
    <col min="2" max="2" width="33.33203125" bestFit="1" customWidth="1"/>
    <col min="3" max="3" width="9.33203125" customWidth="1"/>
  </cols>
  <sheetData>
    <row r="1" spans="1:11" ht="28.2" thickBot="1">
      <c r="A1" s="99" t="s">
        <v>143</v>
      </c>
    </row>
    <row r="2" spans="1:11">
      <c r="G2" s="142" t="s">
        <v>212</v>
      </c>
      <c r="H2" s="143"/>
      <c r="I2" s="143"/>
      <c r="J2" s="143"/>
      <c r="K2" s="144"/>
    </row>
    <row r="3" spans="1:11" ht="20.7" customHeight="1" thickBot="1">
      <c r="B3" s="4" t="s">
        <v>213</v>
      </c>
      <c r="C3" s="4" t="s">
        <v>102</v>
      </c>
      <c r="G3" s="145"/>
      <c r="H3" s="146"/>
      <c r="I3" s="146"/>
      <c r="J3" s="146"/>
      <c r="K3" s="147"/>
    </row>
    <row r="4" spans="1:11">
      <c r="B4" s="4" t="s">
        <v>214</v>
      </c>
      <c r="C4" s="4">
        <v>2023</v>
      </c>
    </row>
    <row r="5" spans="1:11" ht="15" thickBot="1">
      <c r="B5" s="1" t="s">
        <v>215</v>
      </c>
      <c r="C5" s="2" t="s">
        <v>216</v>
      </c>
      <c r="D5" s="1"/>
      <c r="E5" s="1" t="s">
        <v>217</v>
      </c>
      <c r="F5" s="1" t="s">
        <v>147</v>
      </c>
      <c r="G5" s="1" t="s">
        <v>148</v>
      </c>
      <c r="I5" s="4" t="s">
        <v>218</v>
      </c>
      <c r="J5" s="12" t="s">
        <v>442</v>
      </c>
    </row>
    <row r="6" spans="1:11" ht="15" thickBot="1">
      <c r="B6" s="3" t="s">
        <v>220</v>
      </c>
      <c r="C6" s="30" t="s">
        <v>443</v>
      </c>
      <c r="D6" s="3">
        <v>16.899999999999999</v>
      </c>
      <c r="E6" s="3"/>
      <c r="F6" s="3" t="s">
        <v>290</v>
      </c>
      <c r="G6" s="3" t="s">
        <v>444</v>
      </c>
      <c r="I6" s="12"/>
    </row>
    <row r="7" spans="1:11" ht="15" thickBot="1">
      <c r="B7" s="3" t="s">
        <v>414</v>
      </c>
      <c r="C7" s="30" t="s">
        <v>445</v>
      </c>
      <c r="D7" s="3">
        <v>3.1</v>
      </c>
      <c r="E7" s="33"/>
      <c r="F7" s="3" t="s">
        <v>290</v>
      </c>
      <c r="G7" s="3"/>
      <c r="I7" s="4" t="s">
        <v>234</v>
      </c>
      <c r="J7" s="12" t="s">
        <v>306</v>
      </c>
    </row>
    <row r="8" spans="1:11" ht="15" thickBot="1">
      <c r="B8" s="3" t="s">
        <v>446</v>
      </c>
      <c r="C8" s="5" t="s">
        <v>223</v>
      </c>
      <c r="D8" s="13">
        <v>76</v>
      </c>
      <c r="E8" s="3"/>
      <c r="F8" s="3" t="s">
        <v>290</v>
      </c>
      <c r="G8" s="3" t="s">
        <v>224</v>
      </c>
    </row>
    <row r="9" spans="1:11" ht="15" thickBot="1">
      <c r="B9" s="3" t="s">
        <v>447</v>
      </c>
      <c r="C9" s="5" t="s">
        <v>223</v>
      </c>
      <c r="D9" s="13">
        <v>14</v>
      </c>
      <c r="E9" s="3"/>
      <c r="F9" s="3" t="s">
        <v>448</v>
      </c>
      <c r="G9" s="3" t="s">
        <v>224</v>
      </c>
      <c r="I9" s="4" t="s">
        <v>148</v>
      </c>
    </row>
    <row r="10" spans="1:11" ht="15" thickBot="1">
      <c r="B10" s="3" t="s">
        <v>226</v>
      </c>
      <c r="C10" s="5" t="s">
        <v>227</v>
      </c>
      <c r="D10" s="3">
        <v>28</v>
      </c>
      <c r="E10" s="3"/>
      <c r="F10" s="3" t="s">
        <v>290</v>
      </c>
      <c r="G10" s="3"/>
      <c r="I10" s="12" t="s">
        <v>240</v>
      </c>
      <c r="J10" s="12" t="s">
        <v>449</v>
      </c>
    </row>
    <row r="11" spans="1:11" ht="15" thickBot="1">
      <c r="B11" s="1" t="s">
        <v>229</v>
      </c>
      <c r="C11" s="2" t="s">
        <v>216</v>
      </c>
      <c r="D11" s="1"/>
      <c r="E11" s="1"/>
      <c r="F11" s="1"/>
      <c r="G11" s="1"/>
      <c r="I11" s="12" t="s">
        <v>244</v>
      </c>
      <c r="J11" s="12" t="s">
        <v>450</v>
      </c>
    </row>
    <row r="12" spans="1:11" ht="15" thickBot="1">
      <c r="B12" s="3" t="s">
        <v>230</v>
      </c>
      <c r="C12" s="3" t="s">
        <v>231</v>
      </c>
      <c r="D12" s="13">
        <v>1102</v>
      </c>
      <c r="E12" s="33">
        <v>0.2</v>
      </c>
      <c r="F12" s="3" t="s">
        <v>290</v>
      </c>
      <c r="G12" s="3" t="s">
        <v>244</v>
      </c>
      <c r="I12" s="12" t="s">
        <v>224</v>
      </c>
      <c r="J12" s="12" t="s">
        <v>451</v>
      </c>
    </row>
    <row r="13" spans="1:11" ht="15" thickBot="1">
      <c r="B13" s="36" t="s">
        <v>236</v>
      </c>
      <c r="C13" s="3" t="s">
        <v>223</v>
      </c>
      <c r="D13" s="3">
        <v>65</v>
      </c>
      <c r="E13" s="3"/>
      <c r="F13" s="3" t="s">
        <v>290</v>
      </c>
      <c r="G13" s="3"/>
      <c r="I13" s="12"/>
      <c r="J13" s="12"/>
    </row>
    <row r="14" spans="1:11" ht="15" thickBot="1">
      <c r="B14" s="36" t="s">
        <v>237</v>
      </c>
      <c r="C14" s="3" t="s">
        <v>223</v>
      </c>
      <c r="D14" s="3">
        <v>35</v>
      </c>
      <c r="E14" s="3"/>
      <c r="F14" s="3" t="s">
        <v>290</v>
      </c>
      <c r="G14" s="3"/>
      <c r="I14" s="12"/>
      <c r="J14" s="12"/>
    </row>
    <row r="15" spans="1:11" ht="15" thickBot="1">
      <c r="B15" s="30" t="s">
        <v>263</v>
      </c>
      <c r="C15" s="3" t="s">
        <v>428</v>
      </c>
      <c r="D15" s="41">
        <v>18624</v>
      </c>
      <c r="E15" s="33">
        <v>0.2</v>
      </c>
      <c r="F15" s="3"/>
      <c r="G15" s="3"/>
      <c r="I15" s="4" t="s">
        <v>147</v>
      </c>
      <c r="J15" s="12"/>
    </row>
    <row r="16" spans="1:11" ht="15" thickBot="1">
      <c r="B16" s="3" t="s">
        <v>242</v>
      </c>
      <c r="C16" s="3" t="s">
        <v>452</v>
      </c>
      <c r="D16" s="13">
        <v>2838</v>
      </c>
      <c r="E16" s="3"/>
      <c r="F16" s="3" t="s">
        <v>290</v>
      </c>
      <c r="G16" s="3"/>
      <c r="I16" s="12" t="s">
        <v>151</v>
      </c>
      <c r="J16" s="12" t="s">
        <v>185</v>
      </c>
    </row>
    <row r="17" spans="2:10" ht="15" thickBot="1">
      <c r="B17" s="3" t="s">
        <v>453</v>
      </c>
      <c r="C17" s="3" t="s">
        <v>434</v>
      </c>
      <c r="D17" s="37">
        <v>0.6</v>
      </c>
      <c r="E17" s="3"/>
      <c r="F17" s="3" t="s">
        <v>290</v>
      </c>
      <c r="G17" s="3"/>
      <c r="I17" s="12" t="s">
        <v>184</v>
      </c>
      <c r="J17" s="12" t="s">
        <v>454</v>
      </c>
    </row>
    <row r="18" spans="2:10">
      <c r="I18" s="12" t="s">
        <v>186</v>
      </c>
      <c r="J18" s="12" t="s">
        <v>455</v>
      </c>
    </row>
    <row r="19" spans="2:10">
      <c r="I19" s="12" t="s">
        <v>188</v>
      </c>
      <c r="J19" s="12" t="s">
        <v>456</v>
      </c>
    </row>
    <row r="20" spans="2:10">
      <c r="B20" s="4" t="s">
        <v>214</v>
      </c>
      <c r="C20" s="4">
        <v>2030</v>
      </c>
    </row>
    <row r="21" spans="2:10" ht="15" thickBot="1">
      <c r="B21" s="1" t="s">
        <v>215</v>
      </c>
      <c r="C21" s="2" t="s">
        <v>216</v>
      </c>
      <c r="D21" s="1"/>
      <c r="E21" s="1" t="s">
        <v>217</v>
      </c>
      <c r="F21" s="1" t="s">
        <v>147</v>
      </c>
      <c r="G21" s="1" t="s">
        <v>148</v>
      </c>
      <c r="I21" s="4"/>
      <c r="J21" s="12"/>
    </row>
    <row r="22" spans="2:10" ht="15" thickBot="1">
      <c r="B22" s="3" t="s">
        <v>220</v>
      </c>
      <c r="C22" s="30" t="s">
        <v>443</v>
      </c>
      <c r="D22" s="3">
        <v>16.899999999999999</v>
      </c>
      <c r="E22" s="3"/>
      <c r="F22" s="3" t="s">
        <v>290</v>
      </c>
      <c r="G22" s="3" t="s">
        <v>444</v>
      </c>
    </row>
    <row r="23" spans="2:10" ht="15" thickBot="1">
      <c r="B23" s="3" t="s">
        <v>414</v>
      </c>
      <c r="C23" s="30" t="s">
        <v>445</v>
      </c>
      <c r="D23" s="3">
        <v>3.1</v>
      </c>
      <c r="E23" s="3"/>
      <c r="F23" s="3" t="s">
        <v>290</v>
      </c>
      <c r="G23" s="3"/>
    </row>
    <row r="24" spans="2:10" ht="15" thickBot="1">
      <c r="B24" s="3" t="s">
        <v>446</v>
      </c>
      <c r="C24" s="5" t="s">
        <v>223</v>
      </c>
      <c r="D24" s="13">
        <v>76</v>
      </c>
      <c r="E24" s="3"/>
      <c r="F24" s="3" t="s">
        <v>290</v>
      </c>
      <c r="G24" s="3" t="s">
        <v>224</v>
      </c>
    </row>
    <row r="25" spans="2:10" ht="15" thickBot="1">
      <c r="B25" s="3" t="s">
        <v>447</v>
      </c>
      <c r="C25" s="5" t="s">
        <v>223</v>
      </c>
      <c r="D25" s="13">
        <v>14</v>
      </c>
      <c r="E25" s="3"/>
      <c r="F25" s="3" t="s">
        <v>448</v>
      </c>
      <c r="G25" s="3" t="s">
        <v>224</v>
      </c>
    </row>
    <row r="26" spans="2:10" ht="15" thickBot="1">
      <c r="B26" s="3" t="s">
        <v>226</v>
      </c>
      <c r="C26" s="5" t="s">
        <v>227</v>
      </c>
      <c r="D26" s="3">
        <v>28</v>
      </c>
      <c r="E26" s="3"/>
      <c r="F26" s="3" t="s">
        <v>290</v>
      </c>
      <c r="G26" s="3"/>
    </row>
    <row r="27" spans="2:10" ht="15" thickBot="1">
      <c r="B27" s="1" t="s">
        <v>229</v>
      </c>
      <c r="C27" s="2" t="s">
        <v>216</v>
      </c>
      <c r="D27" s="1"/>
      <c r="E27" s="1"/>
      <c r="F27" s="1"/>
      <c r="G27" s="1"/>
    </row>
    <row r="28" spans="2:10" ht="15" thickBot="1">
      <c r="B28" s="3" t="s">
        <v>230</v>
      </c>
      <c r="C28" s="3" t="s">
        <v>231</v>
      </c>
      <c r="D28" s="13">
        <v>1071</v>
      </c>
      <c r="E28" s="33">
        <v>0.25</v>
      </c>
      <c r="F28" s="3" t="s">
        <v>290</v>
      </c>
      <c r="G28" s="3" t="s">
        <v>244</v>
      </c>
    </row>
    <row r="29" spans="2:10" ht="15" thickBot="1">
      <c r="B29" s="36" t="s">
        <v>236</v>
      </c>
      <c r="C29" s="3" t="s">
        <v>223</v>
      </c>
      <c r="D29" s="3">
        <v>66</v>
      </c>
      <c r="E29" s="3"/>
      <c r="F29" s="3" t="s">
        <v>290</v>
      </c>
      <c r="G29" s="3"/>
    </row>
    <row r="30" spans="2:10" ht="15" thickBot="1">
      <c r="B30" s="36" t="s">
        <v>237</v>
      </c>
      <c r="C30" s="3" t="s">
        <v>223</v>
      </c>
      <c r="D30" s="3">
        <v>34</v>
      </c>
      <c r="E30" s="3"/>
      <c r="F30" s="3" t="s">
        <v>290</v>
      </c>
      <c r="G30" s="3"/>
    </row>
    <row r="31" spans="2:10" ht="15" thickBot="1">
      <c r="B31" s="30" t="s">
        <v>263</v>
      </c>
      <c r="C31" s="3" t="s">
        <v>428</v>
      </c>
      <c r="D31" s="41">
        <v>18099</v>
      </c>
      <c r="E31" s="33">
        <v>0.25</v>
      </c>
      <c r="F31" s="3"/>
      <c r="G31" s="3"/>
    </row>
    <row r="32" spans="2:10" ht="15" thickBot="1">
      <c r="B32" s="3" t="s">
        <v>242</v>
      </c>
      <c r="C32" s="3" t="s">
        <v>452</v>
      </c>
      <c r="D32" s="13">
        <v>2773</v>
      </c>
      <c r="E32" s="3"/>
      <c r="F32" s="3" t="s">
        <v>290</v>
      </c>
      <c r="G32" s="3"/>
    </row>
    <row r="33" spans="2:10" ht="15" thickBot="1">
      <c r="B33" s="3" t="s">
        <v>453</v>
      </c>
      <c r="C33" s="3" t="s">
        <v>434</v>
      </c>
      <c r="D33" s="37">
        <v>0.6</v>
      </c>
      <c r="E33" s="3"/>
      <c r="F33" s="3" t="s">
        <v>290</v>
      </c>
      <c r="G33" s="3"/>
    </row>
    <row r="36" spans="2:10">
      <c r="B36" s="4" t="s">
        <v>214</v>
      </c>
      <c r="C36" s="4">
        <v>2040</v>
      </c>
    </row>
    <row r="37" spans="2:10" ht="15" thickBot="1">
      <c r="B37" s="1" t="s">
        <v>215</v>
      </c>
      <c r="C37" s="2" t="s">
        <v>216</v>
      </c>
      <c r="D37" s="1"/>
      <c r="E37" s="1" t="s">
        <v>217</v>
      </c>
      <c r="F37" s="1" t="s">
        <v>147</v>
      </c>
      <c r="G37" s="1" t="s">
        <v>148</v>
      </c>
      <c r="I37" s="4"/>
      <c r="J37" s="12"/>
    </row>
    <row r="38" spans="2:10" ht="15" thickBot="1">
      <c r="B38" s="3" t="s">
        <v>220</v>
      </c>
      <c r="C38" s="30" t="s">
        <v>443</v>
      </c>
      <c r="D38" s="3">
        <v>16.899999999999999</v>
      </c>
      <c r="E38" s="3"/>
      <c r="F38" s="3" t="s">
        <v>290</v>
      </c>
      <c r="G38" s="3" t="s">
        <v>444</v>
      </c>
      <c r="I38" s="12"/>
    </row>
    <row r="39" spans="2:10" ht="15" thickBot="1">
      <c r="B39" s="3" t="s">
        <v>414</v>
      </c>
      <c r="C39" s="30" t="s">
        <v>445</v>
      </c>
      <c r="D39" s="3">
        <v>3.1</v>
      </c>
      <c r="E39" s="3"/>
      <c r="F39" s="3" t="s">
        <v>290</v>
      </c>
      <c r="G39" s="3"/>
      <c r="I39" s="12"/>
    </row>
    <row r="40" spans="2:10" ht="15" thickBot="1">
      <c r="B40" s="3" t="s">
        <v>446</v>
      </c>
      <c r="C40" s="5" t="s">
        <v>223</v>
      </c>
      <c r="D40" s="13">
        <v>76</v>
      </c>
      <c r="E40" s="3"/>
      <c r="F40" s="3" t="s">
        <v>290</v>
      </c>
      <c r="G40" s="3" t="s">
        <v>224</v>
      </c>
      <c r="I40" s="12"/>
    </row>
    <row r="41" spans="2:10" ht="15" thickBot="1">
      <c r="B41" s="3" t="s">
        <v>447</v>
      </c>
      <c r="C41" s="5" t="s">
        <v>223</v>
      </c>
      <c r="D41" s="13">
        <v>14</v>
      </c>
      <c r="E41" s="3"/>
      <c r="F41" s="3" t="s">
        <v>448</v>
      </c>
      <c r="G41" s="3" t="s">
        <v>224</v>
      </c>
      <c r="I41" s="12"/>
    </row>
    <row r="42" spans="2:10" ht="15" thickBot="1">
      <c r="B42" s="3" t="s">
        <v>226</v>
      </c>
      <c r="C42" s="5" t="s">
        <v>227</v>
      </c>
      <c r="D42" s="3">
        <v>28</v>
      </c>
      <c r="E42" s="3"/>
      <c r="F42" s="3" t="s">
        <v>290</v>
      </c>
      <c r="G42" s="3"/>
    </row>
    <row r="43" spans="2:10" ht="15" thickBot="1">
      <c r="B43" s="1" t="s">
        <v>229</v>
      </c>
      <c r="C43" s="2" t="s">
        <v>216</v>
      </c>
      <c r="D43" s="1"/>
      <c r="E43" s="1"/>
      <c r="F43" s="1"/>
      <c r="G43" s="1"/>
    </row>
    <row r="44" spans="2:10" ht="15" thickBot="1">
      <c r="B44" s="3" t="s">
        <v>230</v>
      </c>
      <c r="C44" s="3" t="s">
        <v>231</v>
      </c>
      <c r="D44" s="13">
        <v>1055</v>
      </c>
      <c r="E44" s="33">
        <v>0.3</v>
      </c>
      <c r="F44" s="3" t="s">
        <v>290</v>
      </c>
      <c r="G44" s="3" t="s">
        <v>244</v>
      </c>
    </row>
    <row r="45" spans="2:10" ht="15" thickBot="1">
      <c r="B45" s="36" t="s">
        <v>236</v>
      </c>
      <c r="C45" s="3" t="s">
        <v>223</v>
      </c>
      <c r="D45" s="3">
        <v>66</v>
      </c>
      <c r="E45" s="3"/>
      <c r="F45" s="3" t="s">
        <v>290</v>
      </c>
      <c r="G45" s="3"/>
    </row>
    <row r="46" spans="2:10" ht="15" thickBot="1">
      <c r="B46" s="36" t="s">
        <v>237</v>
      </c>
      <c r="C46" s="3" t="s">
        <v>223</v>
      </c>
      <c r="D46" s="3">
        <v>34</v>
      </c>
      <c r="E46" s="3"/>
      <c r="F46" s="3" t="s">
        <v>290</v>
      </c>
      <c r="G46" s="3"/>
    </row>
    <row r="47" spans="2:10" ht="15" thickBot="1">
      <c r="B47" s="30" t="s">
        <v>263</v>
      </c>
      <c r="C47" s="3" t="s">
        <v>428</v>
      </c>
      <c r="D47" s="41">
        <v>17832</v>
      </c>
      <c r="E47" s="33">
        <v>0.3</v>
      </c>
      <c r="F47" s="3"/>
      <c r="G47" s="3"/>
    </row>
    <row r="48" spans="2:10" ht="15" thickBot="1">
      <c r="B48" s="3" t="s">
        <v>242</v>
      </c>
      <c r="C48" s="3" t="s">
        <v>452</v>
      </c>
      <c r="D48" s="13">
        <v>2709</v>
      </c>
      <c r="E48" s="3"/>
      <c r="F48" s="3" t="s">
        <v>290</v>
      </c>
      <c r="G48" s="3"/>
    </row>
    <row r="49" spans="2:7" ht="15" thickBot="1">
      <c r="B49" s="3" t="s">
        <v>453</v>
      </c>
      <c r="C49" s="3" t="s">
        <v>434</v>
      </c>
      <c r="D49" s="37">
        <v>0.6</v>
      </c>
      <c r="E49" s="3"/>
      <c r="F49" s="3" t="s">
        <v>290</v>
      </c>
      <c r="G49" s="3"/>
    </row>
  </sheetData>
  <mergeCells count="1">
    <mergeCell ref="G2:K3"/>
  </mergeCells>
  <conditionalFormatting sqref="E12 E7 E17 E23 E28 E39 E44 E33 E49">
    <cfRule type="colorScale" priority="4">
      <colorScale>
        <cfvo type="num" val="0"/>
        <cfvo type="num" val="0.5"/>
        <color theme="0"/>
        <color theme="5"/>
      </colorScale>
    </cfRule>
  </conditionalFormatting>
  <conditionalFormatting sqref="E15">
    <cfRule type="colorScale" priority="3">
      <colorScale>
        <cfvo type="num" val="0"/>
        <cfvo type="num" val="0.5"/>
        <color theme="0"/>
        <color theme="5"/>
      </colorScale>
    </cfRule>
  </conditionalFormatting>
  <conditionalFormatting sqref="E31">
    <cfRule type="colorScale" priority="2">
      <colorScale>
        <cfvo type="num" val="0"/>
        <cfvo type="num" val="0.5"/>
        <color theme="0"/>
        <color theme="5"/>
      </colorScale>
    </cfRule>
  </conditionalFormatting>
  <conditionalFormatting sqref="E47">
    <cfRule type="colorScale" priority="1">
      <colorScale>
        <cfvo type="num" val="0"/>
        <cfvo type="num" val="0.5"/>
        <color theme="0"/>
        <color theme="5"/>
      </colorScale>
    </cfRule>
  </conditionalFormatting>
  <hyperlinks>
    <hyperlink ref="A1" location="Inhalt!A1" display="Zum Inhalt" xr:uid="{84F528E2-36D6-4302-B778-9CFA6CC470C2}"/>
  </hyperlinks>
  <pageMargins left="0.7" right="0.7" top="0.78740157499999996" bottom="0.78740157499999996"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1DAE-DF0A-4BD6-8395-51D92C2149D9}">
  <sheetPr codeName="Tabelle22"/>
  <dimension ref="A1:J49"/>
  <sheetViews>
    <sheetView topLeftCell="T1" zoomScale="115" zoomScaleNormal="115" workbookViewId="0"/>
  </sheetViews>
  <sheetFormatPr baseColWidth="10" defaultColWidth="11.44140625" defaultRowHeight="14.4"/>
  <cols>
    <col min="2" max="2" width="33.33203125" bestFit="1" customWidth="1"/>
    <col min="3" max="3" width="9.33203125" customWidth="1"/>
  </cols>
  <sheetData>
    <row r="1" spans="1:10" ht="28.2" thickBot="1">
      <c r="A1" s="99" t="s">
        <v>143</v>
      </c>
    </row>
    <row r="2" spans="1:10">
      <c r="F2" s="142" t="s">
        <v>212</v>
      </c>
      <c r="G2" s="143"/>
      <c r="H2" s="143"/>
      <c r="I2" s="143"/>
      <c r="J2" s="144"/>
    </row>
    <row r="3" spans="1:10" ht="22.2" customHeight="1" thickBot="1">
      <c r="B3" s="4" t="s">
        <v>213</v>
      </c>
      <c r="C3" s="4" t="s">
        <v>104</v>
      </c>
      <c r="F3" s="145"/>
      <c r="G3" s="146"/>
      <c r="H3" s="146"/>
      <c r="I3" s="146"/>
      <c r="J3" s="147"/>
    </row>
    <row r="4" spans="1:10">
      <c r="B4" s="4" t="s">
        <v>214</v>
      </c>
      <c r="C4" s="4">
        <v>2023</v>
      </c>
    </row>
    <row r="5" spans="1:10" ht="15" thickBot="1">
      <c r="B5" s="1" t="s">
        <v>215</v>
      </c>
      <c r="C5" s="2" t="s">
        <v>216</v>
      </c>
      <c r="D5" s="1"/>
      <c r="E5" s="1" t="s">
        <v>217</v>
      </c>
      <c r="F5" s="1" t="s">
        <v>147</v>
      </c>
      <c r="G5" s="1" t="s">
        <v>148</v>
      </c>
      <c r="I5" s="4" t="s">
        <v>218</v>
      </c>
      <c r="J5" s="12" t="s">
        <v>442</v>
      </c>
    </row>
    <row r="6" spans="1:10" ht="15" thickBot="1">
      <c r="B6" s="3" t="s">
        <v>220</v>
      </c>
      <c r="C6" s="30" t="s">
        <v>443</v>
      </c>
      <c r="D6" s="3">
        <v>17</v>
      </c>
      <c r="E6" s="3"/>
      <c r="F6" s="3" t="s">
        <v>290</v>
      </c>
      <c r="G6" s="3" t="s">
        <v>444</v>
      </c>
      <c r="I6" s="12"/>
    </row>
    <row r="7" spans="1:10" ht="15" thickBot="1">
      <c r="B7" s="3" t="s">
        <v>414</v>
      </c>
      <c r="C7" s="30" t="s">
        <v>445</v>
      </c>
      <c r="D7" s="3">
        <v>3</v>
      </c>
      <c r="E7" s="33"/>
      <c r="F7" s="3" t="s">
        <v>290</v>
      </c>
      <c r="G7" s="3"/>
      <c r="I7" s="4" t="s">
        <v>234</v>
      </c>
      <c r="J7" s="12" t="s">
        <v>306</v>
      </c>
    </row>
    <row r="8" spans="1:10" ht="15" thickBot="1">
      <c r="B8" s="3" t="s">
        <v>446</v>
      </c>
      <c r="C8" s="5" t="s">
        <v>223</v>
      </c>
      <c r="D8" s="13">
        <v>77</v>
      </c>
      <c r="E8" s="3"/>
      <c r="F8" s="3" t="s">
        <v>290</v>
      </c>
      <c r="G8" s="3" t="s">
        <v>224</v>
      </c>
    </row>
    <row r="9" spans="1:10" ht="15" thickBot="1">
      <c r="B9" s="3" t="s">
        <v>447</v>
      </c>
      <c r="C9" s="5" t="s">
        <v>223</v>
      </c>
      <c r="D9" s="13">
        <v>14</v>
      </c>
      <c r="E9" s="3"/>
      <c r="F9" s="3" t="s">
        <v>448</v>
      </c>
      <c r="G9" s="3" t="s">
        <v>224</v>
      </c>
      <c r="I9" s="4" t="s">
        <v>148</v>
      </c>
    </row>
    <row r="10" spans="1:10" ht="15" thickBot="1">
      <c r="B10" s="3" t="s">
        <v>226</v>
      </c>
      <c r="C10" s="5" t="s">
        <v>227</v>
      </c>
      <c r="D10" s="3">
        <v>28</v>
      </c>
      <c r="E10" s="3"/>
      <c r="F10" s="3" t="s">
        <v>290</v>
      </c>
      <c r="G10" s="3"/>
      <c r="I10" s="12" t="s">
        <v>240</v>
      </c>
      <c r="J10" s="12" t="s">
        <v>449</v>
      </c>
    </row>
    <row r="11" spans="1:10" ht="15" thickBot="1">
      <c r="B11" s="1" t="s">
        <v>229</v>
      </c>
      <c r="C11" s="2" t="s">
        <v>216</v>
      </c>
      <c r="D11" s="1"/>
      <c r="E11" s="1"/>
      <c r="F11" s="1"/>
      <c r="G11" s="1"/>
      <c r="I11" s="12" t="s">
        <v>244</v>
      </c>
      <c r="J11" s="12" t="s">
        <v>450</v>
      </c>
    </row>
    <row r="12" spans="1:10" ht="15" thickBot="1">
      <c r="B12" s="3" t="s">
        <v>230</v>
      </c>
      <c r="C12" s="3" t="s">
        <v>231</v>
      </c>
      <c r="D12" s="13">
        <v>1200</v>
      </c>
      <c r="E12" s="33">
        <v>0.2</v>
      </c>
      <c r="F12" s="3" t="s">
        <v>290</v>
      </c>
      <c r="G12" s="3" t="s">
        <v>244</v>
      </c>
      <c r="I12" s="12" t="s">
        <v>224</v>
      </c>
      <c r="J12" s="12" t="s">
        <v>451</v>
      </c>
    </row>
    <row r="13" spans="1:10" ht="15" thickBot="1">
      <c r="B13" s="36" t="s">
        <v>236</v>
      </c>
      <c r="C13" s="3" t="s">
        <v>223</v>
      </c>
      <c r="D13" s="13">
        <v>56</v>
      </c>
      <c r="E13" s="3"/>
      <c r="F13" s="3" t="s">
        <v>290</v>
      </c>
      <c r="G13" s="3"/>
      <c r="I13" s="12"/>
      <c r="J13" s="12"/>
    </row>
    <row r="14" spans="1:10" ht="15" thickBot="1">
      <c r="B14" s="36" t="s">
        <v>237</v>
      </c>
      <c r="C14" s="3" t="s">
        <v>223</v>
      </c>
      <c r="D14" s="13">
        <v>44</v>
      </c>
      <c r="E14" s="3"/>
      <c r="F14" s="3" t="s">
        <v>290</v>
      </c>
      <c r="G14" s="3"/>
      <c r="I14" s="12"/>
      <c r="J14" s="12"/>
    </row>
    <row r="15" spans="1:10" ht="15" thickBot="1">
      <c r="B15" s="30" t="s">
        <v>263</v>
      </c>
      <c r="C15" s="3" t="s">
        <v>428</v>
      </c>
      <c r="D15" s="41">
        <v>20402</v>
      </c>
      <c r="E15" s="33">
        <v>0.2</v>
      </c>
      <c r="F15" s="3"/>
      <c r="G15" s="3"/>
      <c r="I15" s="4" t="s">
        <v>147</v>
      </c>
      <c r="J15" s="12"/>
    </row>
    <row r="16" spans="1:10" ht="15" thickBot="1">
      <c r="B16" s="3" t="s">
        <v>242</v>
      </c>
      <c r="C16" s="3" t="s">
        <v>452</v>
      </c>
      <c r="D16" s="13">
        <v>3270</v>
      </c>
      <c r="E16" s="3"/>
      <c r="F16" s="3" t="s">
        <v>290</v>
      </c>
      <c r="G16" s="3"/>
      <c r="I16" s="12" t="s">
        <v>151</v>
      </c>
      <c r="J16" s="12" t="s">
        <v>185</v>
      </c>
    </row>
    <row r="17" spans="2:10" ht="15" thickBot="1">
      <c r="B17" s="3" t="s">
        <v>453</v>
      </c>
      <c r="C17" s="3" t="s">
        <v>434</v>
      </c>
      <c r="D17" s="37">
        <v>0.6</v>
      </c>
      <c r="E17" s="3"/>
      <c r="F17" s="3" t="s">
        <v>290</v>
      </c>
      <c r="G17" s="3"/>
      <c r="I17" s="12" t="s">
        <v>184</v>
      </c>
      <c r="J17" s="12" t="s">
        <v>454</v>
      </c>
    </row>
    <row r="18" spans="2:10">
      <c r="I18" s="12" t="s">
        <v>186</v>
      </c>
      <c r="J18" s="12" t="s">
        <v>455</v>
      </c>
    </row>
    <row r="19" spans="2:10">
      <c r="I19" s="12" t="s">
        <v>188</v>
      </c>
      <c r="J19" s="12" t="s">
        <v>456</v>
      </c>
    </row>
    <row r="20" spans="2:10">
      <c r="B20" s="4" t="s">
        <v>214</v>
      </c>
      <c r="C20" s="4">
        <v>2030</v>
      </c>
    </row>
    <row r="21" spans="2:10" ht="15" thickBot="1">
      <c r="B21" s="1" t="s">
        <v>215</v>
      </c>
      <c r="C21" s="2" t="s">
        <v>216</v>
      </c>
      <c r="D21" s="1"/>
      <c r="E21" s="1" t="s">
        <v>217</v>
      </c>
      <c r="F21" s="1" t="s">
        <v>147</v>
      </c>
      <c r="G21" s="1" t="s">
        <v>148</v>
      </c>
      <c r="I21" s="4"/>
      <c r="J21" s="12"/>
    </row>
    <row r="22" spans="2:10" ht="15" thickBot="1">
      <c r="B22" s="3" t="s">
        <v>220</v>
      </c>
      <c r="C22" s="30" t="s">
        <v>443</v>
      </c>
      <c r="D22" s="3">
        <v>17</v>
      </c>
      <c r="E22" s="3"/>
      <c r="F22" s="3" t="s">
        <v>290</v>
      </c>
      <c r="G22" s="3" t="s">
        <v>444</v>
      </c>
    </row>
    <row r="23" spans="2:10" ht="15" thickBot="1">
      <c r="B23" s="3" t="s">
        <v>414</v>
      </c>
      <c r="C23" s="30" t="s">
        <v>445</v>
      </c>
      <c r="D23" s="3">
        <v>3</v>
      </c>
      <c r="E23" s="3"/>
      <c r="F23" s="3" t="s">
        <v>290</v>
      </c>
      <c r="G23" s="3"/>
    </row>
    <row r="24" spans="2:10" ht="15" thickBot="1">
      <c r="B24" s="3" t="s">
        <v>446</v>
      </c>
      <c r="C24" s="5" t="s">
        <v>223</v>
      </c>
      <c r="D24" s="13">
        <v>77</v>
      </c>
      <c r="E24" s="3"/>
      <c r="F24" s="3" t="s">
        <v>290</v>
      </c>
      <c r="G24" s="3" t="s">
        <v>224</v>
      </c>
    </row>
    <row r="25" spans="2:10" ht="15" thickBot="1">
      <c r="B25" s="3" t="s">
        <v>447</v>
      </c>
      <c r="C25" s="5" t="s">
        <v>223</v>
      </c>
      <c r="D25" s="13">
        <v>14</v>
      </c>
      <c r="E25" s="3"/>
      <c r="F25" s="3" t="s">
        <v>448</v>
      </c>
      <c r="G25" s="3" t="s">
        <v>224</v>
      </c>
    </row>
    <row r="26" spans="2:10" ht="15" thickBot="1">
      <c r="B26" s="3" t="s">
        <v>226</v>
      </c>
      <c r="C26" s="5" t="s">
        <v>227</v>
      </c>
      <c r="D26" s="3">
        <v>28</v>
      </c>
      <c r="E26" s="3"/>
      <c r="F26" s="3" t="s">
        <v>290</v>
      </c>
      <c r="G26" s="3"/>
    </row>
    <row r="27" spans="2:10" ht="15" thickBot="1">
      <c r="B27" s="1" t="s">
        <v>229</v>
      </c>
      <c r="C27" s="2" t="s">
        <v>216</v>
      </c>
      <c r="D27" s="1"/>
      <c r="E27" s="1"/>
      <c r="F27" s="1"/>
      <c r="G27" s="1"/>
    </row>
    <row r="28" spans="2:10" ht="15" thickBot="1">
      <c r="B28" s="3" t="s">
        <v>230</v>
      </c>
      <c r="C28" s="3" t="s">
        <v>231</v>
      </c>
      <c r="D28" s="13">
        <v>1172</v>
      </c>
      <c r="E28" s="33">
        <v>0.25</v>
      </c>
      <c r="F28" s="3" t="s">
        <v>290</v>
      </c>
      <c r="G28" s="3" t="s">
        <v>244</v>
      </c>
    </row>
    <row r="29" spans="2:10" ht="15" thickBot="1">
      <c r="B29" s="36" t="s">
        <v>236</v>
      </c>
      <c r="C29" s="3" t="s">
        <v>223</v>
      </c>
      <c r="D29" s="13">
        <v>58</v>
      </c>
      <c r="E29" s="3"/>
      <c r="F29" s="3" t="s">
        <v>290</v>
      </c>
      <c r="G29" s="3"/>
    </row>
    <row r="30" spans="2:10" ht="15" thickBot="1">
      <c r="B30" s="36" t="s">
        <v>237</v>
      </c>
      <c r="C30" s="3" t="s">
        <v>223</v>
      </c>
      <c r="D30" s="13">
        <v>42</v>
      </c>
      <c r="E30" s="3"/>
      <c r="F30" s="3" t="s">
        <v>290</v>
      </c>
      <c r="G30" s="3"/>
    </row>
    <row r="31" spans="2:10" ht="15" thickBot="1">
      <c r="B31" s="30" t="s">
        <v>263</v>
      </c>
      <c r="C31" s="3" t="s">
        <v>428</v>
      </c>
      <c r="D31" s="41">
        <v>19927</v>
      </c>
      <c r="E31" s="33">
        <v>0.25</v>
      </c>
      <c r="F31" s="3"/>
      <c r="G31" s="3"/>
    </row>
    <row r="32" spans="2:10" ht="15" thickBot="1">
      <c r="B32" s="3" t="s">
        <v>242</v>
      </c>
      <c r="C32" s="3" t="s">
        <v>452</v>
      </c>
      <c r="D32" s="13">
        <v>3142</v>
      </c>
      <c r="E32" s="3"/>
      <c r="F32" s="3" t="s">
        <v>290</v>
      </c>
      <c r="G32" s="3"/>
    </row>
    <row r="33" spans="2:10" ht="15" thickBot="1">
      <c r="B33" s="3" t="s">
        <v>453</v>
      </c>
      <c r="C33" s="3" t="s">
        <v>434</v>
      </c>
      <c r="D33" s="37">
        <v>0.6</v>
      </c>
      <c r="E33" s="3"/>
      <c r="F33" s="3" t="s">
        <v>290</v>
      </c>
      <c r="G33" s="3"/>
    </row>
    <row r="36" spans="2:10">
      <c r="B36" s="4" t="s">
        <v>214</v>
      </c>
      <c r="C36" s="4">
        <v>2040</v>
      </c>
    </row>
    <row r="37" spans="2:10" ht="15" thickBot="1">
      <c r="B37" s="1" t="s">
        <v>215</v>
      </c>
      <c r="C37" s="2" t="s">
        <v>216</v>
      </c>
      <c r="D37" s="1"/>
      <c r="E37" s="1" t="s">
        <v>217</v>
      </c>
      <c r="F37" s="1" t="s">
        <v>147</v>
      </c>
      <c r="G37" s="1" t="s">
        <v>148</v>
      </c>
      <c r="I37" s="4"/>
      <c r="J37" s="12"/>
    </row>
    <row r="38" spans="2:10" ht="15" thickBot="1">
      <c r="B38" s="3" t="s">
        <v>220</v>
      </c>
      <c r="C38" s="30" t="s">
        <v>443</v>
      </c>
      <c r="D38" s="3">
        <v>17</v>
      </c>
      <c r="E38" s="3"/>
      <c r="F38" s="3" t="s">
        <v>290</v>
      </c>
      <c r="G38" s="3" t="s">
        <v>444</v>
      </c>
      <c r="I38" s="12"/>
    </row>
    <row r="39" spans="2:10" ht="15" thickBot="1">
      <c r="B39" s="3" t="s">
        <v>414</v>
      </c>
      <c r="C39" s="30" t="s">
        <v>445</v>
      </c>
      <c r="D39" s="3">
        <v>3</v>
      </c>
      <c r="E39" s="3"/>
      <c r="F39" s="3" t="s">
        <v>290</v>
      </c>
      <c r="G39" s="3"/>
      <c r="I39" s="12"/>
    </row>
    <row r="40" spans="2:10" ht="15" thickBot="1">
      <c r="B40" s="3" t="s">
        <v>446</v>
      </c>
      <c r="C40" s="5" t="s">
        <v>223</v>
      </c>
      <c r="D40" s="13">
        <v>77</v>
      </c>
      <c r="E40" s="3"/>
      <c r="F40" s="3" t="s">
        <v>290</v>
      </c>
      <c r="G40" s="3" t="s">
        <v>224</v>
      </c>
      <c r="I40" s="12"/>
    </row>
    <row r="41" spans="2:10" ht="15" thickBot="1">
      <c r="B41" s="3" t="s">
        <v>447</v>
      </c>
      <c r="C41" s="5" t="s">
        <v>223</v>
      </c>
      <c r="D41" s="13">
        <v>14</v>
      </c>
      <c r="E41" s="3"/>
      <c r="F41" s="3" t="s">
        <v>448</v>
      </c>
      <c r="G41" s="3" t="s">
        <v>224</v>
      </c>
      <c r="I41" s="12"/>
    </row>
    <row r="42" spans="2:10" ht="15" thickBot="1">
      <c r="B42" s="3" t="s">
        <v>226</v>
      </c>
      <c r="C42" s="5" t="s">
        <v>227</v>
      </c>
      <c r="D42" s="3">
        <v>28</v>
      </c>
      <c r="E42" s="3"/>
      <c r="F42" s="3" t="s">
        <v>290</v>
      </c>
      <c r="G42" s="3"/>
    </row>
    <row r="43" spans="2:10" ht="15" thickBot="1">
      <c r="B43" s="1" t="s">
        <v>229</v>
      </c>
      <c r="C43" s="2" t="s">
        <v>216</v>
      </c>
      <c r="D43" s="1"/>
      <c r="E43" s="1"/>
      <c r="F43" s="1"/>
      <c r="G43" s="1"/>
    </row>
    <row r="44" spans="2:10" ht="15" thickBot="1">
      <c r="B44" s="3" t="s">
        <v>230</v>
      </c>
      <c r="C44" s="3" t="s">
        <v>231</v>
      </c>
      <c r="D44" s="13">
        <v>1158</v>
      </c>
      <c r="E44" s="33">
        <v>0.3</v>
      </c>
      <c r="F44" s="3" t="s">
        <v>290</v>
      </c>
      <c r="G44" s="3" t="s">
        <v>244</v>
      </c>
    </row>
    <row r="45" spans="2:10" ht="15" thickBot="1">
      <c r="B45" s="36" t="s">
        <v>236</v>
      </c>
      <c r="C45" s="3" t="s">
        <v>223</v>
      </c>
      <c r="D45" s="13">
        <v>58</v>
      </c>
      <c r="E45" s="3"/>
      <c r="F45" s="3" t="s">
        <v>290</v>
      </c>
      <c r="G45" s="3"/>
    </row>
    <row r="46" spans="2:10" ht="15" thickBot="1">
      <c r="B46" s="36" t="s">
        <v>237</v>
      </c>
      <c r="C46" s="3" t="s">
        <v>223</v>
      </c>
      <c r="D46" s="13">
        <v>42</v>
      </c>
      <c r="E46" s="3"/>
      <c r="F46" s="3" t="s">
        <v>290</v>
      </c>
      <c r="G46" s="3"/>
    </row>
    <row r="47" spans="2:10" ht="15" thickBot="1">
      <c r="B47" s="30" t="s">
        <v>263</v>
      </c>
      <c r="C47" s="3" t="s">
        <v>428</v>
      </c>
      <c r="D47" s="41">
        <v>19688</v>
      </c>
      <c r="E47" s="33">
        <v>0.3</v>
      </c>
      <c r="F47" s="3"/>
      <c r="G47" s="3"/>
    </row>
    <row r="48" spans="2:10" ht="15" thickBot="1">
      <c r="B48" s="3" t="s">
        <v>242</v>
      </c>
      <c r="C48" s="3" t="s">
        <v>452</v>
      </c>
      <c r="D48" s="13">
        <v>3078</v>
      </c>
      <c r="E48" s="3"/>
      <c r="F48" s="3" t="s">
        <v>290</v>
      </c>
      <c r="G48" s="3"/>
    </row>
    <row r="49" spans="2:7" ht="15" thickBot="1">
      <c r="B49" s="3" t="s">
        <v>453</v>
      </c>
      <c r="C49" s="3" t="s">
        <v>434</v>
      </c>
      <c r="D49" s="37">
        <v>0.6</v>
      </c>
      <c r="E49" s="3"/>
      <c r="F49" s="3" t="s">
        <v>290</v>
      </c>
      <c r="G49" s="3"/>
    </row>
  </sheetData>
  <mergeCells count="1">
    <mergeCell ref="F2:J3"/>
  </mergeCells>
  <conditionalFormatting sqref="E12 E7 E17 E23 E28 E39 E44 E33 E49">
    <cfRule type="colorScale" priority="4">
      <colorScale>
        <cfvo type="num" val="0"/>
        <cfvo type="num" val="0.5"/>
        <color theme="0"/>
        <color theme="5"/>
      </colorScale>
    </cfRule>
  </conditionalFormatting>
  <conditionalFormatting sqref="E15">
    <cfRule type="colorScale" priority="3">
      <colorScale>
        <cfvo type="num" val="0"/>
        <cfvo type="num" val="0.5"/>
        <color theme="0"/>
        <color theme="5"/>
      </colorScale>
    </cfRule>
  </conditionalFormatting>
  <conditionalFormatting sqref="E31">
    <cfRule type="colorScale" priority="2">
      <colorScale>
        <cfvo type="num" val="0"/>
        <cfvo type="num" val="0.5"/>
        <color theme="0"/>
        <color theme="5"/>
      </colorScale>
    </cfRule>
  </conditionalFormatting>
  <conditionalFormatting sqref="E47">
    <cfRule type="colorScale" priority="1">
      <colorScale>
        <cfvo type="num" val="0"/>
        <cfvo type="num" val="0.5"/>
        <color theme="0"/>
        <color theme="5"/>
      </colorScale>
    </cfRule>
  </conditionalFormatting>
  <hyperlinks>
    <hyperlink ref="A1" location="Inhalt!A1" display="Zum Inhalt" xr:uid="{F13E45B4-557A-409C-B032-8B9EED896570}"/>
  </hyperlinks>
  <pageMargins left="0.7" right="0.7" top="0.78740157499999996" bottom="0.78740157499999996"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8F820-430D-47E3-8302-C31CA7826BD2}">
  <sheetPr codeName="Tabelle23"/>
  <dimension ref="A1:K43"/>
  <sheetViews>
    <sheetView zoomScale="115" zoomScaleNormal="115" workbookViewId="0"/>
  </sheetViews>
  <sheetFormatPr baseColWidth="10" defaultColWidth="11.44140625" defaultRowHeight="14.4"/>
  <cols>
    <col min="2" max="2" width="33.33203125" bestFit="1" customWidth="1"/>
    <col min="3" max="3" width="9.33203125" customWidth="1"/>
  </cols>
  <sheetData>
    <row r="1" spans="1:11" ht="28.2" thickBot="1">
      <c r="A1" s="99" t="s">
        <v>143</v>
      </c>
    </row>
    <row r="2" spans="1:11">
      <c r="G2" s="142" t="s">
        <v>212</v>
      </c>
      <c r="H2" s="143"/>
      <c r="I2" s="143"/>
      <c r="J2" s="143"/>
      <c r="K2" s="144"/>
    </row>
    <row r="3" spans="1:11" ht="21" customHeight="1" thickBot="1">
      <c r="B3" s="4" t="s">
        <v>213</v>
      </c>
      <c r="C3" s="4" t="s">
        <v>106</v>
      </c>
      <c r="G3" s="145"/>
      <c r="H3" s="146"/>
      <c r="I3" s="146"/>
      <c r="J3" s="146"/>
      <c r="K3" s="147"/>
    </row>
    <row r="4" spans="1:11">
      <c r="B4" s="4" t="s">
        <v>214</v>
      </c>
      <c r="C4" s="4">
        <v>2023</v>
      </c>
    </row>
    <row r="5" spans="1:11" ht="15" thickBot="1">
      <c r="B5" s="1" t="s">
        <v>215</v>
      </c>
      <c r="C5" s="2" t="s">
        <v>216</v>
      </c>
      <c r="D5" s="1"/>
      <c r="E5" s="1" t="s">
        <v>217</v>
      </c>
      <c r="F5" s="1" t="s">
        <v>147</v>
      </c>
      <c r="G5" s="1" t="s">
        <v>148</v>
      </c>
      <c r="I5" s="4" t="s">
        <v>218</v>
      </c>
      <c r="J5" s="12" t="s">
        <v>442</v>
      </c>
    </row>
    <row r="6" spans="1:11" ht="15" thickBot="1">
      <c r="B6" s="3" t="s">
        <v>220</v>
      </c>
      <c r="C6" s="30" t="s">
        <v>443</v>
      </c>
      <c r="D6" s="31">
        <v>6.1</v>
      </c>
      <c r="E6" s="3"/>
      <c r="F6" s="3" t="s">
        <v>290</v>
      </c>
      <c r="G6" s="3" t="s">
        <v>444</v>
      </c>
      <c r="I6" s="12"/>
    </row>
    <row r="7" spans="1:11" ht="15" thickBot="1">
      <c r="B7" s="3" t="s">
        <v>446</v>
      </c>
      <c r="C7" s="5" t="s">
        <v>223</v>
      </c>
      <c r="D7" s="31">
        <v>90</v>
      </c>
      <c r="E7" s="3"/>
      <c r="F7" s="3" t="s">
        <v>290</v>
      </c>
      <c r="G7" s="3"/>
      <c r="I7" s="4" t="s">
        <v>234</v>
      </c>
      <c r="J7" s="12" t="s">
        <v>306</v>
      </c>
    </row>
    <row r="8" spans="1:11" ht="15" thickBot="1">
      <c r="B8" s="3" t="s">
        <v>226</v>
      </c>
      <c r="C8" s="5" t="s">
        <v>227</v>
      </c>
      <c r="D8" s="31">
        <v>28</v>
      </c>
      <c r="E8" s="3"/>
      <c r="F8" s="3" t="s">
        <v>290</v>
      </c>
      <c r="G8" s="3"/>
    </row>
    <row r="9" spans="1:11" ht="15" thickBot="1">
      <c r="B9" s="1" t="s">
        <v>229</v>
      </c>
      <c r="C9" s="2" t="s">
        <v>216</v>
      </c>
      <c r="D9" s="1"/>
      <c r="E9" s="1"/>
      <c r="F9" s="1"/>
      <c r="G9" s="1"/>
      <c r="I9" s="4" t="s">
        <v>148</v>
      </c>
    </row>
    <row r="10" spans="1:11" ht="15" thickBot="1">
      <c r="B10" s="3" t="s">
        <v>230</v>
      </c>
      <c r="C10" s="3" t="s">
        <v>231</v>
      </c>
      <c r="D10" s="13">
        <v>692</v>
      </c>
      <c r="E10" s="33">
        <v>0.2</v>
      </c>
      <c r="F10" s="3" t="s">
        <v>290</v>
      </c>
      <c r="G10" s="3" t="s">
        <v>244</v>
      </c>
      <c r="I10" s="12" t="s">
        <v>240</v>
      </c>
      <c r="J10" s="12" t="s">
        <v>449</v>
      </c>
    </row>
    <row r="11" spans="1:11" ht="15" thickBot="1">
      <c r="B11" s="36" t="s">
        <v>236</v>
      </c>
      <c r="C11" s="3" t="s">
        <v>223</v>
      </c>
      <c r="D11" s="13">
        <v>58</v>
      </c>
      <c r="E11" s="3"/>
      <c r="F11" s="3" t="s">
        <v>290</v>
      </c>
      <c r="G11" s="3"/>
      <c r="I11" s="12" t="s">
        <v>244</v>
      </c>
      <c r="J11" s="12" t="s">
        <v>450</v>
      </c>
    </row>
    <row r="12" spans="1:11" ht="15" thickBot="1">
      <c r="B12" s="36" t="s">
        <v>237</v>
      </c>
      <c r="C12" s="3" t="s">
        <v>223</v>
      </c>
      <c r="D12" s="13">
        <v>42</v>
      </c>
      <c r="E12" s="3"/>
      <c r="F12" s="3" t="s">
        <v>290</v>
      </c>
      <c r="G12" s="3"/>
      <c r="I12" s="12"/>
      <c r="J12" s="12"/>
    </row>
    <row r="13" spans="1:11" ht="15" thickBot="1">
      <c r="B13" s="30" t="s">
        <v>263</v>
      </c>
      <c r="C13" s="3" t="s">
        <v>428</v>
      </c>
      <c r="D13" s="41">
        <v>4222</v>
      </c>
      <c r="E13" s="33">
        <v>0.2</v>
      </c>
      <c r="F13" s="3"/>
      <c r="G13" s="3"/>
      <c r="I13" s="4" t="s">
        <v>147</v>
      </c>
      <c r="J13" s="12"/>
    </row>
    <row r="14" spans="1:11" ht="15" thickBot="1">
      <c r="B14" s="3" t="s">
        <v>242</v>
      </c>
      <c r="C14" s="3" t="s">
        <v>452</v>
      </c>
      <c r="D14" s="13">
        <v>5182</v>
      </c>
      <c r="E14" s="3"/>
      <c r="F14" s="3" t="s">
        <v>290</v>
      </c>
      <c r="G14" s="3"/>
      <c r="I14" s="12" t="s">
        <v>151</v>
      </c>
      <c r="J14" s="12" t="s">
        <v>185</v>
      </c>
    </row>
    <row r="15" spans="1:11" ht="15" thickBot="1">
      <c r="B15" s="3" t="s">
        <v>457</v>
      </c>
      <c r="C15" s="3" t="s">
        <v>458</v>
      </c>
      <c r="D15" s="37">
        <v>3</v>
      </c>
      <c r="E15" s="3"/>
      <c r="F15" s="3" t="s">
        <v>290</v>
      </c>
      <c r="G15" s="3"/>
      <c r="I15" s="12" t="s">
        <v>184</v>
      </c>
      <c r="J15" s="12" t="s">
        <v>454</v>
      </c>
    </row>
    <row r="16" spans="1:11">
      <c r="I16" s="12" t="s">
        <v>186</v>
      </c>
      <c r="J16" s="12" t="s">
        <v>455</v>
      </c>
    </row>
    <row r="17" spans="2:10">
      <c r="I17" s="12" t="s">
        <v>188</v>
      </c>
      <c r="J17" s="12" t="s">
        <v>456</v>
      </c>
    </row>
    <row r="18" spans="2:10">
      <c r="B18" s="4" t="s">
        <v>214</v>
      </c>
      <c r="C18" s="4">
        <v>2030</v>
      </c>
    </row>
    <row r="19" spans="2:10" ht="15" thickBot="1">
      <c r="B19" s="1" t="s">
        <v>215</v>
      </c>
      <c r="C19" s="2" t="s">
        <v>216</v>
      </c>
      <c r="D19" s="1"/>
      <c r="E19" s="1" t="s">
        <v>217</v>
      </c>
      <c r="F19" s="1" t="s">
        <v>147</v>
      </c>
      <c r="G19" s="1" t="s">
        <v>148</v>
      </c>
      <c r="I19" s="4"/>
      <c r="J19" s="12"/>
    </row>
    <row r="20" spans="2:10" ht="15" thickBot="1">
      <c r="B20" s="3" t="s">
        <v>220</v>
      </c>
      <c r="C20" s="30" t="s">
        <v>443</v>
      </c>
      <c r="D20" s="31">
        <v>6.1</v>
      </c>
      <c r="E20" s="3"/>
      <c r="F20" s="3" t="s">
        <v>290</v>
      </c>
      <c r="G20" s="3" t="s">
        <v>444</v>
      </c>
    </row>
    <row r="21" spans="2:10" ht="15" thickBot="1">
      <c r="B21" s="3" t="s">
        <v>446</v>
      </c>
      <c r="C21" s="5" t="s">
        <v>223</v>
      </c>
      <c r="D21" s="31">
        <v>90</v>
      </c>
      <c r="E21" s="3"/>
      <c r="F21" s="3" t="s">
        <v>290</v>
      </c>
      <c r="G21" s="3"/>
    </row>
    <row r="22" spans="2:10" ht="15" thickBot="1">
      <c r="B22" s="3" t="s">
        <v>226</v>
      </c>
      <c r="C22" s="5" t="s">
        <v>227</v>
      </c>
      <c r="D22" s="31">
        <v>28</v>
      </c>
      <c r="E22" s="3"/>
      <c r="F22" s="3" t="s">
        <v>290</v>
      </c>
      <c r="G22" s="3"/>
    </row>
    <row r="23" spans="2:10" ht="15" thickBot="1">
      <c r="B23" s="1" t="s">
        <v>229</v>
      </c>
      <c r="C23" s="2" t="s">
        <v>216</v>
      </c>
      <c r="D23" s="1"/>
      <c r="E23" s="1"/>
      <c r="F23" s="1"/>
      <c r="G23" s="1"/>
    </row>
    <row r="24" spans="2:10" ht="15" thickBot="1">
      <c r="B24" s="3" t="s">
        <v>230</v>
      </c>
      <c r="C24" s="3" t="s">
        <v>231</v>
      </c>
      <c r="D24" s="13">
        <v>658</v>
      </c>
      <c r="E24" s="33">
        <v>0.25</v>
      </c>
      <c r="F24" s="3" t="s">
        <v>290</v>
      </c>
      <c r="G24" s="3" t="s">
        <v>244</v>
      </c>
    </row>
    <row r="25" spans="2:10" ht="15" thickBot="1">
      <c r="B25" s="36" t="s">
        <v>236</v>
      </c>
      <c r="C25" s="3" t="s">
        <v>223</v>
      </c>
      <c r="D25" s="13">
        <v>58</v>
      </c>
      <c r="E25" s="3"/>
      <c r="F25" s="3" t="s">
        <v>290</v>
      </c>
      <c r="G25" s="3"/>
    </row>
    <row r="26" spans="2:10" ht="15" thickBot="1">
      <c r="B26" s="36" t="s">
        <v>237</v>
      </c>
      <c r="C26" s="3" t="s">
        <v>223</v>
      </c>
      <c r="D26" s="13">
        <v>42</v>
      </c>
      <c r="E26" s="3"/>
      <c r="F26" s="3" t="s">
        <v>290</v>
      </c>
      <c r="G26" s="3"/>
    </row>
    <row r="27" spans="2:10" ht="15" thickBot="1">
      <c r="B27" s="30" t="s">
        <v>263</v>
      </c>
      <c r="C27" s="3" t="s">
        <v>428</v>
      </c>
      <c r="D27" s="41">
        <v>4016</v>
      </c>
      <c r="E27" s="33">
        <v>0.25</v>
      </c>
      <c r="F27" s="3"/>
      <c r="G27" s="3"/>
    </row>
    <row r="28" spans="2:10" ht="15" thickBot="1">
      <c r="B28" s="3" t="s">
        <v>242</v>
      </c>
      <c r="C28" s="3" t="s">
        <v>452</v>
      </c>
      <c r="D28" s="13">
        <v>5001</v>
      </c>
      <c r="E28" s="3"/>
      <c r="F28" s="3" t="s">
        <v>290</v>
      </c>
      <c r="G28" s="3"/>
    </row>
    <row r="29" spans="2:10" ht="15" thickBot="1">
      <c r="B29" s="3" t="s">
        <v>457</v>
      </c>
      <c r="C29" s="3" t="s">
        <v>458</v>
      </c>
      <c r="D29" s="37">
        <v>3.8</v>
      </c>
      <c r="E29" s="3"/>
      <c r="F29" s="3" t="s">
        <v>290</v>
      </c>
      <c r="G29" s="3"/>
    </row>
    <row r="32" spans="2:10">
      <c r="B32" s="4" t="s">
        <v>214</v>
      </c>
      <c r="C32" s="4">
        <v>2040</v>
      </c>
    </row>
    <row r="33" spans="2:10" ht="15" thickBot="1">
      <c r="B33" s="1" t="s">
        <v>215</v>
      </c>
      <c r="C33" s="2" t="s">
        <v>216</v>
      </c>
      <c r="D33" s="1"/>
      <c r="E33" s="1" t="s">
        <v>217</v>
      </c>
      <c r="F33" s="1" t="s">
        <v>147</v>
      </c>
      <c r="G33" s="1" t="s">
        <v>148</v>
      </c>
      <c r="I33" s="4"/>
      <c r="J33" s="12"/>
    </row>
    <row r="34" spans="2:10" ht="15" thickBot="1">
      <c r="B34" s="3" t="s">
        <v>220</v>
      </c>
      <c r="C34" s="30" t="s">
        <v>443</v>
      </c>
      <c r="D34" s="31">
        <v>6.1</v>
      </c>
      <c r="E34" s="3"/>
      <c r="F34" s="3" t="s">
        <v>290</v>
      </c>
      <c r="G34" s="3" t="s">
        <v>444</v>
      </c>
      <c r="I34" s="12"/>
    </row>
    <row r="35" spans="2:10" ht="15" thickBot="1">
      <c r="B35" s="3" t="s">
        <v>446</v>
      </c>
      <c r="C35" s="5" t="s">
        <v>223</v>
      </c>
      <c r="D35" s="31">
        <v>90</v>
      </c>
      <c r="E35" s="3"/>
      <c r="F35" s="3" t="s">
        <v>290</v>
      </c>
      <c r="G35" s="3"/>
      <c r="I35" s="12"/>
    </row>
    <row r="36" spans="2:10" ht="15" thickBot="1">
      <c r="B36" s="3" t="s">
        <v>226</v>
      </c>
      <c r="C36" s="5" t="s">
        <v>227</v>
      </c>
      <c r="D36" s="31">
        <v>28</v>
      </c>
      <c r="E36" s="3"/>
      <c r="F36" s="3" t="s">
        <v>290</v>
      </c>
      <c r="G36" s="3"/>
    </row>
    <row r="37" spans="2:10" ht="15" thickBot="1">
      <c r="B37" s="1" t="s">
        <v>229</v>
      </c>
      <c r="C37" s="2" t="s">
        <v>216</v>
      </c>
      <c r="D37" s="1"/>
      <c r="E37" s="1"/>
      <c r="F37" s="1"/>
      <c r="G37" s="1"/>
    </row>
    <row r="38" spans="2:10" ht="15" thickBot="1">
      <c r="B38" s="3" t="s">
        <v>230</v>
      </c>
      <c r="C38" s="3" t="s">
        <v>231</v>
      </c>
      <c r="D38" s="13">
        <v>642</v>
      </c>
      <c r="E38" s="33">
        <v>0.3</v>
      </c>
      <c r="F38" s="3" t="s">
        <v>290</v>
      </c>
      <c r="G38" s="3" t="s">
        <v>244</v>
      </c>
    </row>
    <row r="39" spans="2:10" ht="15" thickBot="1">
      <c r="B39" s="36" t="s">
        <v>236</v>
      </c>
      <c r="C39" s="3" t="s">
        <v>223</v>
      </c>
      <c r="D39" s="13">
        <v>58</v>
      </c>
      <c r="E39" s="3"/>
      <c r="F39" s="3" t="s">
        <v>290</v>
      </c>
      <c r="G39" s="3"/>
    </row>
    <row r="40" spans="2:10" ht="15" thickBot="1">
      <c r="B40" s="36" t="s">
        <v>237</v>
      </c>
      <c r="C40" s="3" t="s">
        <v>223</v>
      </c>
      <c r="D40" s="13">
        <v>42</v>
      </c>
      <c r="E40" s="3"/>
      <c r="F40" s="3" t="s">
        <v>290</v>
      </c>
      <c r="G40" s="3"/>
    </row>
    <row r="41" spans="2:10" ht="15" thickBot="1">
      <c r="B41" s="30" t="s">
        <v>263</v>
      </c>
      <c r="C41" s="3" t="s">
        <v>428</v>
      </c>
      <c r="D41" s="41">
        <v>3916</v>
      </c>
      <c r="E41" s="33">
        <v>0.3</v>
      </c>
      <c r="F41" s="3"/>
      <c r="G41" s="3"/>
    </row>
    <row r="42" spans="2:10" ht="15" thickBot="1">
      <c r="B42" s="3" t="s">
        <v>242</v>
      </c>
      <c r="C42" s="3" t="s">
        <v>452</v>
      </c>
      <c r="D42" s="13">
        <v>4875</v>
      </c>
      <c r="E42" s="3"/>
      <c r="F42" s="3" t="s">
        <v>290</v>
      </c>
      <c r="G42" s="3"/>
    </row>
    <row r="43" spans="2:10" ht="15" thickBot="1">
      <c r="B43" s="3" t="s">
        <v>457</v>
      </c>
      <c r="C43" s="3" t="s">
        <v>458</v>
      </c>
      <c r="D43" s="37">
        <v>4.2</v>
      </c>
      <c r="E43" s="3"/>
      <c r="F43" s="3" t="s">
        <v>290</v>
      </c>
      <c r="G43" s="3"/>
    </row>
  </sheetData>
  <mergeCells count="1">
    <mergeCell ref="G2:K3"/>
  </mergeCells>
  <conditionalFormatting sqref="E10 E15 E38 E29 E43 E24">
    <cfRule type="colorScale" priority="4">
      <colorScale>
        <cfvo type="num" val="0"/>
        <cfvo type="num" val="0.5"/>
        <color theme="0"/>
        <color theme="5"/>
      </colorScale>
    </cfRule>
  </conditionalFormatting>
  <conditionalFormatting sqref="E13">
    <cfRule type="colorScale" priority="3">
      <colorScale>
        <cfvo type="num" val="0"/>
        <cfvo type="num" val="0.5"/>
        <color theme="0"/>
        <color theme="5"/>
      </colorScale>
    </cfRule>
  </conditionalFormatting>
  <conditionalFormatting sqref="E27">
    <cfRule type="colorScale" priority="2">
      <colorScale>
        <cfvo type="num" val="0"/>
        <cfvo type="num" val="0.5"/>
        <color theme="0"/>
        <color theme="5"/>
      </colorScale>
    </cfRule>
  </conditionalFormatting>
  <conditionalFormatting sqref="E41">
    <cfRule type="colorScale" priority="1">
      <colorScale>
        <cfvo type="num" val="0"/>
        <cfvo type="num" val="0.5"/>
        <color theme="0"/>
        <color theme="5"/>
      </colorScale>
    </cfRule>
  </conditionalFormatting>
  <hyperlinks>
    <hyperlink ref="A1" location="Inhalt!A1" display="Zum Inhalt" xr:uid="{5D0643A7-F814-4C42-914B-8B15882920A2}"/>
  </hyperlinks>
  <pageMargins left="0.7" right="0.7" top="0.78740157499999996" bottom="0.78740157499999996"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83C4D-C741-4641-96EE-79064A3FF16F}">
  <sheetPr codeName="Tabelle24"/>
  <dimension ref="A1:J43"/>
  <sheetViews>
    <sheetView zoomScaleNormal="100" workbookViewId="0"/>
  </sheetViews>
  <sheetFormatPr baseColWidth="10" defaultColWidth="11.44140625" defaultRowHeight="14.4"/>
  <cols>
    <col min="2" max="2" width="33.33203125" bestFit="1" customWidth="1"/>
    <col min="3" max="3" width="9.33203125" customWidth="1"/>
  </cols>
  <sheetData>
    <row r="1" spans="1:10" ht="28.2" thickBot="1">
      <c r="A1" s="99" t="s">
        <v>143</v>
      </c>
    </row>
    <row r="2" spans="1:10">
      <c r="F2" s="142" t="s">
        <v>212</v>
      </c>
      <c r="G2" s="143"/>
      <c r="H2" s="143"/>
      <c r="I2" s="143"/>
      <c r="J2" s="144"/>
    </row>
    <row r="3" spans="1:10" ht="23.7" customHeight="1" thickBot="1">
      <c r="B3" s="4" t="s">
        <v>213</v>
      </c>
      <c r="C3" s="4" t="s">
        <v>108</v>
      </c>
      <c r="F3" s="145"/>
      <c r="G3" s="146"/>
      <c r="H3" s="146"/>
      <c r="I3" s="146"/>
      <c r="J3" s="147"/>
    </row>
    <row r="4" spans="1:10">
      <c r="B4" s="4" t="s">
        <v>214</v>
      </c>
      <c r="C4" s="4">
        <v>2023</v>
      </c>
    </row>
    <row r="5" spans="1:10" ht="15" thickBot="1">
      <c r="B5" s="1" t="s">
        <v>215</v>
      </c>
      <c r="C5" s="2" t="s">
        <v>216</v>
      </c>
      <c r="D5" s="1"/>
      <c r="E5" s="1" t="s">
        <v>217</v>
      </c>
      <c r="F5" s="1" t="s">
        <v>147</v>
      </c>
      <c r="G5" s="1" t="s">
        <v>148</v>
      </c>
      <c r="I5" s="4" t="s">
        <v>218</v>
      </c>
      <c r="J5" s="12" t="s">
        <v>442</v>
      </c>
    </row>
    <row r="6" spans="1:10" ht="15" thickBot="1">
      <c r="B6" s="3" t="s">
        <v>220</v>
      </c>
      <c r="C6" s="30" t="s">
        <v>443</v>
      </c>
      <c r="D6" s="31">
        <v>5.8</v>
      </c>
      <c r="E6" s="3"/>
      <c r="F6" s="3" t="s">
        <v>290</v>
      </c>
      <c r="G6" s="3" t="s">
        <v>444</v>
      </c>
      <c r="I6" s="12"/>
    </row>
    <row r="7" spans="1:10" ht="15" thickBot="1">
      <c r="B7" s="3" t="s">
        <v>446</v>
      </c>
      <c r="C7" s="5" t="s">
        <v>223</v>
      </c>
      <c r="D7" s="31">
        <v>90</v>
      </c>
      <c r="E7" s="3"/>
      <c r="F7" s="3" t="s">
        <v>290</v>
      </c>
      <c r="G7" s="3"/>
      <c r="I7" s="4" t="s">
        <v>234</v>
      </c>
      <c r="J7" s="12" t="s">
        <v>306</v>
      </c>
    </row>
    <row r="8" spans="1:10" ht="15" thickBot="1">
      <c r="B8" s="3" t="s">
        <v>226</v>
      </c>
      <c r="C8" s="5" t="s">
        <v>227</v>
      </c>
      <c r="D8" s="31">
        <v>28</v>
      </c>
      <c r="E8" s="3"/>
      <c r="F8" s="3" t="s">
        <v>290</v>
      </c>
      <c r="G8" s="3"/>
    </row>
    <row r="9" spans="1:10" ht="15" thickBot="1">
      <c r="B9" s="1" t="s">
        <v>229</v>
      </c>
      <c r="C9" s="2" t="s">
        <v>216</v>
      </c>
      <c r="D9" s="1"/>
      <c r="E9" s="1"/>
      <c r="F9" s="1"/>
      <c r="G9" s="1"/>
      <c r="I9" s="4" t="s">
        <v>148</v>
      </c>
    </row>
    <row r="10" spans="1:10" ht="15" thickBot="1">
      <c r="B10" s="3" t="s">
        <v>230</v>
      </c>
      <c r="C10" s="3" t="s">
        <v>231</v>
      </c>
      <c r="D10" s="13">
        <v>717</v>
      </c>
      <c r="E10" s="33">
        <v>0.2</v>
      </c>
      <c r="F10" s="3" t="s">
        <v>290</v>
      </c>
      <c r="G10" s="3" t="s">
        <v>244</v>
      </c>
      <c r="I10" s="12" t="s">
        <v>240</v>
      </c>
      <c r="J10" s="12" t="s">
        <v>449</v>
      </c>
    </row>
    <row r="11" spans="1:10" ht="15" thickBot="1">
      <c r="B11" s="36" t="s">
        <v>236</v>
      </c>
      <c r="C11" s="3" t="s">
        <v>223</v>
      </c>
      <c r="D11" s="13">
        <v>61</v>
      </c>
      <c r="E11" s="3"/>
      <c r="F11" s="3" t="s">
        <v>290</v>
      </c>
      <c r="G11" s="3"/>
      <c r="I11" s="12" t="s">
        <v>244</v>
      </c>
      <c r="J11" s="12" t="s">
        <v>450</v>
      </c>
    </row>
    <row r="12" spans="1:10" ht="15" thickBot="1">
      <c r="B12" s="36" t="s">
        <v>237</v>
      </c>
      <c r="C12" s="3" t="s">
        <v>223</v>
      </c>
      <c r="D12" s="13">
        <v>39</v>
      </c>
      <c r="E12" s="3"/>
      <c r="F12" s="3" t="s">
        <v>290</v>
      </c>
      <c r="G12" s="3"/>
      <c r="I12" s="12"/>
      <c r="J12" s="12"/>
    </row>
    <row r="13" spans="1:10" ht="15" thickBot="1">
      <c r="B13" s="30" t="s">
        <v>263</v>
      </c>
      <c r="C13" s="3" t="s">
        <v>428</v>
      </c>
      <c r="D13" s="41">
        <v>4157</v>
      </c>
      <c r="E13" s="33">
        <v>0.2</v>
      </c>
      <c r="F13" s="3"/>
      <c r="G13" s="3"/>
      <c r="I13" s="4" t="s">
        <v>147</v>
      </c>
      <c r="J13" s="12"/>
    </row>
    <row r="14" spans="1:10" ht="15" thickBot="1">
      <c r="B14" s="3" t="s">
        <v>242</v>
      </c>
      <c r="C14" s="3" t="s">
        <v>452</v>
      </c>
      <c r="D14" s="13">
        <v>5557</v>
      </c>
      <c r="E14" s="3"/>
      <c r="F14" s="3" t="s">
        <v>290</v>
      </c>
      <c r="G14" s="3"/>
      <c r="I14" s="12" t="s">
        <v>151</v>
      </c>
      <c r="J14" s="12" t="s">
        <v>185</v>
      </c>
    </row>
    <row r="15" spans="1:10" ht="15" thickBot="1">
      <c r="B15" s="3" t="s">
        <v>457</v>
      </c>
      <c r="C15" s="3" t="s">
        <v>458</v>
      </c>
      <c r="D15" s="13">
        <v>2</v>
      </c>
      <c r="E15" s="3"/>
      <c r="F15" s="3" t="s">
        <v>290</v>
      </c>
      <c r="G15" s="3"/>
      <c r="I15" s="12" t="s">
        <v>184</v>
      </c>
      <c r="J15" s="12" t="s">
        <v>454</v>
      </c>
    </row>
    <row r="16" spans="1:10">
      <c r="I16" s="12" t="s">
        <v>186</v>
      </c>
      <c r="J16" s="12" t="s">
        <v>455</v>
      </c>
    </row>
    <row r="17" spans="2:10">
      <c r="I17" s="12" t="s">
        <v>188</v>
      </c>
      <c r="J17" s="12" t="s">
        <v>456</v>
      </c>
    </row>
    <row r="18" spans="2:10">
      <c r="B18" s="4" t="s">
        <v>214</v>
      </c>
      <c r="C18" s="4">
        <v>2030</v>
      </c>
    </row>
    <row r="19" spans="2:10" ht="15" thickBot="1">
      <c r="B19" s="1" t="s">
        <v>215</v>
      </c>
      <c r="C19" s="2" t="s">
        <v>216</v>
      </c>
      <c r="D19" s="1"/>
      <c r="E19" s="1" t="s">
        <v>217</v>
      </c>
      <c r="F19" s="1" t="s">
        <v>147</v>
      </c>
      <c r="G19" s="1" t="s">
        <v>148</v>
      </c>
      <c r="I19" s="4"/>
      <c r="J19" s="12"/>
    </row>
    <row r="20" spans="2:10" ht="15" thickBot="1">
      <c r="B20" s="3" t="s">
        <v>220</v>
      </c>
      <c r="C20" s="30" t="s">
        <v>443</v>
      </c>
      <c r="D20" s="31">
        <v>5.8</v>
      </c>
      <c r="E20" s="3"/>
      <c r="F20" s="3" t="s">
        <v>290</v>
      </c>
      <c r="G20" s="3" t="s">
        <v>444</v>
      </c>
    </row>
    <row r="21" spans="2:10" ht="15" thickBot="1">
      <c r="B21" s="3" t="s">
        <v>446</v>
      </c>
      <c r="C21" s="5" t="s">
        <v>223</v>
      </c>
      <c r="D21" s="31">
        <v>90</v>
      </c>
      <c r="E21" s="3"/>
      <c r="F21" s="3" t="s">
        <v>290</v>
      </c>
      <c r="G21" s="3"/>
    </row>
    <row r="22" spans="2:10" ht="15" thickBot="1">
      <c r="B22" s="3" t="s">
        <v>226</v>
      </c>
      <c r="C22" s="5" t="s">
        <v>227</v>
      </c>
      <c r="D22" s="31">
        <v>28</v>
      </c>
      <c r="E22" s="3"/>
      <c r="F22" s="3" t="s">
        <v>290</v>
      </c>
      <c r="G22" s="3"/>
    </row>
    <row r="23" spans="2:10" ht="15" thickBot="1">
      <c r="B23" s="1" t="s">
        <v>229</v>
      </c>
      <c r="C23" s="2" t="s">
        <v>216</v>
      </c>
      <c r="D23" s="1"/>
      <c r="E23" s="1"/>
      <c r="F23" s="1"/>
      <c r="G23" s="1"/>
    </row>
    <row r="24" spans="2:10" ht="15" thickBot="1">
      <c r="B24" s="3" t="s">
        <v>230</v>
      </c>
      <c r="C24" s="3" t="s">
        <v>231</v>
      </c>
      <c r="D24" s="13">
        <v>699</v>
      </c>
      <c r="E24" s="33">
        <v>0.25</v>
      </c>
      <c r="F24" s="3" t="s">
        <v>290</v>
      </c>
      <c r="G24" s="3" t="s">
        <v>244</v>
      </c>
    </row>
    <row r="25" spans="2:10" ht="15" thickBot="1">
      <c r="B25" s="36" t="s">
        <v>236</v>
      </c>
      <c r="C25" s="3" t="s">
        <v>223</v>
      </c>
      <c r="D25" s="13">
        <v>61</v>
      </c>
      <c r="E25" s="3"/>
      <c r="F25" s="3" t="s">
        <v>290</v>
      </c>
      <c r="G25" s="3"/>
    </row>
    <row r="26" spans="2:10" ht="15" thickBot="1">
      <c r="B26" s="36" t="s">
        <v>237</v>
      </c>
      <c r="C26" s="3" t="s">
        <v>223</v>
      </c>
      <c r="D26" s="13">
        <v>39</v>
      </c>
      <c r="E26" s="3"/>
      <c r="F26" s="3" t="s">
        <v>290</v>
      </c>
      <c r="G26" s="3"/>
    </row>
    <row r="27" spans="2:10" ht="15" thickBot="1">
      <c r="B27" s="30" t="s">
        <v>263</v>
      </c>
      <c r="C27" s="3" t="s">
        <v>428</v>
      </c>
      <c r="D27" s="41">
        <v>4052</v>
      </c>
      <c r="E27" s="33">
        <v>0.25</v>
      </c>
      <c r="F27" s="3"/>
      <c r="G27" s="3"/>
    </row>
    <row r="28" spans="2:10" ht="15" thickBot="1">
      <c r="B28" s="3" t="s">
        <v>242</v>
      </c>
      <c r="C28" s="3" t="s">
        <v>452</v>
      </c>
      <c r="D28" s="13">
        <v>5158</v>
      </c>
      <c r="E28" s="3"/>
      <c r="F28" s="3" t="s">
        <v>290</v>
      </c>
      <c r="G28" s="3"/>
    </row>
    <row r="29" spans="2:10" ht="15" thickBot="1">
      <c r="B29" s="3" t="s">
        <v>457</v>
      </c>
      <c r="C29" s="3" t="s">
        <v>458</v>
      </c>
      <c r="D29" s="13">
        <v>3</v>
      </c>
      <c r="E29" s="3"/>
      <c r="F29" s="3" t="s">
        <v>290</v>
      </c>
      <c r="G29" s="3"/>
    </row>
    <row r="32" spans="2:10">
      <c r="B32" s="4" t="s">
        <v>214</v>
      </c>
      <c r="C32" s="4">
        <v>2040</v>
      </c>
    </row>
    <row r="33" spans="2:10" ht="15" thickBot="1">
      <c r="B33" s="1" t="s">
        <v>215</v>
      </c>
      <c r="C33" s="2" t="s">
        <v>216</v>
      </c>
      <c r="D33" s="1"/>
      <c r="E33" s="1" t="s">
        <v>217</v>
      </c>
      <c r="F33" s="1" t="s">
        <v>147</v>
      </c>
      <c r="G33" s="1" t="s">
        <v>148</v>
      </c>
      <c r="I33" s="4"/>
      <c r="J33" s="12"/>
    </row>
    <row r="34" spans="2:10" ht="15" thickBot="1">
      <c r="B34" s="3" t="s">
        <v>220</v>
      </c>
      <c r="C34" s="30" t="s">
        <v>443</v>
      </c>
      <c r="D34" s="31">
        <v>5.8</v>
      </c>
      <c r="E34" s="3"/>
      <c r="F34" s="3" t="s">
        <v>290</v>
      </c>
      <c r="G34" s="3" t="s">
        <v>444</v>
      </c>
      <c r="I34" s="12"/>
    </row>
    <row r="35" spans="2:10" ht="15" thickBot="1">
      <c r="B35" s="3" t="s">
        <v>446</v>
      </c>
      <c r="C35" s="5" t="s">
        <v>223</v>
      </c>
      <c r="D35" s="31">
        <v>90</v>
      </c>
      <c r="E35" s="3"/>
      <c r="F35" s="3" t="s">
        <v>290</v>
      </c>
      <c r="G35" s="3"/>
      <c r="I35" s="12"/>
    </row>
    <row r="36" spans="2:10" ht="15" thickBot="1">
      <c r="B36" s="3" t="s">
        <v>226</v>
      </c>
      <c r="C36" s="5" t="s">
        <v>227</v>
      </c>
      <c r="D36" s="31">
        <v>28</v>
      </c>
      <c r="E36" s="3"/>
      <c r="F36" s="3" t="s">
        <v>290</v>
      </c>
      <c r="G36" s="3"/>
    </row>
    <row r="37" spans="2:10" ht="15" thickBot="1">
      <c r="B37" s="1" t="s">
        <v>229</v>
      </c>
      <c r="C37" s="2" t="s">
        <v>216</v>
      </c>
      <c r="D37" s="1"/>
      <c r="E37" s="1"/>
      <c r="F37" s="1"/>
      <c r="G37" s="1"/>
    </row>
    <row r="38" spans="2:10" ht="15" thickBot="1">
      <c r="B38" s="3" t="s">
        <v>230</v>
      </c>
      <c r="C38" s="3" t="s">
        <v>231</v>
      </c>
      <c r="D38" s="13">
        <v>689</v>
      </c>
      <c r="E38" s="33">
        <v>0.3</v>
      </c>
      <c r="F38" s="3" t="s">
        <v>290</v>
      </c>
      <c r="G38" s="3" t="s">
        <v>244</v>
      </c>
    </row>
    <row r="39" spans="2:10" ht="15" thickBot="1">
      <c r="B39" s="36" t="s">
        <v>236</v>
      </c>
      <c r="C39" s="3" t="s">
        <v>223</v>
      </c>
      <c r="D39" s="13">
        <v>62</v>
      </c>
      <c r="E39" s="3"/>
      <c r="F39" s="3" t="s">
        <v>290</v>
      </c>
      <c r="G39" s="3"/>
    </row>
    <row r="40" spans="2:10" ht="15" thickBot="1">
      <c r="B40" s="36" t="s">
        <v>237</v>
      </c>
      <c r="C40" s="3" t="s">
        <v>223</v>
      </c>
      <c r="D40" s="13">
        <v>38</v>
      </c>
      <c r="E40" s="3"/>
      <c r="F40" s="3" t="s">
        <v>290</v>
      </c>
      <c r="G40" s="3"/>
    </row>
    <row r="41" spans="2:10" ht="15" thickBot="1">
      <c r="B41" s="30" t="s">
        <v>263</v>
      </c>
      <c r="C41" s="3" t="s">
        <v>428</v>
      </c>
      <c r="D41" s="41">
        <v>3996</v>
      </c>
      <c r="E41" s="33">
        <v>0.3</v>
      </c>
      <c r="F41" s="3"/>
      <c r="G41" s="3"/>
    </row>
    <row r="42" spans="2:10" ht="15" thickBot="1">
      <c r="B42" s="3" t="s">
        <v>242</v>
      </c>
      <c r="C42" s="3" t="s">
        <v>452</v>
      </c>
      <c r="D42" s="13">
        <v>4958</v>
      </c>
      <c r="E42" s="3"/>
      <c r="F42" s="3" t="s">
        <v>290</v>
      </c>
      <c r="G42" s="3"/>
    </row>
    <row r="43" spans="2:10" ht="15" thickBot="1">
      <c r="B43" s="3" t="s">
        <v>457</v>
      </c>
      <c r="C43" s="3" t="s">
        <v>458</v>
      </c>
      <c r="D43" s="13">
        <v>3</v>
      </c>
      <c r="E43" s="3"/>
      <c r="F43" s="3" t="s">
        <v>290</v>
      </c>
      <c r="G43" s="3"/>
    </row>
  </sheetData>
  <mergeCells count="1">
    <mergeCell ref="F2:J3"/>
  </mergeCells>
  <conditionalFormatting sqref="E10 E15 E38 E29 E43 E24">
    <cfRule type="colorScale" priority="4">
      <colorScale>
        <cfvo type="num" val="0"/>
        <cfvo type="num" val="0.5"/>
        <color theme="0"/>
        <color theme="5"/>
      </colorScale>
    </cfRule>
  </conditionalFormatting>
  <conditionalFormatting sqref="E13">
    <cfRule type="colorScale" priority="3">
      <colorScale>
        <cfvo type="num" val="0"/>
        <cfvo type="num" val="0.5"/>
        <color theme="0"/>
        <color theme="5"/>
      </colorScale>
    </cfRule>
  </conditionalFormatting>
  <conditionalFormatting sqref="E27">
    <cfRule type="colorScale" priority="2">
      <colorScale>
        <cfvo type="num" val="0"/>
        <cfvo type="num" val="0.5"/>
        <color theme="0"/>
        <color theme="5"/>
      </colorScale>
    </cfRule>
  </conditionalFormatting>
  <conditionalFormatting sqref="E41">
    <cfRule type="colorScale" priority="1">
      <colorScale>
        <cfvo type="num" val="0"/>
        <cfvo type="num" val="0.5"/>
        <color theme="0"/>
        <color theme="5"/>
      </colorScale>
    </cfRule>
  </conditionalFormatting>
  <hyperlinks>
    <hyperlink ref="A1" location="Inhalt!A1" display="Zum Inhalt" xr:uid="{448451DE-A6D6-41BE-9535-67674E0BCC44}"/>
  </hyperlinks>
  <pageMargins left="0.7" right="0.7" top="0.78740157499999996" bottom="0.78740157499999996"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AD09D-2F1F-409D-B43B-32645D457ADF}">
  <sheetPr codeName="Tabelle25"/>
  <dimension ref="A1:J43"/>
  <sheetViews>
    <sheetView zoomScale="115" zoomScaleNormal="115" workbookViewId="0"/>
  </sheetViews>
  <sheetFormatPr baseColWidth="10" defaultColWidth="11.44140625" defaultRowHeight="14.4"/>
  <cols>
    <col min="2" max="2" width="33.33203125" bestFit="1" customWidth="1"/>
    <col min="3" max="3" width="9.33203125" customWidth="1"/>
  </cols>
  <sheetData>
    <row r="1" spans="1:10" ht="28.2" thickBot="1">
      <c r="A1" s="99" t="s">
        <v>143</v>
      </c>
    </row>
    <row r="2" spans="1:10">
      <c r="F2" s="142" t="s">
        <v>212</v>
      </c>
      <c r="G2" s="143"/>
      <c r="H2" s="143"/>
      <c r="I2" s="143"/>
      <c r="J2" s="144"/>
    </row>
    <row r="3" spans="1:10" ht="20.7" customHeight="1" thickBot="1">
      <c r="B3" s="4" t="s">
        <v>213</v>
      </c>
      <c r="C3" s="4" t="s">
        <v>110</v>
      </c>
      <c r="F3" s="145"/>
      <c r="G3" s="146"/>
      <c r="H3" s="146"/>
      <c r="I3" s="146"/>
      <c r="J3" s="147"/>
    </row>
    <row r="4" spans="1:10">
      <c r="B4" s="4" t="s">
        <v>214</v>
      </c>
      <c r="C4" s="4">
        <v>2023</v>
      </c>
    </row>
    <row r="5" spans="1:10" ht="15" thickBot="1">
      <c r="B5" s="1" t="s">
        <v>215</v>
      </c>
      <c r="C5" s="2" t="s">
        <v>216</v>
      </c>
      <c r="D5" s="1"/>
      <c r="E5" s="1" t="s">
        <v>217</v>
      </c>
      <c r="F5" s="1" t="s">
        <v>147</v>
      </c>
      <c r="G5" s="1" t="s">
        <v>148</v>
      </c>
      <c r="I5" s="4" t="s">
        <v>218</v>
      </c>
      <c r="J5" s="12" t="s">
        <v>442</v>
      </c>
    </row>
    <row r="6" spans="1:10" ht="15" thickBot="1">
      <c r="B6" s="3" t="s">
        <v>220</v>
      </c>
      <c r="C6" s="30" t="s">
        <v>443</v>
      </c>
      <c r="D6" s="31">
        <v>5.8</v>
      </c>
      <c r="E6" s="3"/>
      <c r="F6" s="3" t="s">
        <v>290</v>
      </c>
      <c r="G6" s="3" t="s">
        <v>444</v>
      </c>
      <c r="I6" s="12"/>
    </row>
    <row r="7" spans="1:10" ht="15" thickBot="1">
      <c r="B7" s="3" t="s">
        <v>446</v>
      </c>
      <c r="C7" s="5" t="s">
        <v>223</v>
      </c>
      <c r="D7" s="31">
        <v>90</v>
      </c>
      <c r="E7" s="3"/>
      <c r="F7" s="3" t="s">
        <v>290</v>
      </c>
      <c r="G7" s="3"/>
      <c r="I7" s="4" t="s">
        <v>234</v>
      </c>
      <c r="J7" s="12" t="s">
        <v>306</v>
      </c>
    </row>
    <row r="8" spans="1:10" ht="15" thickBot="1">
      <c r="B8" s="3" t="s">
        <v>226</v>
      </c>
      <c r="C8" s="5" t="s">
        <v>227</v>
      </c>
      <c r="D8" s="31">
        <v>28</v>
      </c>
      <c r="E8" s="3"/>
      <c r="F8" s="3" t="s">
        <v>290</v>
      </c>
      <c r="G8" s="3"/>
    </row>
    <row r="9" spans="1:10" ht="15" thickBot="1">
      <c r="B9" s="1" t="s">
        <v>229</v>
      </c>
      <c r="C9" s="2" t="s">
        <v>216</v>
      </c>
      <c r="D9" s="1"/>
      <c r="E9" s="1"/>
      <c r="F9" s="1"/>
      <c r="G9" s="1"/>
      <c r="I9" s="4" t="s">
        <v>148</v>
      </c>
    </row>
    <row r="10" spans="1:10" ht="15" thickBot="1">
      <c r="B10" s="3" t="s">
        <v>230</v>
      </c>
      <c r="C10" s="3" t="s">
        <v>231</v>
      </c>
      <c r="D10" s="13">
        <v>902</v>
      </c>
      <c r="E10" s="33">
        <v>0.2</v>
      </c>
      <c r="F10" s="3" t="s">
        <v>290</v>
      </c>
      <c r="G10" s="3" t="s">
        <v>244</v>
      </c>
      <c r="I10" s="12" t="s">
        <v>240</v>
      </c>
      <c r="J10" s="12" t="s">
        <v>449</v>
      </c>
    </row>
    <row r="11" spans="1:10" ht="15" thickBot="1">
      <c r="B11" s="36" t="s">
        <v>236</v>
      </c>
      <c r="C11" s="3" t="s">
        <v>223</v>
      </c>
      <c r="D11" s="13">
        <v>50</v>
      </c>
      <c r="E11" s="3"/>
      <c r="F11" s="3" t="s">
        <v>290</v>
      </c>
      <c r="G11" s="3"/>
      <c r="I11" s="12" t="s">
        <v>244</v>
      </c>
      <c r="J11" s="12" t="s">
        <v>450</v>
      </c>
    </row>
    <row r="12" spans="1:10" ht="15" thickBot="1">
      <c r="B12" s="36" t="s">
        <v>237</v>
      </c>
      <c r="C12" s="3" t="s">
        <v>223</v>
      </c>
      <c r="D12" s="13">
        <v>50</v>
      </c>
      <c r="E12" s="3"/>
      <c r="F12" s="3" t="s">
        <v>290</v>
      </c>
      <c r="G12" s="3"/>
      <c r="I12" s="12"/>
      <c r="J12" s="12"/>
    </row>
    <row r="13" spans="1:10" ht="15" thickBot="1">
      <c r="B13" s="30" t="s">
        <v>263</v>
      </c>
      <c r="C13" s="3" t="s">
        <v>428</v>
      </c>
      <c r="D13" s="41">
        <v>5231</v>
      </c>
      <c r="E13" s="33">
        <v>0.2</v>
      </c>
      <c r="F13" s="3"/>
      <c r="G13" s="3"/>
      <c r="I13" s="4" t="s">
        <v>147</v>
      </c>
      <c r="J13" s="12"/>
    </row>
    <row r="14" spans="1:10" ht="15" thickBot="1">
      <c r="B14" s="3" t="s">
        <v>242</v>
      </c>
      <c r="C14" s="3" t="s">
        <v>452</v>
      </c>
      <c r="D14" s="13">
        <v>8686</v>
      </c>
      <c r="E14" s="3"/>
      <c r="F14" s="3" t="s">
        <v>290</v>
      </c>
      <c r="G14" s="3"/>
      <c r="I14" s="12" t="s">
        <v>151</v>
      </c>
      <c r="J14" s="12" t="s">
        <v>185</v>
      </c>
    </row>
    <row r="15" spans="1:10" ht="15" thickBot="1">
      <c r="B15" s="3" t="s">
        <v>457</v>
      </c>
      <c r="C15" s="3" t="s">
        <v>458</v>
      </c>
      <c r="D15" s="37">
        <v>2.2000000000000002</v>
      </c>
      <c r="E15" s="3"/>
      <c r="F15" s="3" t="s">
        <v>290</v>
      </c>
      <c r="G15" s="3"/>
      <c r="I15" s="12" t="s">
        <v>184</v>
      </c>
      <c r="J15" s="12" t="s">
        <v>454</v>
      </c>
    </row>
    <row r="16" spans="1:10">
      <c r="I16" s="12" t="s">
        <v>186</v>
      </c>
      <c r="J16" s="12" t="s">
        <v>455</v>
      </c>
    </row>
    <row r="17" spans="2:10">
      <c r="I17" s="12" t="s">
        <v>188</v>
      </c>
      <c r="J17" s="12" t="s">
        <v>456</v>
      </c>
    </row>
    <row r="18" spans="2:10">
      <c r="B18" s="4" t="s">
        <v>214</v>
      </c>
      <c r="C18" s="4">
        <v>2030</v>
      </c>
    </row>
    <row r="19" spans="2:10" ht="15" thickBot="1">
      <c r="B19" s="1" t="s">
        <v>215</v>
      </c>
      <c r="C19" s="2" t="s">
        <v>216</v>
      </c>
      <c r="D19" s="1"/>
      <c r="E19" s="1" t="s">
        <v>217</v>
      </c>
      <c r="F19" s="1" t="s">
        <v>147</v>
      </c>
      <c r="G19" s="1" t="s">
        <v>148</v>
      </c>
      <c r="I19" s="4"/>
      <c r="J19" s="12"/>
    </row>
    <row r="20" spans="2:10" ht="15" thickBot="1">
      <c r="B20" s="3" t="s">
        <v>220</v>
      </c>
      <c r="C20" s="30" t="s">
        <v>443</v>
      </c>
      <c r="D20" s="31">
        <v>5.8</v>
      </c>
      <c r="E20" s="3"/>
      <c r="F20" s="3" t="s">
        <v>290</v>
      </c>
      <c r="G20" s="3" t="s">
        <v>444</v>
      </c>
    </row>
    <row r="21" spans="2:10" ht="15" thickBot="1">
      <c r="B21" s="3" t="s">
        <v>446</v>
      </c>
      <c r="C21" s="5" t="s">
        <v>223</v>
      </c>
      <c r="D21" s="31">
        <v>90</v>
      </c>
      <c r="E21" s="3"/>
      <c r="F21" s="3" t="s">
        <v>290</v>
      </c>
      <c r="G21" s="3"/>
    </row>
    <row r="22" spans="2:10" ht="15" thickBot="1">
      <c r="B22" s="3" t="s">
        <v>226</v>
      </c>
      <c r="C22" s="5" t="s">
        <v>227</v>
      </c>
      <c r="D22" s="31">
        <v>28</v>
      </c>
      <c r="E22" s="3"/>
      <c r="F22" s="3" t="s">
        <v>290</v>
      </c>
      <c r="G22" s="3"/>
    </row>
    <row r="23" spans="2:10" ht="15" thickBot="1">
      <c r="B23" s="1" t="s">
        <v>229</v>
      </c>
      <c r="C23" s="2" t="s">
        <v>216</v>
      </c>
      <c r="D23" s="1"/>
      <c r="E23" s="1"/>
      <c r="F23" s="1"/>
      <c r="G23" s="1"/>
    </row>
    <row r="24" spans="2:10" ht="15" thickBot="1">
      <c r="B24" s="3" t="s">
        <v>230</v>
      </c>
      <c r="C24" s="3" t="s">
        <v>231</v>
      </c>
      <c r="D24" s="13">
        <v>859</v>
      </c>
      <c r="E24" s="33">
        <v>0.25</v>
      </c>
      <c r="F24" s="3" t="s">
        <v>290</v>
      </c>
      <c r="G24" s="3" t="s">
        <v>244</v>
      </c>
    </row>
    <row r="25" spans="2:10" ht="15" thickBot="1">
      <c r="B25" s="36" t="s">
        <v>236</v>
      </c>
      <c r="C25" s="3" t="s">
        <v>223</v>
      </c>
      <c r="D25" s="13">
        <v>50</v>
      </c>
      <c r="E25" s="3"/>
      <c r="F25" s="3" t="s">
        <v>290</v>
      </c>
      <c r="G25" s="3"/>
    </row>
    <row r="26" spans="2:10" ht="15" thickBot="1">
      <c r="B26" s="36" t="s">
        <v>237</v>
      </c>
      <c r="C26" s="3" t="s">
        <v>223</v>
      </c>
      <c r="D26" s="13">
        <v>50</v>
      </c>
      <c r="E26" s="3"/>
      <c r="F26" s="3" t="s">
        <v>290</v>
      </c>
      <c r="G26" s="3"/>
    </row>
    <row r="27" spans="2:10" ht="15" thickBot="1">
      <c r="B27" s="30" t="s">
        <v>263</v>
      </c>
      <c r="C27" s="3" t="s">
        <v>428</v>
      </c>
      <c r="D27" s="41">
        <v>4985</v>
      </c>
      <c r="E27" s="33">
        <v>0.25</v>
      </c>
      <c r="F27" s="3"/>
      <c r="G27" s="3"/>
    </row>
    <row r="28" spans="2:10" ht="15" thickBot="1">
      <c r="B28" s="3" t="s">
        <v>242</v>
      </c>
      <c r="C28" s="3" t="s">
        <v>452</v>
      </c>
      <c r="D28" s="13">
        <v>7871</v>
      </c>
      <c r="E28" s="3"/>
      <c r="F28" s="3" t="s">
        <v>290</v>
      </c>
      <c r="G28" s="3"/>
    </row>
    <row r="29" spans="2:10" ht="15" thickBot="1">
      <c r="B29" s="3" t="s">
        <v>457</v>
      </c>
      <c r="C29" s="3" t="s">
        <v>458</v>
      </c>
      <c r="D29" s="37">
        <v>2.9</v>
      </c>
      <c r="E29" s="3"/>
      <c r="F29" s="3" t="s">
        <v>290</v>
      </c>
      <c r="G29" s="3"/>
    </row>
    <row r="32" spans="2:10">
      <c r="B32" s="4" t="s">
        <v>214</v>
      </c>
      <c r="C32" s="4">
        <v>2040</v>
      </c>
    </row>
    <row r="33" spans="2:10" ht="15" thickBot="1">
      <c r="B33" s="1" t="s">
        <v>215</v>
      </c>
      <c r="C33" s="2" t="s">
        <v>216</v>
      </c>
      <c r="D33" s="1"/>
      <c r="E33" s="1" t="s">
        <v>217</v>
      </c>
      <c r="F33" s="1" t="s">
        <v>147</v>
      </c>
      <c r="G33" s="1" t="s">
        <v>148</v>
      </c>
      <c r="I33" s="4"/>
      <c r="J33" s="12"/>
    </row>
    <row r="34" spans="2:10" ht="15" thickBot="1">
      <c r="B34" s="3" t="s">
        <v>220</v>
      </c>
      <c r="C34" s="30" t="s">
        <v>443</v>
      </c>
      <c r="D34" s="31">
        <v>5.8</v>
      </c>
      <c r="E34" s="3"/>
      <c r="F34" s="3" t="s">
        <v>290</v>
      </c>
      <c r="G34" s="3" t="s">
        <v>444</v>
      </c>
      <c r="I34" s="12"/>
    </row>
    <row r="35" spans="2:10" ht="15" thickBot="1">
      <c r="B35" s="3" t="s">
        <v>446</v>
      </c>
      <c r="C35" s="5" t="s">
        <v>223</v>
      </c>
      <c r="D35" s="31">
        <v>90</v>
      </c>
      <c r="E35" s="3"/>
      <c r="F35" s="3" t="s">
        <v>290</v>
      </c>
      <c r="G35" s="3"/>
      <c r="I35" s="12"/>
    </row>
    <row r="36" spans="2:10" ht="15" thickBot="1">
      <c r="B36" s="3" t="s">
        <v>226</v>
      </c>
      <c r="C36" s="5" t="s">
        <v>227</v>
      </c>
      <c r="D36" s="31">
        <v>28</v>
      </c>
      <c r="E36" s="3"/>
      <c r="F36" s="3" t="s">
        <v>290</v>
      </c>
      <c r="G36" s="3"/>
    </row>
    <row r="37" spans="2:10" ht="15" thickBot="1">
      <c r="B37" s="1" t="s">
        <v>229</v>
      </c>
      <c r="C37" s="2" t="s">
        <v>216</v>
      </c>
      <c r="D37" s="1"/>
      <c r="E37" s="1"/>
      <c r="F37" s="1"/>
      <c r="G37" s="1"/>
    </row>
    <row r="38" spans="2:10" ht="15" thickBot="1">
      <c r="B38" s="3" t="s">
        <v>230</v>
      </c>
      <c r="C38" s="3" t="s">
        <v>231</v>
      </c>
      <c r="D38" s="13">
        <v>838</v>
      </c>
      <c r="E38" s="33">
        <v>0.3</v>
      </c>
      <c r="F38" s="3" t="s">
        <v>290</v>
      </c>
      <c r="G38" s="3" t="s">
        <v>244</v>
      </c>
    </row>
    <row r="39" spans="2:10" ht="15" thickBot="1">
      <c r="B39" s="36" t="s">
        <v>236</v>
      </c>
      <c r="C39" s="3" t="s">
        <v>223</v>
      </c>
      <c r="D39" s="13">
        <v>50</v>
      </c>
      <c r="E39" s="3"/>
      <c r="F39" s="3" t="s">
        <v>290</v>
      </c>
      <c r="G39" s="3"/>
    </row>
    <row r="40" spans="2:10" ht="15" thickBot="1">
      <c r="B40" s="36" t="s">
        <v>237</v>
      </c>
      <c r="C40" s="3" t="s">
        <v>223</v>
      </c>
      <c r="D40" s="13">
        <v>50</v>
      </c>
      <c r="E40" s="3"/>
      <c r="F40" s="3" t="s">
        <v>290</v>
      </c>
      <c r="G40" s="3"/>
    </row>
    <row r="41" spans="2:10" ht="15" thickBot="1">
      <c r="B41" s="30" t="s">
        <v>263</v>
      </c>
      <c r="C41" s="3" t="s">
        <v>428</v>
      </c>
      <c r="D41" s="41">
        <v>4862</v>
      </c>
      <c r="E41" s="33">
        <v>0.3</v>
      </c>
      <c r="F41" s="3"/>
      <c r="G41" s="3"/>
    </row>
    <row r="42" spans="2:10" ht="15" thickBot="1">
      <c r="B42" s="3" t="s">
        <v>242</v>
      </c>
      <c r="C42" s="3" t="s">
        <v>452</v>
      </c>
      <c r="D42" s="13">
        <v>7463</v>
      </c>
      <c r="E42" s="3"/>
      <c r="F42" s="3" t="s">
        <v>290</v>
      </c>
      <c r="G42" s="3"/>
    </row>
    <row r="43" spans="2:10" ht="15" thickBot="1">
      <c r="B43" s="3" t="s">
        <v>457</v>
      </c>
      <c r="C43" s="3" t="s">
        <v>458</v>
      </c>
      <c r="D43" s="37">
        <v>3.3</v>
      </c>
      <c r="E43" s="3"/>
      <c r="F43" s="3" t="s">
        <v>290</v>
      </c>
      <c r="G43" s="3"/>
    </row>
  </sheetData>
  <mergeCells count="1">
    <mergeCell ref="F2:J3"/>
  </mergeCells>
  <conditionalFormatting sqref="E10 E15 E38 E29 E43 E24">
    <cfRule type="colorScale" priority="4">
      <colorScale>
        <cfvo type="num" val="0"/>
        <cfvo type="num" val="0.5"/>
        <color theme="0"/>
        <color theme="5"/>
      </colorScale>
    </cfRule>
  </conditionalFormatting>
  <conditionalFormatting sqref="E13">
    <cfRule type="colorScale" priority="3">
      <colorScale>
        <cfvo type="num" val="0"/>
        <cfvo type="num" val="0.5"/>
        <color theme="0"/>
        <color theme="5"/>
      </colorScale>
    </cfRule>
  </conditionalFormatting>
  <conditionalFormatting sqref="E27">
    <cfRule type="colorScale" priority="2">
      <colorScale>
        <cfvo type="num" val="0"/>
        <cfvo type="num" val="0.5"/>
        <color theme="0"/>
        <color theme="5"/>
      </colorScale>
    </cfRule>
  </conditionalFormatting>
  <conditionalFormatting sqref="E41">
    <cfRule type="colorScale" priority="1">
      <colorScale>
        <cfvo type="num" val="0"/>
        <cfvo type="num" val="0.5"/>
        <color theme="0"/>
        <color theme="5"/>
      </colorScale>
    </cfRule>
  </conditionalFormatting>
  <hyperlinks>
    <hyperlink ref="A1" location="Inhalt!A1" display="Zum Inhalt" xr:uid="{5931AD53-8B3E-48D9-A2C6-713FA81D403C}"/>
  </hyperlinks>
  <pageMargins left="0.7" right="0.7" top="0.78740157499999996" bottom="0.78740157499999996"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236C-5AFB-4DF4-9027-08E2C7C4CEBD}">
  <sheetPr codeName="Tabelle26"/>
  <dimension ref="A1:K49"/>
  <sheetViews>
    <sheetView zoomScale="115" zoomScaleNormal="115" workbookViewId="0"/>
  </sheetViews>
  <sheetFormatPr baseColWidth="10" defaultColWidth="11.44140625" defaultRowHeight="14.4"/>
  <cols>
    <col min="2" max="2" width="33.33203125" bestFit="1" customWidth="1"/>
    <col min="3" max="3" width="9.33203125" customWidth="1"/>
  </cols>
  <sheetData>
    <row r="1" spans="1:11" ht="28.2" thickBot="1">
      <c r="A1" s="99" t="s">
        <v>143</v>
      </c>
    </row>
    <row r="2" spans="1:11">
      <c r="G2" s="142" t="s">
        <v>212</v>
      </c>
      <c r="H2" s="143"/>
      <c r="I2" s="143"/>
      <c r="J2" s="143"/>
      <c r="K2" s="144"/>
    </row>
    <row r="3" spans="1:11" ht="21" customHeight="1" thickBot="1">
      <c r="B3" s="4" t="s">
        <v>213</v>
      </c>
      <c r="C3" s="4" t="s">
        <v>112</v>
      </c>
      <c r="G3" s="145"/>
      <c r="H3" s="146"/>
      <c r="I3" s="146"/>
      <c r="J3" s="146"/>
      <c r="K3" s="147"/>
    </row>
    <row r="4" spans="1:11">
      <c r="B4" s="4" t="s">
        <v>214</v>
      </c>
      <c r="C4" s="4">
        <v>2023</v>
      </c>
    </row>
    <row r="5" spans="1:11" ht="15" thickBot="1">
      <c r="B5" s="1" t="s">
        <v>215</v>
      </c>
      <c r="C5" s="2" t="s">
        <v>216</v>
      </c>
      <c r="D5" s="1"/>
      <c r="E5" s="1" t="s">
        <v>217</v>
      </c>
      <c r="F5" s="1" t="s">
        <v>147</v>
      </c>
      <c r="G5" s="1" t="s">
        <v>148</v>
      </c>
      <c r="I5" s="4" t="s">
        <v>218</v>
      </c>
      <c r="J5" s="12" t="s">
        <v>442</v>
      </c>
    </row>
    <row r="6" spans="1:11" ht="15" thickBot="1">
      <c r="B6" s="3" t="s">
        <v>220</v>
      </c>
      <c r="C6" s="30" t="s">
        <v>443</v>
      </c>
      <c r="D6" s="13">
        <v>351</v>
      </c>
      <c r="E6" s="3"/>
      <c r="F6" s="3" t="s">
        <v>290</v>
      </c>
      <c r="G6" s="3" t="s">
        <v>444</v>
      </c>
      <c r="I6" s="12"/>
    </row>
    <row r="7" spans="1:11" ht="15" thickBot="1">
      <c r="B7" s="3" t="s">
        <v>414</v>
      </c>
      <c r="C7" s="30" t="s">
        <v>445</v>
      </c>
      <c r="D7" s="13">
        <v>249</v>
      </c>
      <c r="E7" s="33"/>
      <c r="F7" s="3" t="s">
        <v>290</v>
      </c>
      <c r="G7" s="3"/>
      <c r="I7" s="4" t="s">
        <v>234</v>
      </c>
      <c r="J7" s="12" t="s">
        <v>306</v>
      </c>
    </row>
    <row r="8" spans="1:11" ht="15" thickBot="1">
      <c r="B8" s="3" t="s">
        <v>446</v>
      </c>
      <c r="C8" s="5" t="s">
        <v>223</v>
      </c>
      <c r="D8" s="13">
        <v>53</v>
      </c>
      <c r="E8" s="3"/>
      <c r="F8" s="3" t="s">
        <v>290</v>
      </c>
      <c r="G8" s="3" t="s">
        <v>224</v>
      </c>
    </row>
    <row r="9" spans="1:11" ht="15" thickBot="1">
      <c r="B9" s="3" t="s">
        <v>447</v>
      </c>
      <c r="C9" s="5" t="s">
        <v>223</v>
      </c>
      <c r="D9" s="13">
        <v>37</v>
      </c>
      <c r="E9" s="3"/>
      <c r="F9" s="3" t="s">
        <v>448</v>
      </c>
      <c r="G9" s="3" t="s">
        <v>224</v>
      </c>
      <c r="I9" s="4" t="s">
        <v>148</v>
      </c>
    </row>
    <row r="10" spans="1:11" ht="15" thickBot="1">
      <c r="B10" s="3" t="s">
        <v>226</v>
      </c>
      <c r="C10" s="5" t="s">
        <v>227</v>
      </c>
      <c r="D10" s="3">
        <v>25</v>
      </c>
      <c r="E10" s="3"/>
      <c r="F10" s="3" t="s">
        <v>290</v>
      </c>
      <c r="G10" s="3"/>
      <c r="I10" s="12" t="s">
        <v>240</v>
      </c>
      <c r="J10" s="12" t="s">
        <v>449</v>
      </c>
    </row>
    <row r="11" spans="1:11" ht="15" thickBot="1">
      <c r="B11" s="1" t="s">
        <v>229</v>
      </c>
      <c r="C11" s="2" t="s">
        <v>216</v>
      </c>
      <c r="D11" s="1"/>
      <c r="E11" s="1"/>
      <c r="F11" s="1"/>
      <c r="G11" s="1"/>
      <c r="I11" s="12" t="s">
        <v>244</v>
      </c>
      <c r="J11" s="12" t="s">
        <v>450</v>
      </c>
    </row>
    <row r="12" spans="1:11" ht="15" thickBot="1">
      <c r="B12" s="3" t="s">
        <v>230</v>
      </c>
      <c r="C12" s="3" t="s">
        <v>231</v>
      </c>
      <c r="D12" s="13">
        <v>1925</v>
      </c>
      <c r="E12" s="33">
        <v>0.2</v>
      </c>
      <c r="F12" s="3" t="s">
        <v>290</v>
      </c>
      <c r="G12" s="3" t="s">
        <v>244</v>
      </c>
      <c r="I12" s="12" t="s">
        <v>224</v>
      </c>
      <c r="J12" s="12" t="s">
        <v>451</v>
      </c>
    </row>
    <row r="13" spans="1:11" ht="15" thickBot="1">
      <c r="B13" s="36" t="s">
        <v>236</v>
      </c>
      <c r="C13" s="3" t="s">
        <v>223</v>
      </c>
      <c r="D13" s="13">
        <v>62</v>
      </c>
      <c r="E13" s="3"/>
      <c r="F13" s="3" t="s">
        <v>290</v>
      </c>
      <c r="G13" s="3"/>
      <c r="I13" s="12"/>
      <c r="J13" s="12"/>
    </row>
    <row r="14" spans="1:11" ht="15" thickBot="1">
      <c r="B14" s="36" t="s">
        <v>237</v>
      </c>
      <c r="C14" s="3" t="s">
        <v>223</v>
      </c>
      <c r="D14" s="13">
        <v>38</v>
      </c>
      <c r="E14" s="3"/>
      <c r="F14" s="3" t="s">
        <v>290</v>
      </c>
      <c r="G14" s="3"/>
      <c r="I14" s="12"/>
      <c r="J14" s="12"/>
    </row>
    <row r="15" spans="1:11" ht="15" thickBot="1">
      <c r="B15" s="30" t="s">
        <v>263</v>
      </c>
      <c r="C15" s="3" t="s">
        <v>428</v>
      </c>
      <c r="D15" s="41">
        <v>676078</v>
      </c>
      <c r="E15" s="33">
        <v>0.2</v>
      </c>
      <c r="F15" s="3"/>
      <c r="G15" s="3"/>
      <c r="I15" s="4" t="s">
        <v>147</v>
      </c>
      <c r="J15" s="12"/>
    </row>
    <row r="16" spans="1:11" ht="15" thickBot="1">
      <c r="B16" s="3" t="s">
        <v>242</v>
      </c>
      <c r="C16" s="3" t="s">
        <v>452</v>
      </c>
      <c r="D16" s="13">
        <v>145</v>
      </c>
      <c r="E16" s="3"/>
      <c r="F16" s="3" t="s">
        <v>290</v>
      </c>
      <c r="G16" s="3"/>
      <c r="I16" s="12" t="s">
        <v>151</v>
      </c>
      <c r="J16" s="12" t="s">
        <v>185</v>
      </c>
    </row>
    <row r="17" spans="2:10" ht="15" thickBot="1">
      <c r="B17" s="3" t="s">
        <v>453</v>
      </c>
      <c r="C17" s="3" t="s">
        <v>458</v>
      </c>
      <c r="D17" s="37">
        <v>1.1000000000000001</v>
      </c>
      <c r="E17" s="3"/>
      <c r="F17" s="3" t="s">
        <v>290</v>
      </c>
      <c r="G17" s="3"/>
      <c r="I17" s="12" t="s">
        <v>184</v>
      </c>
      <c r="J17" s="12" t="s">
        <v>459</v>
      </c>
    </row>
    <row r="18" spans="2:10">
      <c r="I18" s="12" t="s">
        <v>186</v>
      </c>
      <c r="J18" s="12" t="s">
        <v>455</v>
      </c>
    </row>
    <row r="19" spans="2:10">
      <c r="I19" s="12" t="s">
        <v>188</v>
      </c>
      <c r="J19" s="12" t="s">
        <v>456</v>
      </c>
    </row>
    <row r="20" spans="2:10">
      <c r="B20" s="4" t="s">
        <v>214</v>
      </c>
      <c r="C20" s="4">
        <v>2030</v>
      </c>
    </row>
    <row r="21" spans="2:10" ht="15" thickBot="1">
      <c r="B21" s="1" t="s">
        <v>215</v>
      </c>
      <c r="C21" s="2" t="s">
        <v>216</v>
      </c>
      <c r="D21" s="1"/>
      <c r="E21" s="1" t="s">
        <v>217</v>
      </c>
      <c r="F21" s="1" t="s">
        <v>147</v>
      </c>
      <c r="G21" s="1" t="s">
        <v>148</v>
      </c>
      <c r="I21" s="4"/>
      <c r="J21" s="12"/>
    </row>
    <row r="22" spans="2:10" ht="15" thickBot="1">
      <c r="B22" s="3" t="s">
        <v>220</v>
      </c>
      <c r="C22" s="30" t="s">
        <v>443</v>
      </c>
      <c r="D22" s="3">
        <v>351.3</v>
      </c>
      <c r="E22" s="3"/>
      <c r="F22" s="3" t="s">
        <v>290</v>
      </c>
      <c r="G22" s="3" t="s">
        <v>444</v>
      </c>
    </row>
    <row r="23" spans="2:10" ht="15" thickBot="1">
      <c r="B23" s="3" t="s">
        <v>414</v>
      </c>
      <c r="C23" s="30" t="s">
        <v>445</v>
      </c>
      <c r="D23" s="3">
        <v>248.7</v>
      </c>
      <c r="E23" s="3"/>
      <c r="F23" s="3" t="s">
        <v>290</v>
      </c>
      <c r="G23" s="3"/>
    </row>
    <row r="24" spans="2:10" ht="15" thickBot="1">
      <c r="B24" s="3" t="s">
        <v>446</v>
      </c>
      <c r="C24" s="5" t="s">
        <v>223</v>
      </c>
      <c r="D24" s="13">
        <v>53</v>
      </c>
      <c r="E24" s="3"/>
      <c r="F24" s="3" t="s">
        <v>290</v>
      </c>
      <c r="G24" s="3" t="s">
        <v>224</v>
      </c>
    </row>
    <row r="25" spans="2:10" ht="15" thickBot="1">
      <c r="B25" s="3" t="s">
        <v>447</v>
      </c>
      <c r="C25" s="5" t="s">
        <v>223</v>
      </c>
      <c r="D25" s="13">
        <v>37</v>
      </c>
      <c r="E25" s="3"/>
      <c r="F25" s="3" t="s">
        <v>448</v>
      </c>
      <c r="G25" s="3" t="s">
        <v>224</v>
      </c>
    </row>
    <row r="26" spans="2:10" ht="15" thickBot="1">
      <c r="B26" s="3" t="s">
        <v>226</v>
      </c>
      <c r="C26" s="5" t="s">
        <v>227</v>
      </c>
      <c r="D26" s="3">
        <v>25</v>
      </c>
      <c r="E26" s="3"/>
      <c r="F26" s="3" t="s">
        <v>290</v>
      </c>
      <c r="G26" s="3"/>
    </row>
    <row r="27" spans="2:10" ht="15" thickBot="1">
      <c r="B27" s="1" t="s">
        <v>229</v>
      </c>
      <c r="C27" s="2" t="s">
        <v>216</v>
      </c>
      <c r="D27" s="1"/>
      <c r="E27" s="1"/>
      <c r="F27" s="1"/>
      <c r="G27" s="1"/>
    </row>
    <row r="28" spans="2:10" ht="15" thickBot="1">
      <c r="B28" s="3" t="s">
        <v>230</v>
      </c>
      <c r="C28" s="3" t="s">
        <v>231</v>
      </c>
      <c r="D28" s="13">
        <v>1947</v>
      </c>
      <c r="E28" s="33">
        <v>0.25</v>
      </c>
      <c r="F28" s="3" t="s">
        <v>290</v>
      </c>
      <c r="G28" s="3" t="s">
        <v>244</v>
      </c>
    </row>
    <row r="29" spans="2:10" ht="15" thickBot="1">
      <c r="B29" s="36" t="s">
        <v>236</v>
      </c>
      <c r="C29" s="3" t="s">
        <v>223</v>
      </c>
      <c r="D29" s="13">
        <v>63</v>
      </c>
      <c r="E29" s="3"/>
      <c r="F29" s="3" t="s">
        <v>290</v>
      </c>
      <c r="G29" s="3"/>
    </row>
    <row r="30" spans="2:10" ht="15" thickBot="1">
      <c r="B30" s="36" t="s">
        <v>237</v>
      </c>
      <c r="C30" s="3" t="s">
        <v>223</v>
      </c>
      <c r="D30" s="13">
        <v>37</v>
      </c>
      <c r="E30" s="3"/>
      <c r="F30" s="3" t="s">
        <v>290</v>
      </c>
      <c r="G30" s="3"/>
    </row>
    <row r="31" spans="2:10" ht="15" thickBot="1">
      <c r="B31" s="30" t="s">
        <v>263</v>
      </c>
      <c r="C31" s="3" t="s">
        <v>428</v>
      </c>
      <c r="D31" s="41">
        <v>683890</v>
      </c>
      <c r="E31" s="33">
        <v>0.25</v>
      </c>
      <c r="F31" s="3"/>
      <c r="G31" s="3"/>
    </row>
    <row r="32" spans="2:10" ht="15" thickBot="1">
      <c r="B32" s="3" t="s">
        <v>242</v>
      </c>
      <c r="C32" s="3" t="s">
        <v>452</v>
      </c>
      <c r="D32" s="13">
        <v>140</v>
      </c>
      <c r="E32" s="3"/>
      <c r="F32" s="3" t="s">
        <v>290</v>
      </c>
      <c r="G32" s="3"/>
    </row>
    <row r="33" spans="2:10" ht="15" thickBot="1">
      <c r="B33" s="3" t="s">
        <v>453</v>
      </c>
      <c r="C33" s="3" t="s">
        <v>458</v>
      </c>
      <c r="D33" s="37">
        <v>1.1000000000000001</v>
      </c>
      <c r="E33" s="3"/>
      <c r="F33" s="3" t="s">
        <v>290</v>
      </c>
      <c r="G33" s="3"/>
    </row>
    <row r="36" spans="2:10">
      <c r="B36" s="4" t="s">
        <v>214</v>
      </c>
      <c r="C36" s="4">
        <v>2040</v>
      </c>
    </row>
    <row r="37" spans="2:10" ht="15" thickBot="1">
      <c r="B37" s="1" t="s">
        <v>215</v>
      </c>
      <c r="C37" s="2" t="s">
        <v>216</v>
      </c>
      <c r="D37" s="1"/>
      <c r="E37" s="1" t="s">
        <v>217</v>
      </c>
      <c r="F37" s="1" t="s">
        <v>147</v>
      </c>
      <c r="G37" s="1" t="s">
        <v>148</v>
      </c>
      <c r="I37" s="4"/>
      <c r="J37" s="12"/>
    </row>
    <row r="38" spans="2:10" ht="15" thickBot="1">
      <c r="B38" s="3" t="s">
        <v>220</v>
      </c>
      <c r="C38" s="30" t="s">
        <v>443</v>
      </c>
      <c r="D38" s="3">
        <v>351.3</v>
      </c>
      <c r="E38" s="3"/>
      <c r="F38" s="3" t="s">
        <v>290</v>
      </c>
      <c r="G38" s="3" t="s">
        <v>444</v>
      </c>
      <c r="I38" s="12"/>
    </row>
    <row r="39" spans="2:10" ht="15" thickBot="1">
      <c r="B39" s="3" t="s">
        <v>414</v>
      </c>
      <c r="C39" s="30" t="s">
        <v>445</v>
      </c>
      <c r="D39" s="3">
        <v>248.7</v>
      </c>
      <c r="E39" s="3"/>
      <c r="F39" s="3" t="s">
        <v>290</v>
      </c>
      <c r="G39" s="3"/>
      <c r="I39" s="12"/>
    </row>
    <row r="40" spans="2:10" ht="15" thickBot="1">
      <c r="B40" s="3" t="s">
        <v>446</v>
      </c>
      <c r="C40" s="5" t="s">
        <v>223</v>
      </c>
      <c r="D40" s="13">
        <v>53</v>
      </c>
      <c r="E40" s="3"/>
      <c r="F40" s="3" t="s">
        <v>290</v>
      </c>
      <c r="G40" s="3" t="s">
        <v>224</v>
      </c>
      <c r="I40" s="12"/>
    </row>
    <row r="41" spans="2:10" ht="15" thickBot="1">
      <c r="B41" s="3" t="s">
        <v>447</v>
      </c>
      <c r="C41" s="5" t="s">
        <v>223</v>
      </c>
      <c r="D41" s="13">
        <v>37</v>
      </c>
      <c r="E41" s="3"/>
      <c r="F41" s="3" t="s">
        <v>448</v>
      </c>
      <c r="G41" s="3" t="s">
        <v>224</v>
      </c>
      <c r="I41" s="12"/>
    </row>
    <row r="42" spans="2:10" ht="15" thickBot="1">
      <c r="B42" s="3" t="s">
        <v>226</v>
      </c>
      <c r="C42" s="5" t="s">
        <v>227</v>
      </c>
      <c r="D42" s="3">
        <v>25</v>
      </c>
      <c r="E42" s="3"/>
      <c r="F42" s="3" t="s">
        <v>290</v>
      </c>
      <c r="G42" s="3"/>
    </row>
    <row r="43" spans="2:10" ht="15" thickBot="1">
      <c r="B43" s="1" t="s">
        <v>229</v>
      </c>
      <c r="C43" s="2" t="s">
        <v>216</v>
      </c>
      <c r="D43" s="1"/>
      <c r="E43" s="1"/>
      <c r="F43" s="1"/>
      <c r="G43" s="1"/>
    </row>
    <row r="44" spans="2:10" ht="15" thickBot="1">
      <c r="B44" s="3" t="s">
        <v>230</v>
      </c>
      <c r="C44" s="3" t="s">
        <v>231</v>
      </c>
      <c r="D44" s="13">
        <v>1958</v>
      </c>
      <c r="E44" s="33">
        <v>0.3</v>
      </c>
      <c r="F44" s="3" t="s">
        <v>290</v>
      </c>
      <c r="G44" s="3" t="s">
        <v>244</v>
      </c>
    </row>
    <row r="45" spans="2:10" ht="15" thickBot="1">
      <c r="B45" s="36" t="s">
        <v>236</v>
      </c>
      <c r="C45" s="3" t="s">
        <v>223</v>
      </c>
      <c r="D45" s="13">
        <v>64</v>
      </c>
      <c r="E45" s="3"/>
      <c r="F45" s="3" t="s">
        <v>290</v>
      </c>
      <c r="G45" s="3"/>
    </row>
    <row r="46" spans="2:10" ht="15" thickBot="1">
      <c r="B46" s="36" t="s">
        <v>237</v>
      </c>
      <c r="C46" s="3" t="s">
        <v>223</v>
      </c>
      <c r="D46" s="13">
        <v>36</v>
      </c>
      <c r="E46" s="3"/>
      <c r="F46" s="3" t="s">
        <v>290</v>
      </c>
      <c r="G46" s="3"/>
    </row>
    <row r="47" spans="2:10" ht="15" thickBot="1">
      <c r="B47" s="30" t="s">
        <v>263</v>
      </c>
      <c r="C47" s="3" t="s">
        <v>428</v>
      </c>
      <c r="D47" s="41">
        <v>687872</v>
      </c>
      <c r="E47" s="33">
        <v>0.3</v>
      </c>
      <c r="F47" s="3"/>
      <c r="G47" s="3"/>
    </row>
    <row r="48" spans="2:10" ht="15" thickBot="1">
      <c r="B48" s="3" t="s">
        <v>242</v>
      </c>
      <c r="C48" s="3" t="s">
        <v>452</v>
      </c>
      <c r="D48" s="13">
        <v>137</v>
      </c>
      <c r="E48" s="3"/>
      <c r="F48" s="3" t="s">
        <v>290</v>
      </c>
      <c r="G48" s="3"/>
    </row>
    <row r="49" spans="2:7" ht="15" thickBot="1">
      <c r="B49" s="3" t="s">
        <v>453</v>
      </c>
      <c r="C49" s="3" t="s">
        <v>458</v>
      </c>
      <c r="D49" s="37">
        <v>1.1000000000000001</v>
      </c>
      <c r="E49" s="3"/>
      <c r="F49" s="3" t="s">
        <v>290</v>
      </c>
      <c r="G49" s="3"/>
    </row>
  </sheetData>
  <mergeCells count="1">
    <mergeCell ref="G2:K3"/>
  </mergeCells>
  <conditionalFormatting sqref="E12 E7 E17 E23 E28 E39 E44 E33 E49">
    <cfRule type="colorScale" priority="4">
      <colorScale>
        <cfvo type="num" val="0"/>
        <cfvo type="num" val="0.5"/>
        <color theme="0"/>
        <color theme="5"/>
      </colorScale>
    </cfRule>
  </conditionalFormatting>
  <conditionalFormatting sqref="E15">
    <cfRule type="colorScale" priority="3">
      <colorScale>
        <cfvo type="num" val="0"/>
        <cfvo type="num" val="0.5"/>
        <color theme="0"/>
        <color theme="5"/>
      </colorScale>
    </cfRule>
  </conditionalFormatting>
  <conditionalFormatting sqref="E31">
    <cfRule type="colorScale" priority="2">
      <colorScale>
        <cfvo type="num" val="0"/>
        <cfvo type="num" val="0.5"/>
        <color theme="0"/>
        <color theme="5"/>
      </colorScale>
    </cfRule>
  </conditionalFormatting>
  <conditionalFormatting sqref="E47">
    <cfRule type="colorScale" priority="1">
      <colorScale>
        <cfvo type="num" val="0"/>
        <cfvo type="num" val="0.5"/>
        <color theme="0"/>
        <color theme="5"/>
      </colorScale>
    </cfRule>
  </conditionalFormatting>
  <hyperlinks>
    <hyperlink ref="A1" location="Inhalt!A1" display="Zum Inhalt" xr:uid="{C5E4822D-30E1-481D-AAA2-0DD5F8959448}"/>
  </hyperlinks>
  <pageMargins left="0.7" right="0.7" top="0.78740157499999996" bottom="0.78740157499999996"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1368-5361-4C47-940F-23AF9512357B}">
  <sheetPr codeName="Tabelle27"/>
  <dimension ref="A1:K49"/>
  <sheetViews>
    <sheetView zoomScale="115" zoomScaleNormal="115" workbookViewId="0"/>
  </sheetViews>
  <sheetFormatPr baseColWidth="10" defaultColWidth="11.44140625" defaultRowHeight="14.4"/>
  <cols>
    <col min="2" max="2" width="33.33203125" bestFit="1" customWidth="1"/>
    <col min="3" max="3" width="9.33203125" customWidth="1"/>
  </cols>
  <sheetData>
    <row r="1" spans="1:11" ht="28.2" thickBot="1">
      <c r="A1" s="99" t="s">
        <v>143</v>
      </c>
    </row>
    <row r="2" spans="1:11">
      <c r="G2" s="142" t="s">
        <v>212</v>
      </c>
      <c r="H2" s="143"/>
      <c r="I2" s="143"/>
      <c r="J2" s="143"/>
      <c r="K2" s="144"/>
    </row>
    <row r="3" spans="1:11" ht="22.2" customHeight="1" thickBot="1">
      <c r="B3" s="4" t="s">
        <v>213</v>
      </c>
      <c r="C3" s="4" t="s">
        <v>114</v>
      </c>
      <c r="G3" s="145"/>
      <c r="H3" s="146"/>
      <c r="I3" s="146"/>
      <c r="J3" s="146"/>
      <c r="K3" s="147"/>
    </row>
    <row r="4" spans="1:11">
      <c r="B4" s="4" t="s">
        <v>214</v>
      </c>
      <c r="C4" s="4">
        <v>2023</v>
      </c>
    </row>
    <row r="5" spans="1:11" ht="15" thickBot="1">
      <c r="B5" s="1" t="s">
        <v>215</v>
      </c>
      <c r="C5" s="2" t="s">
        <v>216</v>
      </c>
      <c r="D5" s="1"/>
      <c r="E5" s="1" t="s">
        <v>217</v>
      </c>
      <c r="F5" s="1" t="s">
        <v>147</v>
      </c>
      <c r="G5" s="1" t="s">
        <v>148</v>
      </c>
      <c r="I5" s="4" t="s">
        <v>218</v>
      </c>
      <c r="J5" s="12" t="s">
        <v>442</v>
      </c>
    </row>
    <row r="6" spans="1:11" ht="15" thickBot="1">
      <c r="B6" s="3" t="s">
        <v>220</v>
      </c>
      <c r="C6" s="30" t="s">
        <v>443</v>
      </c>
      <c r="D6" s="3">
        <v>446.7</v>
      </c>
      <c r="E6" s="3"/>
      <c r="F6" s="3" t="s">
        <v>290</v>
      </c>
      <c r="G6" s="3" t="s">
        <v>444</v>
      </c>
      <c r="I6" s="12"/>
    </row>
    <row r="7" spans="1:11" ht="15" thickBot="1">
      <c r="B7" s="3" t="s">
        <v>414</v>
      </c>
      <c r="C7" s="30" t="s">
        <v>445</v>
      </c>
      <c r="D7" s="3">
        <v>353.4</v>
      </c>
      <c r="E7" s="33"/>
      <c r="F7" s="3" t="s">
        <v>290</v>
      </c>
      <c r="G7" s="3"/>
      <c r="I7" s="4" t="s">
        <v>234</v>
      </c>
      <c r="J7" s="12" t="s">
        <v>306</v>
      </c>
    </row>
    <row r="8" spans="1:11" ht="15" thickBot="1">
      <c r="B8" s="3" t="s">
        <v>446</v>
      </c>
      <c r="C8" s="5" t="s">
        <v>223</v>
      </c>
      <c r="D8" s="13">
        <v>50</v>
      </c>
      <c r="E8" s="3"/>
      <c r="F8" s="3" t="s">
        <v>290</v>
      </c>
      <c r="G8" s="3" t="s">
        <v>224</v>
      </c>
    </row>
    <row r="9" spans="1:11" ht="15" thickBot="1">
      <c r="B9" s="3" t="s">
        <v>447</v>
      </c>
      <c r="C9" s="5" t="s">
        <v>223</v>
      </c>
      <c r="D9" s="13">
        <v>40</v>
      </c>
      <c r="E9" s="3"/>
      <c r="F9" s="3" t="s">
        <v>448</v>
      </c>
      <c r="G9" s="3" t="s">
        <v>224</v>
      </c>
      <c r="I9" s="4" t="s">
        <v>148</v>
      </c>
    </row>
    <row r="10" spans="1:11" ht="15" thickBot="1">
      <c r="B10" s="3" t="s">
        <v>226</v>
      </c>
      <c r="C10" s="5" t="s">
        <v>227</v>
      </c>
      <c r="D10" s="3">
        <v>25</v>
      </c>
      <c r="E10" s="3"/>
      <c r="F10" s="3" t="s">
        <v>290</v>
      </c>
      <c r="G10" s="3"/>
      <c r="I10" s="12" t="s">
        <v>240</v>
      </c>
      <c r="J10" s="12" t="s">
        <v>449</v>
      </c>
    </row>
    <row r="11" spans="1:11" ht="15" thickBot="1">
      <c r="B11" s="1" t="s">
        <v>229</v>
      </c>
      <c r="C11" s="2" t="s">
        <v>216</v>
      </c>
      <c r="D11" s="1"/>
      <c r="E11" s="1"/>
      <c r="F11" s="1"/>
      <c r="G11" s="1"/>
      <c r="I11" s="12" t="s">
        <v>244</v>
      </c>
      <c r="J11" s="12" t="s">
        <v>450</v>
      </c>
    </row>
    <row r="12" spans="1:11" ht="15" thickBot="1">
      <c r="B12" s="3" t="s">
        <v>230</v>
      </c>
      <c r="C12" s="3" t="s">
        <v>231</v>
      </c>
      <c r="D12" s="41">
        <v>1758</v>
      </c>
      <c r="E12" s="33">
        <v>0.2</v>
      </c>
      <c r="F12" s="3" t="s">
        <v>290</v>
      </c>
      <c r="G12" s="3" t="s">
        <v>244</v>
      </c>
      <c r="I12" s="12" t="s">
        <v>224</v>
      </c>
      <c r="J12" s="12" t="s">
        <v>451</v>
      </c>
    </row>
    <row r="13" spans="1:11" ht="15" thickBot="1">
      <c r="B13" s="36" t="s">
        <v>236</v>
      </c>
      <c r="C13" s="3" t="s">
        <v>223</v>
      </c>
      <c r="D13" s="13">
        <v>61</v>
      </c>
      <c r="E13" s="3"/>
      <c r="F13" s="3" t="s">
        <v>290</v>
      </c>
      <c r="G13" s="3"/>
      <c r="I13" s="12"/>
      <c r="J13" s="12"/>
    </row>
    <row r="14" spans="1:11" ht="15" thickBot="1">
      <c r="B14" s="36" t="s">
        <v>237</v>
      </c>
      <c r="C14" s="3" t="s">
        <v>223</v>
      </c>
      <c r="D14" s="13">
        <v>39</v>
      </c>
      <c r="E14" s="3"/>
      <c r="F14" s="3" t="s">
        <v>290</v>
      </c>
      <c r="G14" s="3"/>
      <c r="I14" s="12"/>
      <c r="J14" s="12"/>
    </row>
    <row r="15" spans="1:11" ht="15" thickBot="1">
      <c r="B15" s="30" t="s">
        <v>263</v>
      </c>
      <c r="C15" s="3" t="s">
        <v>428</v>
      </c>
      <c r="D15" s="41">
        <v>785082</v>
      </c>
      <c r="E15" s="33">
        <v>0.2</v>
      </c>
      <c r="F15" s="3"/>
      <c r="G15" s="3"/>
      <c r="I15" s="4" t="s">
        <v>147</v>
      </c>
      <c r="J15" s="12"/>
    </row>
    <row r="16" spans="1:11" ht="15" thickBot="1">
      <c r="B16" s="3" t="s">
        <v>242</v>
      </c>
      <c r="C16" s="3" t="s">
        <v>452</v>
      </c>
      <c r="D16" s="41">
        <v>99</v>
      </c>
      <c r="E16" s="3"/>
      <c r="F16" s="3" t="s">
        <v>290</v>
      </c>
      <c r="G16" s="3"/>
      <c r="I16" s="12" t="s">
        <v>151</v>
      </c>
      <c r="J16" s="12" t="s">
        <v>185</v>
      </c>
    </row>
    <row r="17" spans="2:10" ht="15" thickBot="1">
      <c r="B17" s="3" t="s">
        <v>453</v>
      </c>
      <c r="C17" s="3" t="s">
        <v>458</v>
      </c>
      <c r="D17" s="42">
        <v>0.5</v>
      </c>
      <c r="E17" s="3"/>
      <c r="F17" s="3" t="s">
        <v>290</v>
      </c>
      <c r="G17" s="3"/>
      <c r="I17" s="12" t="s">
        <v>184</v>
      </c>
      <c r="J17" s="12" t="s">
        <v>459</v>
      </c>
    </row>
    <row r="18" spans="2:10">
      <c r="I18" s="12" t="s">
        <v>186</v>
      </c>
      <c r="J18" s="12" t="s">
        <v>455</v>
      </c>
    </row>
    <row r="19" spans="2:10">
      <c r="I19" s="12" t="s">
        <v>188</v>
      </c>
      <c r="J19" s="12" t="s">
        <v>456</v>
      </c>
    </row>
    <row r="20" spans="2:10">
      <c r="B20" s="4" t="s">
        <v>214</v>
      </c>
      <c r="C20" s="4">
        <v>2030</v>
      </c>
    </row>
    <row r="21" spans="2:10" ht="15" thickBot="1">
      <c r="B21" s="1" t="s">
        <v>215</v>
      </c>
      <c r="C21" s="2" t="s">
        <v>216</v>
      </c>
      <c r="D21" s="1"/>
      <c r="E21" s="1" t="s">
        <v>217</v>
      </c>
      <c r="F21" s="1" t="s">
        <v>147</v>
      </c>
      <c r="G21" s="1" t="s">
        <v>148</v>
      </c>
      <c r="I21" s="4"/>
      <c r="J21" s="12"/>
    </row>
    <row r="22" spans="2:10" ht="15" thickBot="1">
      <c r="B22" s="3" t="s">
        <v>220</v>
      </c>
      <c r="C22" s="30" t="s">
        <v>443</v>
      </c>
      <c r="D22" s="3">
        <v>446.7</v>
      </c>
      <c r="E22" s="3"/>
      <c r="F22" s="3" t="s">
        <v>290</v>
      </c>
      <c r="G22" s="3" t="s">
        <v>444</v>
      </c>
    </row>
    <row r="23" spans="2:10" ht="15" thickBot="1">
      <c r="B23" s="3" t="s">
        <v>414</v>
      </c>
      <c r="C23" s="30" t="s">
        <v>445</v>
      </c>
      <c r="D23" s="3">
        <v>353.4</v>
      </c>
      <c r="E23" s="3"/>
      <c r="F23" s="3" t="s">
        <v>290</v>
      </c>
      <c r="G23" s="3"/>
    </row>
    <row r="24" spans="2:10" ht="15" thickBot="1">
      <c r="B24" s="3" t="s">
        <v>446</v>
      </c>
      <c r="C24" s="5" t="s">
        <v>223</v>
      </c>
      <c r="D24" s="13">
        <v>50</v>
      </c>
      <c r="E24" s="3"/>
      <c r="F24" s="3" t="s">
        <v>290</v>
      </c>
      <c r="G24" s="3" t="s">
        <v>224</v>
      </c>
    </row>
    <row r="25" spans="2:10" ht="15" thickBot="1">
      <c r="B25" s="3" t="s">
        <v>447</v>
      </c>
      <c r="C25" s="5" t="s">
        <v>223</v>
      </c>
      <c r="D25" s="13">
        <v>40</v>
      </c>
      <c r="E25" s="3"/>
      <c r="F25" s="3" t="s">
        <v>448</v>
      </c>
      <c r="G25" s="3" t="s">
        <v>224</v>
      </c>
    </row>
    <row r="26" spans="2:10" ht="15" thickBot="1">
      <c r="B26" s="3" t="s">
        <v>226</v>
      </c>
      <c r="C26" s="5" t="s">
        <v>227</v>
      </c>
      <c r="D26" s="3">
        <v>25</v>
      </c>
      <c r="E26" s="3"/>
      <c r="F26" s="3" t="s">
        <v>290</v>
      </c>
      <c r="G26" s="3"/>
    </row>
    <row r="27" spans="2:10" ht="15" thickBot="1">
      <c r="B27" s="1" t="s">
        <v>229</v>
      </c>
      <c r="C27" s="2" t="s">
        <v>216</v>
      </c>
      <c r="D27" s="1"/>
      <c r="E27" s="1"/>
      <c r="F27" s="1"/>
      <c r="G27" s="1"/>
    </row>
    <row r="28" spans="2:10" ht="15" thickBot="1">
      <c r="B28" s="3" t="s">
        <v>230</v>
      </c>
      <c r="C28" s="3" t="s">
        <v>231</v>
      </c>
      <c r="D28" s="41">
        <v>1791</v>
      </c>
      <c r="E28" s="33">
        <v>0.25</v>
      </c>
      <c r="F28" s="3" t="s">
        <v>290</v>
      </c>
      <c r="G28" s="3" t="s">
        <v>244</v>
      </c>
    </row>
    <row r="29" spans="2:10" ht="15" thickBot="1">
      <c r="B29" s="36" t="s">
        <v>236</v>
      </c>
      <c r="C29" s="3" t="s">
        <v>223</v>
      </c>
      <c r="D29" s="13">
        <v>61</v>
      </c>
      <c r="E29" s="3"/>
      <c r="F29" s="3" t="s">
        <v>290</v>
      </c>
      <c r="G29" s="3"/>
    </row>
    <row r="30" spans="2:10" ht="15" thickBot="1">
      <c r="B30" s="36" t="s">
        <v>237</v>
      </c>
      <c r="C30" s="3" t="s">
        <v>223</v>
      </c>
      <c r="D30" s="13">
        <v>39</v>
      </c>
      <c r="E30" s="3"/>
      <c r="F30" s="3" t="s">
        <v>290</v>
      </c>
      <c r="G30" s="3"/>
    </row>
    <row r="31" spans="2:10" ht="15" thickBot="1">
      <c r="B31" s="30" t="s">
        <v>263</v>
      </c>
      <c r="C31" s="3" t="s">
        <v>428</v>
      </c>
      <c r="D31" s="41">
        <v>800225</v>
      </c>
      <c r="E31" s="33">
        <v>0.25</v>
      </c>
      <c r="F31" s="3"/>
      <c r="G31" s="3"/>
    </row>
    <row r="32" spans="2:10" ht="15" thickBot="1">
      <c r="B32" s="3" t="s">
        <v>242</v>
      </c>
      <c r="C32" s="3" t="s">
        <v>452</v>
      </c>
      <c r="D32" s="41">
        <v>97</v>
      </c>
      <c r="E32" s="3"/>
      <c r="F32" s="3" t="s">
        <v>290</v>
      </c>
      <c r="G32" s="3"/>
    </row>
    <row r="33" spans="2:10" ht="15" thickBot="1">
      <c r="B33" s="3" t="s">
        <v>453</v>
      </c>
      <c r="C33" s="3" t="s">
        <v>458</v>
      </c>
      <c r="D33" s="42">
        <v>0.5</v>
      </c>
      <c r="E33" s="3"/>
      <c r="F33" s="3" t="s">
        <v>290</v>
      </c>
      <c r="G33" s="3"/>
    </row>
    <row r="36" spans="2:10">
      <c r="B36" s="4" t="s">
        <v>214</v>
      </c>
      <c r="C36" s="4">
        <v>2040</v>
      </c>
    </row>
    <row r="37" spans="2:10" ht="15" thickBot="1">
      <c r="B37" s="1" t="s">
        <v>215</v>
      </c>
      <c r="C37" s="2" t="s">
        <v>216</v>
      </c>
      <c r="D37" s="1"/>
      <c r="E37" s="1" t="s">
        <v>217</v>
      </c>
      <c r="F37" s="1" t="s">
        <v>147</v>
      </c>
      <c r="G37" s="1" t="s">
        <v>148</v>
      </c>
      <c r="I37" s="4"/>
      <c r="J37" s="12"/>
    </row>
    <row r="38" spans="2:10" ht="15" thickBot="1">
      <c r="B38" s="3" t="s">
        <v>220</v>
      </c>
      <c r="C38" s="30" t="s">
        <v>443</v>
      </c>
      <c r="D38" s="3">
        <v>446.7</v>
      </c>
      <c r="E38" s="3"/>
      <c r="F38" s="3" t="s">
        <v>290</v>
      </c>
      <c r="G38" s="3" t="s">
        <v>444</v>
      </c>
      <c r="I38" s="12"/>
    </row>
    <row r="39" spans="2:10" ht="15" thickBot="1">
      <c r="B39" s="3" t="s">
        <v>414</v>
      </c>
      <c r="C39" s="30" t="s">
        <v>445</v>
      </c>
      <c r="D39" s="3">
        <v>353.4</v>
      </c>
      <c r="E39" s="3"/>
      <c r="F39" s="3" t="s">
        <v>290</v>
      </c>
      <c r="G39" s="3"/>
      <c r="I39" s="12"/>
    </row>
    <row r="40" spans="2:10" ht="15" thickBot="1">
      <c r="B40" s="3" t="s">
        <v>446</v>
      </c>
      <c r="C40" s="5" t="s">
        <v>223</v>
      </c>
      <c r="D40" s="13">
        <v>50</v>
      </c>
      <c r="E40" s="3"/>
      <c r="F40" s="3" t="s">
        <v>290</v>
      </c>
      <c r="G40" s="3" t="s">
        <v>224</v>
      </c>
      <c r="I40" s="12"/>
    </row>
    <row r="41" spans="2:10" ht="15" thickBot="1">
      <c r="B41" s="3" t="s">
        <v>447</v>
      </c>
      <c r="C41" s="5" t="s">
        <v>223</v>
      </c>
      <c r="D41" s="13">
        <v>40</v>
      </c>
      <c r="E41" s="3"/>
      <c r="F41" s="3" t="s">
        <v>448</v>
      </c>
      <c r="G41" s="3" t="s">
        <v>224</v>
      </c>
      <c r="I41" s="12"/>
    </row>
    <row r="42" spans="2:10" ht="15" thickBot="1">
      <c r="B42" s="3" t="s">
        <v>226</v>
      </c>
      <c r="C42" s="5" t="s">
        <v>227</v>
      </c>
      <c r="D42" s="3">
        <v>25</v>
      </c>
      <c r="E42" s="3"/>
      <c r="F42" s="3" t="s">
        <v>290</v>
      </c>
      <c r="G42" s="3"/>
    </row>
    <row r="43" spans="2:10" ht="15" thickBot="1">
      <c r="B43" s="1" t="s">
        <v>229</v>
      </c>
      <c r="C43" s="2" t="s">
        <v>216</v>
      </c>
      <c r="D43" s="1"/>
      <c r="E43" s="1"/>
      <c r="F43" s="1"/>
      <c r="G43" s="1"/>
    </row>
    <row r="44" spans="2:10" ht="15" thickBot="1">
      <c r="B44" s="3" t="s">
        <v>230</v>
      </c>
      <c r="C44" s="3" t="s">
        <v>231</v>
      </c>
      <c r="D44" s="41">
        <v>1808</v>
      </c>
      <c r="E44" s="33">
        <v>0.3</v>
      </c>
      <c r="F44" s="3" t="s">
        <v>290</v>
      </c>
      <c r="G44" s="3" t="s">
        <v>244</v>
      </c>
    </row>
    <row r="45" spans="2:10" ht="15" thickBot="1">
      <c r="B45" s="36" t="s">
        <v>236</v>
      </c>
      <c r="C45" s="3" t="s">
        <v>223</v>
      </c>
      <c r="D45" s="13">
        <v>61</v>
      </c>
      <c r="E45" s="3"/>
      <c r="F45" s="3" t="s">
        <v>290</v>
      </c>
      <c r="G45" s="3"/>
    </row>
    <row r="46" spans="2:10" ht="15" thickBot="1">
      <c r="B46" s="36" t="s">
        <v>237</v>
      </c>
      <c r="C46" s="3" t="s">
        <v>223</v>
      </c>
      <c r="D46" s="13">
        <v>39</v>
      </c>
      <c r="E46" s="3"/>
      <c r="F46" s="3" t="s">
        <v>290</v>
      </c>
      <c r="G46" s="3"/>
    </row>
    <row r="47" spans="2:10" ht="15" thickBot="1">
      <c r="B47" s="30" t="s">
        <v>263</v>
      </c>
      <c r="C47" s="3" t="s">
        <v>428</v>
      </c>
      <c r="D47" s="41">
        <v>807772</v>
      </c>
      <c r="E47" s="33">
        <v>0.3</v>
      </c>
      <c r="F47" s="3"/>
      <c r="G47" s="3"/>
    </row>
    <row r="48" spans="2:10" ht="15" thickBot="1">
      <c r="B48" s="3" t="s">
        <v>242</v>
      </c>
      <c r="C48" s="3" t="s">
        <v>452</v>
      </c>
      <c r="D48" s="41">
        <v>96</v>
      </c>
      <c r="E48" s="3"/>
      <c r="F48" s="3" t="s">
        <v>290</v>
      </c>
      <c r="G48" s="3"/>
    </row>
    <row r="49" spans="2:7" ht="15" thickBot="1">
      <c r="B49" s="3" t="s">
        <v>453</v>
      </c>
      <c r="C49" s="3" t="s">
        <v>458</v>
      </c>
      <c r="D49" s="42">
        <v>0.5</v>
      </c>
      <c r="E49" s="3"/>
      <c r="F49" s="3" t="s">
        <v>290</v>
      </c>
      <c r="G49" s="3"/>
    </row>
  </sheetData>
  <mergeCells count="1">
    <mergeCell ref="G2:K3"/>
  </mergeCells>
  <conditionalFormatting sqref="E12 E7 E17 E23 E28 E39 E44 E33 E49">
    <cfRule type="colorScale" priority="4">
      <colorScale>
        <cfvo type="num" val="0"/>
        <cfvo type="num" val="0.5"/>
        <color theme="0"/>
        <color theme="5"/>
      </colorScale>
    </cfRule>
  </conditionalFormatting>
  <conditionalFormatting sqref="E15">
    <cfRule type="colorScale" priority="3">
      <colorScale>
        <cfvo type="num" val="0"/>
        <cfvo type="num" val="0.5"/>
        <color theme="0"/>
        <color theme="5"/>
      </colorScale>
    </cfRule>
  </conditionalFormatting>
  <conditionalFormatting sqref="E31">
    <cfRule type="colorScale" priority="2">
      <colorScale>
        <cfvo type="num" val="0"/>
        <cfvo type="num" val="0.5"/>
        <color theme="0"/>
        <color theme="5"/>
      </colorScale>
    </cfRule>
  </conditionalFormatting>
  <conditionalFormatting sqref="E47">
    <cfRule type="colorScale" priority="1">
      <colorScale>
        <cfvo type="num" val="0"/>
        <cfvo type="num" val="0.5"/>
        <color theme="0"/>
        <color theme="5"/>
      </colorScale>
    </cfRule>
  </conditionalFormatting>
  <hyperlinks>
    <hyperlink ref="A1" location="Inhalt!A1" display="Zum Inhalt" xr:uid="{27F1148D-7B01-4C6B-AD3A-2BBCED69A18B}"/>
  </hyperlinks>
  <pageMargins left="0.7" right="0.7" top="0.78740157499999996" bottom="0.78740157499999996"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387CD-08C7-4B05-B9A9-4CE442A08904}">
  <sheetPr codeName="Tabelle28"/>
  <dimension ref="A1:O45"/>
  <sheetViews>
    <sheetView zoomScaleNormal="100" workbookViewId="0"/>
  </sheetViews>
  <sheetFormatPr baseColWidth="10" defaultColWidth="11.44140625" defaultRowHeight="14.4"/>
  <cols>
    <col min="2" max="2" width="40.44140625" bestFit="1" customWidth="1"/>
    <col min="5" max="5" width="11.109375" customWidth="1"/>
    <col min="12" max="12" width="12.88671875" customWidth="1"/>
    <col min="16" max="16" width="12.109375" customWidth="1"/>
  </cols>
  <sheetData>
    <row r="1" spans="1:15" ht="28.2" thickBot="1">
      <c r="A1" s="99" t="s">
        <v>143</v>
      </c>
    </row>
    <row r="2" spans="1:15">
      <c r="G2" s="142" t="s">
        <v>212</v>
      </c>
      <c r="H2" s="143"/>
      <c r="I2" s="143"/>
      <c r="J2" s="143"/>
      <c r="K2" s="144"/>
    </row>
    <row r="3" spans="1:15" ht="19.5" customHeight="1" thickBot="1">
      <c r="B3" s="4" t="s">
        <v>213</v>
      </c>
      <c r="C3" s="4" t="s">
        <v>116</v>
      </c>
      <c r="G3" s="145"/>
      <c r="H3" s="146"/>
      <c r="I3" s="146"/>
      <c r="J3" s="146"/>
      <c r="K3" s="147"/>
    </row>
    <row r="4" spans="1:15">
      <c r="B4" s="4" t="s">
        <v>214</v>
      </c>
      <c r="C4" s="4">
        <v>2023</v>
      </c>
    </row>
    <row r="5" spans="1:15" ht="15" thickBot="1">
      <c r="B5" s="1" t="s">
        <v>215</v>
      </c>
      <c r="C5" s="2" t="s">
        <v>216</v>
      </c>
      <c r="D5" s="1"/>
      <c r="E5" s="2"/>
      <c r="F5" s="1"/>
      <c r="G5" s="1"/>
      <c r="H5" s="1" t="s">
        <v>217</v>
      </c>
      <c r="I5" s="1" t="s">
        <v>147</v>
      </c>
      <c r="J5" s="1" t="s">
        <v>148</v>
      </c>
      <c r="L5" s="4" t="s">
        <v>218</v>
      </c>
      <c r="M5" s="12" t="s">
        <v>460</v>
      </c>
    </row>
    <row r="6" spans="1:15" ht="15" thickBot="1">
      <c r="B6" s="3" t="s">
        <v>220</v>
      </c>
      <c r="C6" s="30" t="s">
        <v>443</v>
      </c>
      <c r="D6" s="3">
        <v>0.3</v>
      </c>
      <c r="E6" s="31">
        <v>1.5</v>
      </c>
      <c r="F6" s="3">
        <v>5</v>
      </c>
      <c r="G6" s="3">
        <v>20</v>
      </c>
      <c r="H6" s="3"/>
      <c r="I6" s="3"/>
      <c r="J6" s="3" t="s">
        <v>243</v>
      </c>
      <c r="L6" s="4" t="s">
        <v>214</v>
      </c>
      <c r="M6" s="4">
        <v>2023</v>
      </c>
      <c r="N6" s="4">
        <v>2030</v>
      </c>
      <c r="O6" s="4">
        <v>2040</v>
      </c>
    </row>
    <row r="7" spans="1:15" ht="15" thickBot="1">
      <c r="B7" s="3" t="s">
        <v>461</v>
      </c>
      <c r="C7" s="5"/>
      <c r="D7" s="37">
        <v>2.8</v>
      </c>
      <c r="E7" s="37">
        <v>2.8</v>
      </c>
      <c r="F7" s="37">
        <v>2.8</v>
      </c>
      <c r="G7" s="37">
        <v>2.8</v>
      </c>
      <c r="H7" s="33">
        <v>0.1</v>
      </c>
      <c r="I7" s="3" t="s">
        <v>462</v>
      </c>
      <c r="J7" s="3" t="s">
        <v>444</v>
      </c>
      <c r="L7" s="12" t="s">
        <v>225</v>
      </c>
      <c r="M7" s="12">
        <v>1352</v>
      </c>
      <c r="N7" s="12">
        <v>1284</v>
      </c>
      <c r="O7" s="12">
        <v>1216.8</v>
      </c>
    </row>
    <row r="8" spans="1:15" ht="15" thickBot="1">
      <c r="B8" s="3" t="s">
        <v>226</v>
      </c>
      <c r="C8" s="5" t="s">
        <v>227</v>
      </c>
      <c r="D8" s="13">
        <v>25</v>
      </c>
      <c r="E8" s="13">
        <v>25</v>
      </c>
      <c r="F8" s="13">
        <v>25</v>
      </c>
      <c r="G8" s="13">
        <v>25</v>
      </c>
      <c r="H8" s="3"/>
      <c r="I8" s="3" t="s">
        <v>305</v>
      </c>
      <c r="J8" s="3" t="s">
        <v>249</v>
      </c>
      <c r="L8" s="12" t="s">
        <v>228</v>
      </c>
      <c r="M8" s="12">
        <v>-0.245</v>
      </c>
      <c r="N8" s="12">
        <v>-0.245</v>
      </c>
      <c r="O8" s="12">
        <v>-0.245</v>
      </c>
    </row>
    <row r="9" spans="1:15" ht="15" thickBot="1">
      <c r="B9" s="1" t="s">
        <v>463</v>
      </c>
      <c r="C9" s="2" t="s">
        <v>216</v>
      </c>
      <c r="D9" s="1"/>
      <c r="E9" s="1"/>
      <c r="F9" s="1"/>
      <c r="G9" s="1"/>
      <c r="H9" s="1"/>
      <c r="I9" s="1"/>
      <c r="J9" s="1"/>
    </row>
    <row r="10" spans="1:15" ht="15" thickBot="1">
      <c r="B10" s="3" t="s">
        <v>464</v>
      </c>
      <c r="C10" s="3" t="s">
        <v>231</v>
      </c>
      <c r="D10" s="41">
        <v>1861</v>
      </c>
      <c r="E10" s="41">
        <v>1163</v>
      </c>
      <c r="F10" s="41">
        <v>931</v>
      </c>
      <c r="G10" s="41">
        <v>651</v>
      </c>
      <c r="H10" s="33">
        <v>0.25</v>
      </c>
      <c r="I10" s="3" t="s">
        <v>272</v>
      </c>
      <c r="J10" s="3" t="s">
        <v>270</v>
      </c>
      <c r="L10" s="4" t="s">
        <v>234</v>
      </c>
      <c r="M10" s="12" t="s">
        <v>306</v>
      </c>
    </row>
    <row r="11" spans="1:15" ht="15" thickBot="1">
      <c r="B11" s="36" t="s">
        <v>236</v>
      </c>
      <c r="C11" s="3" t="s">
        <v>223</v>
      </c>
      <c r="D11" s="41">
        <v>75</v>
      </c>
      <c r="E11" s="62">
        <v>78</v>
      </c>
      <c r="F11" s="62">
        <v>80</v>
      </c>
      <c r="G11" s="41">
        <v>80</v>
      </c>
      <c r="H11" s="3"/>
      <c r="I11" s="3" t="s">
        <v>448</v>
      </c>
      <c r="J11" s="3"/>
    </row>
    <row r="12" spans="1:15" ht="15" thickBot="1">
      <c r="B12" s="36" t="s">
        <v>237</v>
      </c>
      <c r="C12" s="3" t="s">
        <v>223</v>
      </c>
      <c r="D12" s="41">
        <v>25</v>
      </c>
      <c r="E12" s="62">
        <v>23</v>
      </c>
      <c r="F12" s="62">
        <v>20</v>
      </c>
      <c r="G12" s="41">
        <v>20</v>
      </c>
      <c r="H12" s="3"/>
      <c r="I12" s="3" t="s">
        <v>448</v>
      </c>
      <c r="J12" s="3"/>
      <c r="L12" s="4" t="s">
        <v>148</v>
      </c>
    </row>
    <row r="13" spans="1:15" ht="15" thickBot="1">
      <c r="B13" s="30" t="s">
        <v>263</v>
      </c>
      <c r="C13" s="3" t="s">
        <v>428</v>
      </c>
      <c r="D13" s="41">
        <v>558</v>
      </c>
      <c r="E13" s="41">
        <v>1745</v>
      </c>
      <c r="F13" s="41">
        <v>4653</v>
      </c>
      <c r="G13" s="41">
        <v>13029</v>
      </c>
      <c r="H13" s="33">
        <v>0.25</v>
      </c>
      <c r="I13" s="3" t="s">
        <v>272</v>
      </c>
      <c r="J13" s="3" t="s">
        <v>270</v>
      </c>
      <c r="L13" s="12" t="s">
        <v>240</v>
      </c>
      <c r="M13" s="12" t="s">
        <v>465</v>
      </c>
    </row>
    <row r="14" spans="1:15" ht="15" thickBot="1">
      <c r="B14" s="3" t="s">
        <v>466</v>
      </c>
      <c r="C14" s="3" t="s">
        <v>309</v>
      </c>
      <c r="D14" s="41">
        <v>47</v>
      </c>
      <c r="E14" s="41">
        <v>29</v>
      </c>
      <c r="F14" s="41">
        <v>23</v>
      </c>
      <c r="G14" s="41">
        <v>16</v>
      </c>
      <c r="H14" s="3"/>
      <c r="I14" s="3" t="s">
        <v>186</v>
      </c>
      <c r="J14" s="3" t="s">
        <v>252</v>
      </c>
      <c r="L14" s="12" t="s">
        <v>244</v>
      </c>
      <c r="M14" s="12" t="s">
        <v>467</v>
      </c>
    </row>
    <row r="15" spans="1:15">
      <c r="D15" s="68"/>
      <c r="E15" s="57"/>
      <c r="F15" s="69"/>
      <c r="L15" s="12" t="s">
        <v>224</v>
      </c>
      <c r="M15" s="12" t="s">
        <v>468</v>
      </c>
    </row>
    <row r="16" spans="1:15">
      <c r="B16" s="4" t="s">
        <v>214</v>
      </c>
      <c r="C16" s="4">
        <v>2030</v>
      </c>
      <c r="L16" s="12" t="s">
        <v>250</v>
      </c>
      <c r="M16" s="12" t="s">
        <v>469</v>
      </c>
    </row>
    <row r="17" spans="2:13" ht="15" thickBot="1">
      <c r="B17" s="1" t="s">
        <v>215</v>
      </c>
      <c r="C17" s="2" t="s">
        <v>216</v>
      </c>
      <c r="D17" s="1"/>
      <c r="E17" s="2"/>
      <c r="F17" s="1"/>
      <c r="G17" s="1"/>
      <c r="H17" s="1" t="s">
        <v>217</v>
      </c>
      <c r="I17" s="1" t="s">
        <v>147</v>
      </c>
      <c r="J17" s="1" t="s">
        <v>148</v>
      </c>
      <c r="L17" s="12" t="s">
        <v>252</v>
      </c>
      <c r="M17" s="12" t="s">
        <v>470</v>
      </c>
    </row>
    <row r="18" spans="2:13" ht="15" thickBot="1">
      <c r="B18" s="3" t="s">
        <v>220</v>
      </c>
      <c r="C18" s="30" t="s">
        <v>443</v>
      </c>
      <c r="D18" s="3">
        <v>0.3</v>
      </c>
      <c r="E18" s="31">
        <v>1.5</v>
      </c>
      <c r="F18" s="3">
        <v>5</v>
      </c>
      <c r="G18" s="3">
        <v>20</v>
      </c>
      <c r="H18" s="3"/>
      <c r="I18" s="3"/>
      <c r="J18" s="3"/>
      <c r="L18" s="12" t="s">
        <v>249</v>
      </c>
      <c r="M18" s="12" t="s">
        <v>471</v>
      </c>
    </row>
    <row r="19" spans="2:13" ht="15" thickBot="1">
      <c r="B19" s="3" t="s">
        <v>461</v>
      </c>
      <c r="C19" s="5"/>
      <c r="D19" s="37">
        <v>2.9</v>
      </c>
      <c r="E19" s="37">
        <v>2.9</v>
      </c>
      <c r="F19" s="37">
        <v>2.9</v>
      </c>
      <c r="G19" s="37">
        <v>2.9</v>
      </c>
      <c r="H19" s="33">
        <v>0.1</v>
      </c>
      <c r="I19" s="3" t="s">
        <v>462</v>
      </c>
      <c r="J19" s="3" t="s">
        <v>444</v>
      </c>
      <c r="L19" s="12" t="s">
        <v>243</v>
      </c>
      <c r="M19" s="12" t="s">
        <v>472</v>
      </c>
    </row>
    <row r="20" spans="2:13" ht="15" thickBot="1">
      <c r="B20" s="3" t="s">
        <v>226</v>
      </c>
      <c r="C20" s="5" t="s">
        <v>227</v>
      </c>
      <c r="D20" s="13">
        <v>28</v>
      </c>
      <c r="E20" s="13">
        <v>28</v>
      </c>
      <c r="F20" s="13">
        <v>28</v>
      </c>
      <c r="G20" s="13">
        <v>28</v>
      </c>
      <c r="H20" s="3"/>
      <c r="I20" s="3" t="s">
        <v>305</v>
      </c>
      <c r="J20" s="3"/>
      <c r="L20" s="12" t="s">
        <v>376</v>
      </c>
      <c r="M20" s="12" t="s">
        <v>473</v>
      </c>
    </row>
    <row r="21" spans="2:13" ht="15" thickBot="1">
      <c r="B21" s="1" t="s">
        <v>463</v>
      </c>
      <c r="C21" s="2" t="s">
        <v>216</v>
      </c>
      <c r="D21" s="1"/>
      <c r="E21" s="1"/>
      <c r="F21" s="1"/>
      <c r="G21" s="1"/>
      <c r="H21" s="1"/>
      <c r="I21" s="1"/>
      <c r="J21" s="1"/>
    </row>
    <row r="22" spans="2:13" ht="15" thickBot="1">
      <c r="B22" s="3" t="s">
        <v>464</v>
      </c>
      <c r="C22" s="3" t="s">
        <v>231</v>
      </c>
      <c r="D22" s="41">
        <v>1768</v>
      </c>
      <c r="E22" s="41">
        <v>1105</v>
      </c>
      <c r="F22" s="41">
        <v>884</v>
      </c>
      <c r="G22" s="41">
        <v>619</v>
      </c>
      <c r="H22" s="33">
        <v>0.35</v>
      </c>
      <c r="I22" s="3" t="s">
        <v>272</v>
      </c>
      <c r="J22" s="3" t="s">
        <v>270</v>
      </c>
      <c r="L22" s="4" t="s">
        <v>147</v>
      </c>
    </row>
    <row r="23" spans="2:13" ht="15" thickBot="1">
      <c r="B23" s="36" t="s">
        <v>236</v>
      </c>
      <c r="C23" s="3" t="s">
        <v>223</v>
      </c>
      <c r="D23" s="41">
        <v>75</v>
      </c>
      <c r="E23" s="62">
        <v>78</v>
      </c>
      <c r="F23" s="62">
        <v>80</v>
      </c>
      <c r="G23" s="41">
        <v>80</v>
      </c>
      <c r="H23" s="3"/>
      <c r="I23" s="3" t="s">
        <v>448</v>
      </c>
      <c r="J23" s="3"/>
      <c r="L23" s="12" t="s">
        <v>151</v>
      </c>
      <c r="M23" s="12" t="s">
        <v>185</v>
      </c>
    </row>
    <row r="24" spans="2:13" ht="15" thickBot="1">
      <c r="B24" s="36" t="s">
        <v>237</v>
      </c>
      <c r="C24" s="3" t="s">
        <v>223</v>
      </c>
      <c r="D24" s="41">
        <v>25</v>
      </c>
      <c r="E24" s="41">
        <v>25</v>
      </c>
      <c r="F24" s="41">
        <v>25</v>
      </c>
      <c r="G24" s="41">
        <v>25</v>
      </c>
      <c r="H24" s="3"/>
      <c r="I24" s="3" t="s">
        <v>448</v>
      </c>
      <c r="J24" s="3"/>
      <c r="L24" s="12" t="s">
        <v>184</v>
      </c>
      <c r="M24" s="12" t="s">
        <v>454</v>
      </c>
    </row>
    <row r="25" spans="2:13" ht="15" thickBot="1">
      <c r="B25" s="30" t="s">
        <v>263</v>
      </c>
      <c r="C25" s="3" t="s">
        <v>428</v>
      </c>
      <c r="D25" s="41">
        <v>530</v>
      </c>
      <c r="E25" s="41">
        <v>1658</v>
      </c>
      <c r="F25" s="41">
        <v>4421</v>
      </c>
      <c r="G25" s="41">
        <v>12378</v>
      </c>
      <c r="H25" s="33">
        <v>0.35</v>
      </c>
      <c r="I25" s="3" t="s">
        <v>272</v>
      </c>
      <c r="J25" s="3" t="s">
        <v>270</v>
      </c>
      <c r="L25" s="12" t="s">
        <v>186</v>
      </c>
      <c r="M25" s="12" t="s">
        <v>474</v>
      </c>
    </row>
    <row r="26" spans="2:13" ht="15" thickBot="1">
      <c r="B26" s="3" t="s">
        <v>466</v>
      </c>
      <c r="C26" s="3" t="s">
        <v>309</v>
      </c>
      <c r="D26" s="41">
        <v>44</v>
      </c>
      <c r="E26" s="41">
        <v>28</v>
      </c>
      <c r="F26" s="41">
        <v>22</v>
      </c>
      <c r="G26" s="41">
        <v>15</v>
      </c>
      <c r="H26" s="3"/>
      <c r="I26" s="3" t="s">
        <v>186</v>
      </c>
      <c r="J26" s="3" t="s">
        <v>252</v>
      </c>
      <c r="L26" s="12" t="s">
        <v>188</v>
      </c>
      <c r="M26" s="12" t="s">
        <v>475</v>
      </c>
    </row>
    <row r="27" spans="2:13">
      <c r="L27" s="12" t="s">
        <v>192</v>
      </c>
      <c r="M27" s="12" t="s">
        <v>476</v>
      </c>
    </row>
    <row r="28" spans="2:13">
      <c r="L28" s="12" t="s">
        <v>172</v>
      </c>
      <c r="M28" s="12" t="s">
        <v>477</v>
      </c>
    </row>
    <row r="29" spans="2:13">
      <c r="B29" s="4" t="s">
        <v>214</v>
      </c>
      <c r="C29" s="4">
        <v>2040</v>
      </c>
      <c r="L29" s="12"/>
    </row>
    <row r="30" spans="2:13" ht="15" thickBot="1">
      <c r="B30" s="1" t="s">
        <v>215</v>
      </c>
      <c r="C30" s="2" t="s">
        <v>216</v>
      </c>
      <c r="D30" s="1"/>
      <c r="E30" s="2"/>
      <c r="F30" s="1"/>
      <c r="G30" s="1"/>
      <c r="H30" s="1" t="s">
        <v>217</v>
      </c>
      <c r="I30" s="1" t="s">
        <v>147</v>
      </c>
      <c r="J30" s="1" t="s">
        <v>148</v>
      </c>
      <c r="L30" s="12"/>
    </row>
    <row r="31" spans="2:13" ht="15" thickBot="1">
      <c r="B31" s="3" t="s">
        <v>220</v>
      </c>
      <c r="C31" s="30" t="s">
        <v>443</v>
      </c>
      <c r="D31" s="3">
        <v>0.3</v>
      </c>
      <c r="E31" s="31">
        <v>1.5</v>
      </c>
      <c r="F31" s="3">
        <v>5</v>
      </c>
      <c r="G31" s="3">
        <v>20</v>
      </c>
      <c r="H31" s="3"/>
      <c r="I31" s="3"/>
      <c r="J31" s="3"/>
    </row>
    <row r="32" spans="2:13" ht="15" thickBot="1">
      <c r="B32" s="3" t="s">
        <v>461</v>
      </c>
      <c r="C32" s="5"/>
      <c r="D32" s="37">
        <v>3.1</v>
      </c>
      <c r="E32" s="37">
        <v>3.1</v>
      </c>
      <c r="F32" s="37">
        <v>3.1</v>
      </c>
      <c r="G32" s="37">
        <v>3.1</v>
      </c>
      <c r="H32" s="33">
        <v>0.1</v>
      </c>
      <c r="I32" s="3" t="s">
        <v>462</v>
      </c>
      <c r="J32" s="3" t="s">
        <v>444</v>
      </c>
    </row>
    <row r="33" spans="2:13" ht="15" thickBot="1">
      <c r="B33" s="3" t="s">
        <v>226</v>
      </c>
      <c r="C33" s="5" t="s">
        <v>227</v>
      </c>
      <c r="D33" s="13">
        <v>25</v>
      </c>
      <c r="E33" s="13">
        <v>25</v>
      </c>
      <c r="F33" s="13">
        <v>25</v>
      </c>
      <c r="G33" s="13">
        <v>25</v>
      </c>
      <c r="H33" s="3"/>
      <c r="I33" s="3" t="s">
        <v>305</v>
      </c>
      <c r="J33" s="3"/>
    </row>
    <row r="34" spans="2:13" ht="15" thickBot="1">
      <c r="B34" s="1" t="s">
        <v>463</v>
      </c>
      <c r="C34" s="2" t="s">
        <v>216</v>
      </c>
      <c r="D34" s="1"/>
      <c r="E34" s="1"/>
      <c r="F34" s="1"/>
      <c r="G34" s="1"/>
      <c r="H34" s="1"/>
      <c r="I34" s="1"/>
      <c r="J34" s="1"/>
    </row>
    <row r="35" spans="2:13" ht="15" thickBot="1">
      <c r="B35" s="3" t="s">
        <v>464</v>
      </c>
      <c r="C35" s="3" t="s">
        <v>231</v>
      </c>
      <c r="D35" s="41">
        <v>1675</v>
      </c>
      <c r="E35" s="41">
        <v>1047</v>
      </c>
      <c r="F35" s="41">
        <v>838</v>
      </c>
      <c r="G35" s="41">
        <v>586</v>
      </c>
      <c r="H35" s="33">
        <v>0.45</v>
      </c>
      <c r="I35" s="3" t="s">
        <v>272</v>
      </c>
      <c r="J35" s="3" t="s">
        <v>270</v>
      </c>
    </row>
    <row r="36" spans="2:13" ht="15" thickBot="1">
      <c r="B36" s="36" t="s">
        <v>236</v>
      </c>
      <c r="C36" s="3" t="s">
        <v>223</v>
      </c>
      <c r="D36" s="41">
        <v>75</v>
      </c>
      <c r="E36" s="62">
        <v>78</v>
      </c>
      <c r="F36" s="62">
        <v>80</v>
      </c>
      <c r="G36" s="41">
        <v>80</v>
      </c>
      <c r="H36" s="3"/>
      <c r="I36" s="3" t="s">
        <v>448</v>
      </c>
      <c r="J36" s="3"/>
    </row>
    <row r="37" spans="2:13" ht="15" thickBot="1">
      <c r="B37" s="36" t="s">
        <v>237</v>
      </c>
      <c r="C37" s="3" t="s">
        <v>223</v>
      </c>
      <c r="D37" s="41">
        <v>25</v>
      </c>
      <c r="E37" s="62">
        <v>23</v>
      </c>
      <c r="F37" s="62">
        <v>20</v>
      </c>
      <c r="G37" s="41">
        <v>20</v>
      </c>
      <c r="H37" s="3"/>
      <c r="I37" s="3" t="s">
        <v>448</v>
      </c>
      <c r="J37" s="3"/>
    </row>
    <row r="38" spans="2:13" ht="15" thickBot="1">
      <c r="B38" s="30" t="s">
        <v>263</v>
      </c>
      <c r="C38" s="3" t="s">
        <v>428</v>
      </c>
      <c r="D38" s="41">
        <v>503</v>
      </c>
      <c r="E38" s="41">
        <v>1570</v>
      </c>
      <c r="F38" s="41">
        <v>4188</v>
      </c>
      <c r="G38" s="41">
        <v>11726</v>
      </c>
      <c r="H38" s="33">
        <v>0.45</v>
      </c>
      <c r="I38" s="3" t="s">
        <v>272</v>
      </c>
      <c r="J38" s="3" t="s">
        <v>270</v>
      </c>
    </row>
    <row r="39" spans="2:13" ht="15" thickBot="1">
      <c r="B39" s="3" t="s">
        <v>466</v>
      </c>
      <c r="C39" s="3" t="s">
        <v>309</v>
      </c>
      <c r="D39" s="41">
        <v>42</v>
      </c>
      <c r="E39" s="41">
        <v>26</v>
      </c>
      <c r="F39" s="41">
        <v>21</v>
      </c>
      <c r="G39" s="41">
        <v>15</v>
      </c>
      <c r="H39" s="3"/>
      <c r="I39" s="3" t="s">
        <v>186</v>
      </c>
      <c r="J39" s="3" t="s">
        <v>252</v>
      </c>
    </row>
    <row r="42" spans="2:13">
      <c r="L42" s="4"/>
      <c r="M42" s="12"/>
    </row>
    <row r="43" spans="2:13">
      <c r="L43" s="12"/>
      <c r="M43" s="12"/>
    </row>
    <row r="44" spans="2:13">
      <c r="L44" s="12"/>
      <c r="M44" s="12"/>
    </row>
    <row r="45" spans="2:13">
      <c r="L45" s="12"/>
    </row>
  </sheetData>
  <sheetProtection algorithmName="SHA-512" hashValue="JmHNwcmZ3EcDZ8Lo4XCYUCTiZs9fhUcbkRhH0lemo6oNlc9ZVDj4m8bu4r5eNetPzgY/uez/37+03Vw9HZqbBg==" saltValue="O3vlUq/16bU+t+9o/ZUgUA==" spinCount="100000" sheet="1" objects="1" scenarios="1"/>
  <mergeCells count="1">
    <mergeCell ref="G2:K3"/>
  </mergeCells>
  <conditionalFormatting sqref="H22 H10 H35 H13:H14 H25:H26 H38:H39 H32 H7 H19">
    <cfRule type="colorScale" priority="1">
      <colorScale>
        <cfvo type="num" val="0"/>
        <cfvo type="num" val="0.5"/>
        <color theme="0"/>
        <color theme="5"/>
      </colorScale>
    </cfRule>
  </conditionalFormatting>
  <hyperlinks>
    <hyperlink ref="A1" location="Inhalt!A1" display="Zum Inhalt" xr:uid="{93F07075-3E1F-4312-B62B-2577A226E1FA}"/>
  </hyperlinks>
  <pageMargins left="0.7" right="0.7" top="0.78740157499999996" bottom="0.78740157499999996" header="0.3" footer="0.3"/>
  <pageSetup paperSize="9" orientation="portrait" verticalDpi="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B4786-BD3C-4D87-9014-228AEE5C795F}">
  <sheetPr codeName="Tabelle29"/>
  <dimension ref="A1:O47"/>
  <sheetViews>
    <sheetView zoomScaleNormal="100" workbookViewId="0"/>
  </sheetViews>
  <sheetFormatPr baseColWidth="10" defaultColWidth="11.44140625" defaultRowHeight="14.4"/>
  <cols>
    <col min="2" max="2" width="38.88671875" bestFit="1" customWidth="1"/>
    <col min="12" max="12" width="12.88671875" customWidth="1"/>
  </cols>
  <sheetData>
    <row r="1" spans="1:15" ht="28.2" thickBot="1">
      <c r="A1" s="99" t="s">
        <v>143</v>
      </c>
    </row>
    <row r="2" spans="1:15">
      <c r="H2" s="142" t="s">
        <v>212</v>
      </c>
      <c r="I2" s="143"/>
      <c r="J2" s="143"/>
      <c r="K2" s="143"/>
      <c r="L2" s="144"/>
    </row>
    <row r="3" spans="1:15" ht="15" thickBot="1">
      <c r="B3" s="4" t="s">
        <v>213</v>
      </c>
      <c r="C3" s="4" t="s">
        <v>118</v>
      </c>
      <c r="H3" s="145"/>
      <c r="I3" s="146"/>
      <c r="J3" s="146"/>
      <c r="K3" s="146"/>
      <c r="L3" s="147"/>
    </row>
    <row r="4" spans="1:15">
      <c r="B4" s="4" t="s">
        <v>214</v>
      </c>
      <c r="C4" s="4">
        <v>2023</v>
      </c>
    </row>
    <row r="5" spans="1:15" ht="15" thickBot="1">
      <c r="B5" s="1" t="s">
        <v>215</v>
      </c>
      <c r="C5" s="2" t="s">
        <v>216</v>
      </c>
      <c r="D5" s="1"/>
      <c r="E5" s="2"/>
      <c r="F5" s="1"/>
      <c r="G5" s="1"/>
      <c r="H5" s="1" t="s">
        <v>217</v>
      </c>
      <c r="I5" s="1" t="s">
        <v>147</v>
      </c>
      <c r="J5" s="1" t="s">
        <v>148</v>
      </c>
      <c r="L5" s="4" t="s">
        <v>218</v>
      </c>
      <c r="M5" s="12" t="s">
        <v>460</v>
      </c>
    </row>
    <row r="6" spans="1:15" ht="15" thickBot="1">
      <c r="B6" s="3" t="s">
        <v>220</v>
      </c>
      <c r="C6" s="30" t="s">
        <v>443</v>
      </c>
      <c r="D6" s="3">
        <v>0.3</v>
      </c>
      <c r="E6" s="31">
        <v>1.5</v>
      </c>
      <c r="F6" s="3">
        <v>5</v>
      </c>
      <c r="G6" s="3">
        <v>20</v>
      </c>
      <c r="H6" s="3"/>
      <c r="I6" s="3"/>
      <c r="J6" s="3" t="s">
        <v>376</v>
      </c>
      <c r="L6" s="4" t="s">
        <v>214</v>
      </c>
      <c r="M6" s="4">
        <v>2023</v>
      </c>
      <c r="N6" s="4">
        <v>2030</v>
      </c>
      <c r="O6" s="4">
        <v>2040</v>
      </c>
    </row>
    <row r="7" spans="1:15" ht="15" thickBot="1">
      <c r="B7" s="3" t="s">
        <v>461</v>
      </c>
      <c r="C7" s="5"/>
      <c r="D7" s="37">
        <v>4.2</v>
      </c>
      <c r="E7" s="37">
        <v>4.2</v>
      </c>
      <c r="F7" s="37">
        <v>4.2</v>
      </c>
      <c r="G7" s="37">
        <v>4.2</v>
      </c>
      <c r="H7" s="33">
        <v>0.1</v>
      </c>
      <c r="I7" s="3" t="s">
        <v>462</v>
      </c>
      <c r="J7" s="3" t="s">
        <v>273</v>
      </c>
      <c r="L7" s="12" t="s">
        <v>225</v>
      </c>
      <c r="M7" s="12">
        <v>1274.4000000000001</v>
      </c>
      <c r="N7" s="12">
        <v>1210.5999999999999</v>
      </c>
      <c r="O7" s="12">
        <v>1146.9000000000001</v>
      </c>
    </row>
    <row r="8" spans="1:15" ht="15" thickBot="1">
      <c r="B8" s="3" t="s">
        <v>226</v>
      </c>
      <c r="C8" s="5" t="s">
        <v>227</v>
      </c>
      <c r="D8" s="13">
        <v>25</v>
      </c>
      <c r="E8" s="13">
        <v>25</v>
      </c>
      <c r="F8" s="13">
        <v>25</v>
      </c>
      <c r="G8" s="13">
        <v>25</v>
      </c>
      <c r="H8" s="3"/>
      <c r="I8" s="3" t="s">
        <v>305</v>
      </c>
      <c r="J8" s="3" t="s">
        <v>243</v>
      </c>
      <c r="L8" s="12" t="s">
        <v>228</v>
      </c>
      <c r="M8" s="12">
        <v>-0.28000000000000003</v>
      </c>
      <c r="N8" s="12">
        <v>-0.28000000000000003</v>
      </c>
      <c r="O8" s="12">
        <v>-0.28000000000000003</v>
      </c>
    </row>
    <row r="9" spans="1:15" ht="15" thickBot="1">
      <c r="B9" s="1" t="s">
        <v>463</v>
      </c>
      <c r="C9" s="2" t="s">
        <v>216</v>
      </c>
      <c r="D9" s="1"/>
      <c r="E9" s="1"/>
      <c r="F9" s="1"/>
      <c r="G9" s="1"/>
      <c r="H9" s="1"/>
      <c r="I9" s="1"/>
      <c r="J9" s="1"/>
    </row>
    <row r="10" spans="1:15" ht="15" thickBot="1">
      <c r="B10" s="3" t="s">
        <v>464</v>
      </c>
      <c r="C10" s="3" t="s">
        <v>231</v>
      </c>
      <c r="D10" s="41">
        <v>1861</v>
      </c>
      <c r="E10" s="41">
        <v>1024</v>
      </c>
      <c r="F10" s="41">
        <v>872</v>
      </c>
      <c r="G10" s="41">
        <v>546</v>
      </c>
      <c r="H10" s="33">
        <v>0.25</v>
      </c>
      <c r="I10" s="3" t="s">
        <v>272</v>
      </c>
      <c r="J10" s="3" t="s">
        <v>478</v>
      </c>
      <c r="L10" s="4" t="s">
        <v>234</v>
      </c>
      <c r="M10" s="12" t="s">
        <v>306</v>
      </c>
    </row>
    <row r="11" spans="1:15" ht="15" thickBot="1">
      <c r="B11" s="36" t="s">
        <v>236</v>
      </c>
      <c r="C11" s="3" t="s">
        <v>223</v>
      </c>
      <c r="D11" s="41">
        <v>75</v>
      </c>
      <c r="E11" s="62">
        <v>78</v>
      </c>
      <c r="F11" s="62">
        <v>80</v>
      </c>
      <c r="G11" s="41">
        <v>80</v>
      </c>
      <c r="H11" s="3"/>
      <c r="I11" s="3" t="s">
        <v>448</v>
      </c>
      <c r="J11" s="3"/>
    </row>
    <row r="12" spans="1:15" ht="15" thickBot="1">
      <c r="B12" s="36" t="s">
        <v>237</v>
      </c>
      <c r="C12" s="3" t="s">
        <v>223</v>
      </c>
      <c r="D12" s="41">
        <v>25</v>
      </c>
      <c r="E12" s="62">
        <v>23</v>
      </c>
      <c r="F12" s="62">
        <v>20</v>
      </c>
      <c r="G12" s="41">
        <v>20</v>
      </c>
      <c r="H12" s="3"/>
      <c r="I12" s="3" t="s">
        <v>448</v>
      </c>
      <c r="J12" s="3"/>
      <c r="L12" s="4" t="s">
        <v>148</v>
      </c>
    </row>
    <row r="13" spans="1:15" ht="15" thickBot="1">
      <c r="B13" s="30" t="s">
        <v>263</v>
      </c>
      <c r="C13" s="3" t="s">
        <v>428</v>
      </c>
      <c r="D13" s="41">
        <v>558</v>
      </c>
      <c r="E13" s="41">
        <v>1536</v>
      </c>
      <c r="F13" s="41">
        <v>4359</v>
      </c>
      <c r="G13" s="41">
        <v>10923</v>
      </c>
      <c r="H13" s="33">
        <v>0.25</v>
      </c>
      <c r="I13" s="3" t="s">
        <v>272</v>
      </c>
      <c r="J13" s="3" t="s">
        <v>270</v>
      </c>
      <c r="L13" s="12" t="s">
        <v>240</v>
      </c>
      <c r="M13" s="12" t="s">
        <v>479</v>
      </c>
    </row>
    <row r="14" spans="1:15" ht="15" thickBot="1">
      <c r="B14" s="3" t="s">
        <v>466</v>
      </c>
      <c r="C14" s="3" t="s">
        <v>309</v>
      </c>
      <c r="D14" s="41">
        <v>47</v>
      </c>
      <c r="E14" s="41">
        <v>26</v>
      </c>
      <c r="F14" s="41">
        <v>22</v>
      </c>
      <c r="G14" s="41">
        <v>14</v>
      </c>
      <c r="H14" s="3"/>
      <c r="I14" s="3" t="s">
        <v>186</v>
      </c>
      <c r="J14" s="3" t="s">
        <v>249</v>
      </c>
      <c r="L14" s="12" t="s">
        <v>244</v>
      </c>
      <c r="M14" s="12" t="s">
        <v>467</v>
      </c>
    </row>
    <row r="15" spans="1:15">
      <c r="D15" s="68"/>
      <c r="L15" s="12" t="s">
        <v>224</v>
      </c>
      <c r="M15" s="12" t="s">
        <v>480</v>
      </c>
    </row>
    <row r="16" spans="1:15">
      <c r="B16" s="4" t="s">
        <v>214</v>
      </c>
      <c r="C16" s="4">
        <v>2030</v>
      </c>
      <c r="L16" s="12" t="s">
        <v>250</v>
      </c>
      <c r="M16" s="12" t="s">
        <v>481</v>
      </c>
    </row>
    <row r="17" spans="2:13" ht="15" thickBot="1">
      <c r="B17" s="1" t="s">
        <v>215</v>
      </c>
      <c r="C17" s="2" t="s">
        <v>216</v>
      </c>
      <c r="D17" s="1"/>
      <c r="E17" s="2"/>
      <c r="F17" s="1"/>
      <c r="G17" s="1"/>
      <c r="H17" s="1" t="s">
        <v>217</v>
      </c>
      <c r="I17" s="1" t="s">
        <v>147</v>
      </c>
      <c r="J17" s="1" t="s">
        <v>148</v>
      </c>
      <c r="L17" s="12" t="s">
        <v>252</v>
      </c>
      <c r="M17" s="12" t="s">
        <v>468</v>
      </c>
    </row>
    <row r="18" spans="2:13" ht="15" thickBot="1">
      <c r="B18" s="3" t="s">
        <v>220</v>
      </c>
      <c r="C18" s="30" t="s">
        <v>443</v>
      </c>
      <c r="D18" s="3">
        <v>0.3</v>
      </c>
      <c r="E18" s="31">
        <v>1.5</v>
      </c>
      <c r="F18" s="3">
        <v>5</v>
      </c>
      <c r="G18" s="3">
        <v>20</v>
      </c>
      <c r="H18" s="3"/>
      <c r="I18" s="3"/>
      <c r="J18" s="3" t="s">
        <v>376</v>
      </c>
      <c r="L18" s="12" t="s">
        <v>249</v>
      </c>
      <c r="M18" s="12" t="s">
        <v>470</v>
      </c>
    </row>
    <row r="19" spans="2:13" ht="15" thickBot="1">
      <c r="B19" s="3" t="s">
        <v>461</v>
      </c>
      <c r="C19" s="5"/>
      <c r="D19" s="37">
        <v>4.4000000000000004</v>
      </c>
      <c r="E19" s="37">
        <v>4.4000000000000004</v>
      </c>
      <c r="F19" s="37">
        <v>4.4000000000000004</v>
      </c>
      <c r="G19" s="37">
        <v>4.4000000000000004</v>
      </c>
      <c r="H19" s="33">
        <v>0.1</v>
      </c>
      <c r="I19" s="3" t="s">
        <v>462</v>
      </c>
      <c r="J19" s="3" t="s">
        <v>273</v>
      </c>
      <c r="L19" s="12" t="s">
        <v>243</v>
      </c>
      <c r="M19" s="12" t="s">
        <v>471</v>
      </c>
    </row>
    <row r="20" spans="2:13" ht="15" thickBot="1">
      <c r="B20" s="3" t="s">
        <v>226</v>
      </c>
      <c r="C20" s="5" t="s">
        <v>227</v>
      </c>
      <c r="D20" s="13">
        <v>28</v>
      </c>
      <c r="E20" s="13">
        <v>28</v>
      </c>
      <c r="F20" s="13">
        <v>28</v>
      </c>
      <c r="G20" s="13">
        <v>28</v>
      </c>
      <c r="H20" s="3"/>
      <c r="I20" s="3" t="s">
        <v>305</v>
      </c>
      <c r="J20" s="3" t="s">
        <v>243</v>
      </c>
      <c r="L20" s="12" t="s">
        <v>376</v>
      </c>
      <c r="M20" s="12" t="s">
        <v>472</v>
      </c>
    </row>
    <row r="21" spans="2:13" ht="15" thickBot="1">
      <c r="B21" s="1" t="s">
        <v>463</v>
      </c>
      <c r="C21" s="2" t="s">
        <v>216</v>
      </c>
      <c r="D21" s="1"/>
      <c r="E21" s="1"/>
      <c r="F21" s="1"/>
      <c r="G21" s="1"/>
      <c r="H21" s="1"/>
      <c r="I21" s="1"/>
      <c r="J21" s="1"/>
      <c r="L21" s="12" t="s">
        <v>381</v>
      </c>
      <c r="M21" s="12" t="s">
        <v>473</v>
      </c>
    </row>
    <row r="22" spans="2:13" ht="15" thickBot="1">
      <c r="B22" s="3" t="s">
        <v>464</v>
      </c>
      <c r="C22" s="3" t="s">
        <v>231</v>
      </c>
      <c r="D22" s="41">
        <v>1768</v>
      </c>
      <c r="E22" s="41">
        <v>973</v>
      </c>
      <c r="F22" s="41">
        <v>828</v>
      </c>
      <c r="G22" s="41">
        <v>519</v>
      </c>
      <c r="H22" s="33">
        <v>0.35</v>
      </c>
      <c r="I22" s="3" t="s">
        <v>272</v>
      </c>
      <c r="J22" s="3" t="s">
        <v>482</v>
      </c>
      <c r="L22" s="12" t="s">
        <v>378</v>
      </c>
      <c r="M22" s="12" t="s">
        <v>483</v>
      </c>
    </row>
    <row r="23" spans="2:13" ht="15" thickBot="1">
      <c r="B23" s="36" t="s">
        <v>236</v>
      </c>
      <c r="C23" s="3" t="s">
        <v>223</v>
      </c>
      <c r="D23" s="41">
        <v>75</v>
      </c>
      <c r="E23" s="62">
        <v>78</v>
      </c>
      <c r="F23" s="62">
        <v>80</v>
      </c>
      <c r="G23" s="41">
        <v>80</v>
      </c>
      <c r="H23" s="3"/>
      <c r="I23" s="3" t="s">
        <v>448</v>
      </c>
      <c r="J23" s="3"/>
      <c r="L23" s="12"/>
      <c r="M23" s="12"/>
    </row>
    <row r="24" spans="2:13" ht="15" thickBot="1">
      <c r="B24" s="36" t="s">
        <v>237</v>
      </c>
      <c r="C24" s="3" t="s">
        <v>223</v>
      </c>
      <c r="D24" s="41">
        <v>25</v>
      </c>
      <c r="E24" s="62">
        <v>23</v>
      </c>
      <c r="F24" s="62">
        <v>20</v>
      </c>
      <c r="G24" s="41">
        <v>20</v>
      </c>
      <c r="H24" s="3"/>
      <c r="I24" s="3" t="s">
        <v>448</v>
      </c>
      <c r="J24" s="3"/>
      <c r="L24" s="4" t="s">
        <v>147</v>
      </c>
    </row>
    <row r="25" spans="2:13" ht="15" thickBot="1">
      <c r="B25" s="30" t="s">
        <v>263</v>
      </c>
      <c r="C25" s="3" t="s">
        <v>428</v>
      </c>
      <c r="D25" s="41">
        <v>530</v>
      </c>
      <c r="E25" s="41">
        <v>1459</v>
      </c>
      <c r="F25" s="41">
        <v>4141</v>
      </c>
      <c r="G25" s="41">
        <v>10377</v>
      </c>
      <c r="H25" s="33">
        <v>0.35</v>
      </c>
      <c r="I25" s="3" t="s">
        <v>272</v>
      </c>
      <c r="J25" s="3" t="s">
        <v>270</v>
      </c>
      <c r="L25" s="12" t="s">
        <v>151</v>
      </c>
      <c r="M25" s="12" t="s">
        <v>185</v>
      </c>
    </row>
    <row r="26" spans="2:13" ht="15" thickBot="1">
      <c r="B26" s="3" t="s">
        <v>466</v>
      </c>
      <c r="C26" s="3" t="s">
        <v>309</v>
      </c>
      <c r="D26" s="41">
        <v>44</v>
      </c>
      <c r="E26" s="41">
        <v>24</v>
      </c>
      <c r="F26" s="41">
        <v>21</v>
      </c>
      <c r="G26" s="41">
        <v>13</v>
      </c>
      <c r="H26" s="3"/>
      <c r="I26" s="3" t="s">
        <v>186</v>
      </c>
      <c r="J26" s="3" t="s">
        <v>249</v>
      </c>
      <c r="L26" s="12" t="s">
        <v>184</v>
      </c>
      <c r="M26" s="12" t="s">
        <v>454</v>
      </c>
    </row>
    <row r="27" spans="2:13">
      <c r="L27" s="12" t="s">
        <v>186</v>
      </c>
      <c r="M27" s="12" t="s">
        <v>474</v>
      </c>
    </row>
    <row r="28" spans="2:13">
      <c r="L28" s="12" t="s">
        <v>188</v>
      </c>
      <c r="M28" s="12" t="s">
        <v>475</v>
      </c>
    </row>
    <row r="29" spans="2:13">
      <c r="B29" s="4" t="s">
        <v>214</v>
      </c>
      <c r="C29" s="4">
        <v>2040</v>
      </c>
      <c r="L29" s="12" t="s">
        <v>192</v>
      </c>
      <c r="M29" s="12" t="s">
        <v>476</v>
      </c>
    </row>
    <row r="30" spans="2:13" ht="15" thickBot="1">
      <c r="B30" s="1" t="s">
        <v>215</v>
      </c>
      <c r="C30" s="2" t="s">
        <v>216</v>
      </c>
      <c r="D30" s="1"/>
      <c r="E30" s="2"/>
      <c r="F30" s="1"/>
      <c r="G30" s="1"/>
      <c r="H30" s="1" t="s">
        <v>217</v>
      </c>
      <c r="I30" s="1" t="s">
        <v>147</v>
      </c>
      <c r="J30" s="1" t="s">
        <v>148</v>
      </c>
      <c r="L30" s="12" t="s">
        <v>172</v>
      </c>
      <c r="M30" s="12" t="s">
        <v>477</v>
      </c>
    </row>
    <row r="31" spans="2:13" ht="15" thickBot="1">
      <c r="B31" s="3" t="s">
        <v>220</v>
      </c>
      <c r="C31" s="30" t="s">
        <v>443</v>
      </c>
      <c r="D31" s="3">
        <v>0.3</v>
      </c>
      <c r="E31" s="31">
        <v>1.5</v>
      </c>
      <c r="F31" s="3">
        <v>5</v>
      </c>
      <c r="G31" s="3">
        <v>20</v>
      </c>
      <c r="H31" s="3"/>
      <c r="I31" s="3"/>
      <c r="J31" s="3" t="s">
        <v>376</v>
      </c>
      <c r="L31" s="12"/>
    </row>
    <row r="32" spans="2:13" ht="15" thickBot="1">
      <c r="B32" s="3" t="s">
        <v>461</v>
      </c>
      <c r="C32" s="5"/>
      <c r="D32" s="37">
        <v>4.5999999999999996</v>
      </c>
      <c r="E32" s="37">
        <v>4.5999999999999996</v>
      </c>
      <c r="F32" s="37">
        <v>4.5999999999999996</v>
      </c>
      <c r="G32" s="37">
        <v>4.5999999999999996</v>
      </c>
      <c r="H32" s="33">
        <v>0.1</v>
      </c>
      <c r="I32" s="3" t="s">
        <v>462</v>
      </c>
      <c r="J32" s="3" t="s">
        <v>273</v>
      </c>
      <c r="L32" s="12"/>
    </row>
    <row r="33" spans="2:13" ht="15" thickBot="1">
      <c r="B33" s="3" t="s">
        <v>226</v>
      </c>
      <c r="C33" s="5" t="s">
        <v>227</v>
      </c>
      <c r="D33" s="13">
        <v>25</v>
      </c>
      <c r="E33" s="13">
        <v>25</v>
      </c>
      <c r="F33" s="13">
        <v>25</v>
      </c>
      <c r="G33" s="13">
        <v>25</v>
      </c>
      <c r="H33" s="3"/>
      <c r="I33" s="3" t="s">
        <v>305</v>
      </c>
      <c r="J33" s="3" t="s">
        <v>243</v>
      </c>
    </row>
    <row r="34" spans="2:13" ht="15" thickBot="1">
      <c r="B34" s="1" t="s">
        <v>463</v>
      </c>
      <c r="C34" s="2" t="s">
        <v>216</v>
      </c>
      <c r="D34" s="1"/>
      <c r="E34" s="1"/>
      <c r="F34" s="1"/>
      <c r="G34" s="1"/>
      <c r="H34" s="1"/>
      <c r="I34" s="1"/>
      <c r="J34" s="1"/>
    </row>
    <row r="35" spans="2:13" ht="15" thickBot="1">
      <c r="B35" s="3" t="s">
        <v>464</v>
      </c>
      <c r="C35" s="3" t="s">
        <v>231</v>
      </c>
      <c r="D35" s="41">
        <v>1675</v>
      </c>
      <c r="E35" s="41">
        <v>921</v>
      </c>
      <c r="F35" s="41">
        <v>785</v>
      </c>
      <c r="G35" s="41">
        <v>492</v>
      </c>
      <c r="H35" s="33">
        <v>0.45</v>
      </c>
      <c r="I35" s="3" t="s">
        <v>272</v>
      </c>
      <c r="J35" s="3" t="s">
        <v>482</v>
      </c>
    </row>
    <row r="36" spans="2:13" ht="15" thickBot="1">
      <c r="B36" s="36" t="s">
        <v>236</v>
      </c>
      <c r="C36" s="3" t="s">
        <v>223</v>
      </c>
      <c r="D36" s="41">
        <v>75</v>
      </c>
      <c r="E36" s="62">
        <v>78</v>
      </c>
      <c r="F36" s="62">
        <v>80</v>
      </c>
      <c r="G36" s="41">
        <v>80</v>
      </c>
      <c r="H36" s="3"/>
      <c r="I36" s="3" t="s">
        <v>448</v>
      </c>
      <c r="J36" s="3"/>
    </row>
    <row r="37" spans="2:13" ht="15" thickBot="1">
      <c r="B37" s="36" t="s">
        <v>237</v>
      </c>
      <c r="C37" s="3" t="s">
        <v>223</v>
      </c>
      <c r="D37" s="41">
        <v>25</v>
      </c>
      <c r="E37" s="62">
        <v>23</v>
      </c>
      <c r="F37" s="62">
        <v>20</v>
      </c>
      <c r="G37" s="41">
        <v>20</v>
      </c>
      <c r="H37" s="3"/>
      <c r="I37" s="3" t="s">
        <v>448</v>
      </c>
      <c r="J37" s="3"/>
    </row>
    <row r="38" spans="2:13" ht="15" thickBot="1">
      <c r="B38" s="30" t="s">
        <v>263</v>
      </c>
      <c r="C38" s="3" t="s">
        <v>428</v>
      </c>
      <c r="D38" s="41">
        <v>503</v>
      </c>
      <c r="E38" s="41">
        <v>1382</v>
      </c>
      <c r="F38" s="41">
        <v>3923</v>
      </c>
      <c r="G38" s="41">
        <v>9831</v>
      </c>
      <c r="H38" s="33">
        <v>0.45</v>
      </c>
      <c r="I38" s="3" t="s">
        <v>272</v>
      </c>
      <c r="J38" s="3" t="s">
        <v>270</v>
      </c>
    </row>
    <row r="39" spans="2:13" ht="15" thickBot="1">
      <c r="B39" s="3" t="s">
        <v>466</v>
      </c>
      <c r="C39" s="3" t="s">
        <v>309</v>
      </c>
      <c r="D39" s="41">
        <v>42</v>
      </c>
      <c r="E39" s="41">
        <v>23</v>
      </c>
      <c r="F39" s="41">
        <v>20</v>
      </c>
      <c r="G39" s="41">
        <v>12</v>
      </c>
      <c r="H39" s="3"/>
      <c r="I39" s="3" t="s">
        <v>186</v>
      </c>
      <c r="J39" s="3" t="s">
        <v>249</v>
      </c>
    </row>
    <row r="44" spans="2:13">
      <c r="L44" s="4"/>
      <c r="M44" s="12"/>
    </row>
    <row r="45" spans="2:13">
      <c r="L45" s="12"/>
      <c r="M45" s="12"/>
    </row>
    <row r="46" spans="2:13">
      <c r="L46" s="12"/>
      <c r="M46" s="12"/>
    </row>
    <row r="47" spans="2:13">
      <c r="L47" s="12"/>
    </row>
  </sheetData>
  <sheetProtection algorithmName="SHA-512" hashValue="EXBBlswC4SZYWR77gtoJmrkXmGz9WZzzqo0V2QQs8xffmPpi9CkYdhUuDq0drB75kbuWtVtIwBmQ0pUN3d+Mcw==" saltValue="3dc9uU59Mwa2vo91z+C6wA==" spinCount="100000" sheet="1" objects="1" scenarios="1"/>
  <mergeCells count="1">
    <mergeCell ref="H2:L3"/>
  </mergeCells>
  <conditionalFormatting sqref="H22 H10 H35 H7 H19 H32 H13:H14 H25:H26 H38:H39">
    <cfRule type="colorScale" priority="1">
      <colorScale>
        <cfvo type="num" val="0"/>
        <cfvo type="num" val="0.5"/>
        <color theme="0"/>
        <color theme="5"/>
      </colorScale>
    </cfRule>
  </conditionalFormatting>
  <hyperlinks>
    <hyperlink ref="A1" location="Inhalt!A1" display="Zum Inhalt" xr:uid="{2BC7DA6C-FD38-41F9-BD26-4A085A045A66}"/>
  </hyperlinks>
  <pageMargins left="0.7" right="0.7" top="0.78740157499999996" bottom="0.78740157499999996" header="0.3" footer="0.3"/>
  <pageSetup paperSize="9" orientation="portrait"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E3168-7FC2-40E5-8368-F95FE6000516}">
  <sheetPr codeName="Tabelle30"/>
  <dimension ref="A1:M47"/>
  <sheetViews>
    <sheetView zoomScaleNormal="100" workbookViewId="0"/>
  </sheetViews>
  <sheetFormatPr baseColWidth="10" defaultColWidth="11.44140625" defaultRowHeight="14.4"/>
  <cols>
    <col min="2" max="2" width="38.88671875" bestFit="1" customWidth="1"/>
    <col min="10" max="10" width="12.88671875" customWidth="1"/>
  </cols>
  <sheetData>
    <row r="1" spans="1:13" ht="28.2" thickBot="1">
      <c r="A1" s="99" t="s">
        <v>143</v>
      </c>
    </row>
    <row r="2" spans="1:13">
      <c r="H2" s="142" t="s">
        <v>212</v>
      </c>
      <c r="I2" s="143"/>
      <c r="J2" s="143"/>
      <c r="K2" s="143"/>
      <c r="L2" s="144"/>
    </row>
    <row r="3" spans="1:13" ht="15" thickBot="1">
      <c r="B3" s="4" t="s">
        <v>213</v>
      </c>
      <c r="C3" s="4" t="s">
        <v>120</v>
      </c>
      <c r="H3" s="145"/>
      <c r="I3" s="146"/>
      <c r="J3" s="146"/>
      <c r="K3" s="146"/>
      <c r="L3" s="147"/>
    </row>
    <row r="4" spans="1:13">
      <c r="B4" s="4" t="s">
        <v>214</v>
      </c>
      <c r="C4" s="4">
        <v>2023</v>
      </c>
    </row>
    <row r="5" spans="1:13" ht="15" thickBot="1">
      <c r="B5" s="1" t="s">
        <v>215</v>
      </c>
      <c r="C5" s="2" t="s">
        <v>216</v>
      </c>
      <c r="D5" s="1"/>
      <c r="E5" s="2"/>
      <c r="F5" s="1" t="s">
        <v>217</v>
      </c>
      <c r="G5" s="1" t="s">
        <v>147</v>
      </c>
      <c r="H5" s="1" t="s">
        <v>148</v>
      </c>
      <c r="J5" s="4" t="s">
        <v>218</v>
      </c>
      <c r="K5" s="12" t="s">
        <v>460</v>
      </c>
    </row>
    <row r="6" spans="1:13" ht="15" thickBot="1">
      <c r="B6" s="3" t="s">
        <v>220</v>
      </c>
      <c r="C6" s="30" t="s">
        <v>443</v>
      </c>
      <c r="D6" s="3">
        <v>10</v>
      </c>
      <c r="E6" s="31">
        <v>50</v>
      </c>
      <c r="F6" s="3"/>
      <c r="G6" s="3"/>
      <c r="H6" s="3"/>
      <c r="J6" s="4" t="s">
        <v>214</v>
      </c>
      <c r="K6" s="4">
        <v>2023</v>
      </c>
      <c r="L6" s="4">
        <v>2030</v>
      </c>
      <c r="M6" s="4">
        <v>2040</v>
      </c>
    </row>
    <row r="7" spans="1:13" ht="15" thickBot="1">
      <c r="B7" s="3" t="s">
        <v>461</v>
      </c>
      <c r="C7" s="5"/>
      <c r="D7" s="13">
        <v>3</v>
      </c>
      <c r="E7" s="26">
        <v>3</v>
      </c>
      <c r="F7" s="33">
        <v>0.1</v>
      </c>
      <c r="G7" s="3" t="s">
        <v>484</v>
      </c>
      <c r="H7" s="3" t="s">
        <v>444</v>
      </c>
      <c r="J7" s="12" t="s">
        <v>225</v>
      </c>
      <c r="K7" s="12">
        <v>5881.1</v>
      </c>
      <c r="L7" s="12">
        <v>5587.1</v>
      </c>
      <c r="M7" s="12">
        <v>5293</v>
      </c>
    </row>
    <row r="8" spans="1:13" ht="15" thickBot="1">
      <c r="B8" s="3" t="s">
        <v>226</v>
      </c>
      <c r="C8" s="5" t="s">
        <v>227</v>
      </c>
      <c r="D8" s="13">
        <v>25</v>
      </c>
      <c r="E8" s="13">
        <v>25</v>
      </c>
      <c r="F8" s="3"/>
      <c r="G8" s="3" t="s">
        <v>305</v>
      </c>
      <c r="H8" s="3" t="s">
        <v>376</v>
      </c>
      <c r="J8" s="12" t="s">
        <v>228</v>
      </c>
      <c r="K8" s="12">
        <v>-0.77900000000000003</v>
      </c>
      <c r="L8" s="12">
        <v>-0.77900000000000003</v>
      </c>
      <c r="M8" s="12">
        <v>-0.77900000000000003</v>
      </c>
    </row>
    <row r="9" spans="1:13" ht="15" thickBot="1">
      <c r="B9" s="1" t="s">
        <v>463</v>
      </c>
      <c r="C9" s="2" t="s">
        <v>216</v>
      </c>
      <c r="D9" s="1"/>
      <c r="E9" s="1"/>
      <c r="F9" s="1"/>
      <c r="G9" s="1"/>
      <c r="H9" s="1"/>
    </row>
    <row r="10" spans="1:13" ht="15" thickBot="1">
      <c r="B10" s="3" t="s">
        <v>464</v>
      </c>
      <c r="C10" s="3" t="s">
        <v>231</v>
      </c>
      <c r="D10" s="41">
        <v>978</v>
      </c>
      <c r="E10" s="41">
        <v>279</v>
      </c>
      <c r="F10" s="33">
        <v>0.25</v>
      </c>
      <c r="G10" s="3" t="s">
        <v>305</v>
      </c>
      <c r="H10" s="3" t="s">
        <v>478</v>
      </c>
      <c r="J10" s="4" t="s">
        <v>234</v>
      </c>
      <c r="K10" s="12" t="s">
        <v>306</v>
      </c>
    </row>
    <row r="11" spans="1:13" ht="15" thickBot="1">
      <c r="B11" s="36" t="s">
        <v>236</v>
      </c>
      <c r="C11" s="3" t="s">
        <v>223</v>
      </c>
      <c r="D11" s="41">
        <v>85</v>
      </c>
      <c r="E11" s="62">
        <v>85</v>
      </c>
      <c r="F11" s="3"/>
      <c r="G11" s="3" t="s">
        <v>305</v>
      </c>
      <c r="H11" s="3"/>
    </row>
    <row r="12" spans="1:13" ht="15" thickBot="1">
      <c r="B12" s="36" t="s">
        <v>237</v>
      </c>
      <c r="C12" s="3" t="s">
        <v>223</v>
      </c>
      <c r="D12" s="41">
        <v>15</v>
      </c>
      <c r="E12" s="62">
        <v>15</v>
      </c>
      <c r="F12" s="3"/>
      <c r="G12" s="3" t="s">
        <v>305</v>
      </c>
      <c r="H12" s="3"/>
      <c r="J12" s="4" t="s">
        <v>148</v>
      </c>
    </row>
    <row r="13" spans="1:13" ht="15" thickBot="1">
      <c r="B13" s="30" t="s">
        <v>263</v>
      </c>
      <c r="C13" s="3" t="s">
        <v>428</v>
      </c>
      <c r="D13" s="41">
        <v>9782</v>
      </c>
      <c r="E13" s="41">
        <v>13960</v>
      </c>
      <c r="F13" s="33">
        <v>0.25</v>
      </c>
      <c r="G13" s="3" t="s">
        <v>305</v>
      </c>
      <c r="H13" s="3"/>
      <c r="J13" s="12" t="s">
        <v>240</v>
      </c>
      <c r="K13" s="12" t="s">
        <v>465</v>
      </c>
    </row>
    <row r="14" spans="1:13" ht="15" thickBot="1">
      <c r="B14" s="3" t="s">
        <v>466</v>
      </c>
      <c r="C14" s="3" t="s">
        <v>309</v>
      </c>
      <c r="D14" s="41">
        <v>24</v>
      </c>
      <c r="E14" s="41">
        <v>7</v>
      </c>
      <c r="F14" s="3"/>
      <c r="G14" s="3" t="s">
        <v>186</v>
      </c>
      <c r="H14" s="3" t="s">
        <v>243</v>
      </c>
      <c r="J14" s="12" t="s">
        <v>244</v>
      </c>
      <c r="K14" s="12" t="s">
        <v>467</v>
      </c>
    </row>
    <row r="15" spans="1:13">
      <c r="D15" s="70"/>
      <c r="J15" s="12" t="s">
        <v>224</v>
      </c>
      <c r="K15" s="12" t="s">
        <v>485</v>
      </c>
    </row>
    <row r="16" spans="1:13">
      <c r="B16" s="4" t="s">
        <v>214</v>
      </c>
      <c r="C16" s="4">
        <v>2030</v>
      </c>
      <c r="J16" s="12" t="s">
        <v>250</v>
      </c>
      <c r="K16" s="12" t="s">
        <v>486</v>
      </c>
    </row>
    <row r="17" spans="2:11" ht="15" thickBot="1">
      <c r="B17" s="1" t="s">
        <v>215</v>
      </c>
      <c r="C17" s="2" t="s">
        <v>216</v>
      </c>
      <c r="D17" s="1"/>
      <c r="E17" s="2"/>
      <c r="F17" s="1" t="s">
        <v>217</v>
      </c>
      <c r="G17" s="1" t="s">
        <v>147</v>
      </c>
      <c r="H17" s="1" t="s">
        <v>148</v>
      </c>
      <c r="J17" s="12" t="s">
        <v>252</v>
      </c>
      <c r="K17" s="12" t="s">
        <v>487</v>
      </c>
    </row>
    <row r="18" spans="2:11" ht="15" thickBot="1">
      <c r="B18" s="3" t="s">
        <v>220</v>
      </c>
      <c r="C18" s="30" t="s">
        <v>443</v>
      </c>
      <c r="D18" s="3">
        <v>10</v>
      </c>
      <c r="E18" s="31">
        <v>50</v>
      </c>
      <c r="F18" s="3"/>
      <c r="G18" s="3"/>
      <c r="H18" s="3"/>
      <c r="J18" s="12" t="s">
        <v>249</v>
      </c>
      <c r="K18" s="12" t="s">
        <v>488</v>
      </c>
    </row>
    <row r="19" spans="2:11" ht="15" thickBot="1">
      <c r="B19" s="3" t="s">
        <v>461</v>
      </c>
      <c r="C19" s="5"/>
      <c r="D19" s="37">
        <v>3.1</v>
      </c>
      <c r="E19" s="37">
        <v>3.1</v>
      </c>
      <c r="F19" s="33">
        <v>0.1</v>
      </c>
      <c r="G19" s="3" t="s">
        <v>484</v>
      </c>
      <c r="H19" s="3" t="s">
        <v>444</v>
      </c>
      <c r="J19" s="12" t="s">
        <v>243</v>
      </c>
      <c r="K19" s="12" t="s">
        <v>470</v>
      </c>
    </row>
    <row r="20" spans="2:11" ht="15" thickBot="1">
      <c r="B20" s="3" t="s">
        <v>226</v>
      </c>
      <c r="C20" s="5" t="s">
        <v>227</v>
      </c>
      <c r="D20" s="13">
        <v>25</v>
      </c>
      <c r="E20" s="13">
        <v>25</v>
      </c>
      <c r="F20" s="3"/>
      <c r="G20" s="3" t="s">
        <v>305</v>
      </c>
      <c r="H20" s="3" t="s">
        <v>376</v>
      </c>
      <c r="J20" s="12" t="s">
        <v>376</v>
      </c>
      <c r="K20" s="12" t="s">
        <v>471</v>
      </c>
    </row>
    <row r="21" spans="2:11" ht="15" thickBot="1">
      <c r="B21" s="1" t="s">
        <v>463</v>
      </c>
      <c r="C21" s="2" t="s">
        <v>216</v>
      </c>
      <c r="D21" s="1"/>
      <c r="E21" s="1"/>
      <c r="F21" s="1"/>
      <c r="G21" s="1"/>
      <c r="H21" s="1"/>
      <c r="J21" s="12" t="s">
        <v>381</v>
      </c>
      <c r="K21" s="12" t="s">
        <v>473</v>
      </c>
    </row>
    <row r="22" spans="2:11" ht="15" thickBot="1">
      <c r="B22" s="3" t="s">
        <v>464</v>
      </c>
      <c r="C22" s="3" t="s">
        <v>231</v>
      </c>
      <c r="D22" s="41">
        <v>929</v>
      </c>
      <c r="E22" s="41">
        <v>265</v>
      </c>
      <c r="F22" s="33">
        <v>0.35</v>
      </c>
      <c r="G22" s="3" t="s">
        <v>305</v>
      </c>
      <c r="H22" s="3" t="s">
        <v>482</v>
      </c>
      <c r="J22" s="12" t="s">
        <v>378</v>
      </c>
      <c r="K22" s="12" t="s">
        <v>483</v>
      </c>
    </row>
    <row r="23" spans="2:11" ht="15" thickBot="1">
      <c r="B23" s="36" t="s">
        <v>236</v>
      </c>
      <c r="C23" s="3" t="s">
        <v>223</v>
      </c>
      <c r="D23" s="41">
        <v>85</v>
      </c>
      <c r="E23" s="62">
        <v>85</v>
      </c>
      <c r="F23" s="3"/>
      <c r="G23" s="3" t="s">
        <v>305</v>
      </c>
      <c r="H23" s="3"/>
      <c r="J23" s="12"/>
      <c r="K23" s="12"/>
    </row>
    <row r="24" spans="2:11" ht="15" thickBot="1">
      <c r="B24" s="36" t="s">
        <v>237</v>
      </c>
      <c r="C24" s="3" t="s">
        <v>223</v>
      </c>
      <c r="D24" s="41">
        <v>15</v>
      </c>
      <c r="E24" s="62">
        <v>15</v>
      </c>
      <c r="F24" s="3"/>
      <c r="G24" s="3" t="s">
        <v>305</v>
      </c>
      <c r="H24" s="3"/>
      <c r="J24" s="4" t="s">
        <v>147</v>
      </c>
    </row>
    <row r="25" spans="2:11" ht="25.5" customHeight="1" thickBot="1">
      <c r="B25" s="30" t="s">
        <v>263</v>
      </c>
      <c r="C25" s="3" t="s">
        <v>428</v>
      </c>
      <c r="D25" s="41">
        <v>9293</v>
      </c>
      <c r="E25" s="41">
        <v>13262</v>
      </c>
      <c r="F25" s="33">
        <v>0.35</v>
      </c>
      <c r="G25" s="3" t="s">
        <v>305</v>
      </c>
      <c r="H25" s="3"/>
      <c r="J25" s="12" t="s">
        <v>151</v>
      </c>
      <c r="K25" s="12" t="s">
        <v>185</v>
      </c>
    </row>
    <row r="26" spans="2:11" ht="15" thickBot="1">
      <c r="B26" s="3" t="s">
        <v>466</v>
      </c>
      <c r="C26" s="3" t="s">
        <v>309</v>
      </c>
      <c r="D26" s="41">
        <v>23</v>
      </c>
      <c r="E26" s="41">
        <v>7</v>
      </c>
      <c r="F26" s="3"/>
      <c r="G26" s="3" t="s">
        <v>186</v>
      </c>
      <c r="H26" s="3" t="s">
        <v>489</v>
      </c>
      <c r="J26" s="12" t="s">
        <v>184</v>
      </c>
      <c r="K26" s="12" t="s">
        <v>454</v>
      </c>
    </row>
    <row r="27" spans="2:11">
      <c r="J27" s="12" t="s">
        <v>186</v>
      </c>
      <c r="K27" s="12" t="s">
        <v>474</v>
      </c>
    </row>
    <row r="28" spans="2:11">
      <c r="J28" s="12" t="s">
        <v>188</v>
      </c>
      <c r="K28" s="12" t="s">
        <v>477</v>
      </c>
    </row>
    <row r="29" spans="2:11">
      <c r="B29" s="4" t="s">
        <v>214</v>
      </c>
      <c r="C29" s="4">
        <v>2040</v>
      </c>
      <c r="J29" s="12"/>
      <c r="K29" s="12"/>
    </row>
    <row r="30" spans="2:11" ht="15" thickBot="1">
      <c r="B30" s="1" t="s">
        <v>215</v>
      </c>
      <c r="C30" s="2" t="s">
        <v>216</v>
      </c>
      <c r="D30" s="1"/>
      <c r="E30" s="2"/>
      <c r="F30" s="1" t="s">
        <v>217</v>
      </c>
      <c r="G30" s="1" t="s">
        <v>147</v>
      </c>
      <c r="H30" s="1" t="s">
        <v>148</v>
      </c>
      <c r="J30" s="12"/>
    </row>
    <row r="31" spans="2:11" ht="15" thickBot="1">
      <c r="B31" s="3" t="s">
        <v>220</v>
      </c>
      <c r="C31" s="30" t="s">
        <v>443</v>
      </c>
      <c r="D31" s="3">
        <v>10</v>
      </c>
      <c r="E31" s="31">
        <v>50</v>
      </c>
      <c r="F31" s="3"/>
      <c r="G31" s="3"/>
      <c r="H31" s="3"/>
      <c r="J31" s="12"/>
    </row>
    <row r="32" spans="2:11" ht="15" thickBot="1">
      <c r="B32" s="3" t="s">
        <v>461</v>
      </c>
      <c r="C32" s="5"/>
      <c r="D32" s="37">
        <v>3.3</v>
      </c>
      <c r="E32" s="37">
        <v>3.3</v>
      </c>
      <c r="F32" s="33">
        <v>0.1</v>
      </c>
      <c r="G32" s="3" t="s">
        <v>484</v>
      </c>
      <c r="H32" s="3" t="s">
        <v>444</v>
      </c>
      <c r="J32" s="12"/>
    </row>
    <row r="33" spans="2:11" ht="15" thickBot="1">
      <c r="B33" s="3" t="s">
        <v>226</v>
      </c>
      <c r="C33" s="5" t="s">
        <v>227</v>
      </c>
      <c r="D33" s="13">
        <v>25</v>
      </c>
      <c r="E33" s="13">
        <v>25</v>
      </c>
      <c r="F33" s="3"/>
      <c r="G33" s="3" t="s">
        <v>305</v>
      </c>
      <c r="H33" s="3" t="s">
        <v>376</v>
      </c>
    </row>
    <row r="34" spans="2:11" ht="15" thickBot="1">
      <c r="B34" s="1" t="s">
        <v>463</v>
      </c>
      <c r="C34" s="2" t="s">
        <v>216</v>
      </c>
      <c r="D34" s="1"/>
      <c r="E34" s="1"/>
      <c r="F34" s="1"/>
      <c r="G34" s="1"/>
      <c r="H34" s="1"/>
    </row>
    <row r="35" spans="2:11" ht="15" thickBot="1">
      <c r="B35" s="3" t="s">
        <v>464</v>
      </c>
      <c r="C35" s="3" t="s">
        <v>231</v>
      </c>
      <c r="D35" s="41">
        <v>880</v>
      </c>
      <c r="E35" s="41">
        <v>251</v>
      </c>
      <c r="F35" s="33">
        <v>0.45</v>
      </c>
      <c r="G35" s="3" t="s">
        <v>305</v>
      </c>
      <c r="H35" s="3" t="s">
        <v>478</v>
      </c>
    </row>
    <row r="36" spans="2:11" ht="15" thickBot="1">
      <c r="B36" s="36" t="s">
        <v>236</v>
      </c>
      <c r="C36" s="3" t="s">
        <v>223</v>
      </c>
      <c r="D36" s="41">
        <v>85</v>
      </c>
      <c r="E36" s="62">
        <v>85</v>
      </c>
      <c r="F36" s="3"/>
      <c r="G36" s="3" t="s">
        <v>305</v>
      </c>
      <c r="H36" s="3"/>
    </row>
    <row r="37" spans="2:11" ht="15" thickBot="1">
      <c r="B37" s="36" t="s">
        <v>237</v>
      </c>
      <c r="C37" s="3" t="s">
        <v>223</v>
      </c>
      <c r="D37" s="41">
        <v>15</v>
      </c>
      <c r="E37" s="62">
        <v>15</v>
      </c>
      <c r="F37" s="3"/>
      <c r="G37" s="3" t="s">
        <v>305</v>
      </c>
      <c r="H37" s="3"/>
    </row>
    <row r="38" spans="2:11" ht="15" thickBot="1">
      <c r="B38" s="30" t="s">
        <v>263</v>
      </c>
      <c r="C38" s="3" t="s">
        <v>428</v>
      </c>
      <c r="D38" s="41">
        <v>8804</v>
      </c>
      <c r="E38" s="41">
        <v>12564</v>
      </c>
      <c r="F38" s="33">
        <v>0.45</v>
      </c>
      <c r="G38" s="3" t="s">
        <v>305</v>
      </c>
      <c r="H38" s="3"/>
    </row>
    <row r="39" spans="2:11" ht="15" thickBot="1">
      <c r="B39" s="3" t="s">
        <v>466</v>
      </c>
      <c r="C39" s="3" t="s">
        <v>309</v>
      </c>
      <c r="D39" s="41">
        <v>22</v>
      </c>
      <c r="E39" s="41">
        <v>6</v>
      </c>
      <c r="F39" s="3"/>
      <c r="G39" s="3" t="s">
        <v>186</v>
      </c>
      <c r="H39" s="3" t="s">
        <v>489</v>
      </c>
    </row>
    <row r="40" spans="2:11" ht="27" customHeight="1"/>
    <row r="44" spans="2:11">
      <c r="J44" s="4"/>
      <c r="K44" s="12"/>
    </row>
    <row r="45" spans="2:11">
      <c r="J45" s="12"/>
      <c r="K45" s="12"/>
    </row>
    <row r="46" spans="2:11">
      <c r="J46" s="12"/>
      <c r="K46" s="12"/>
    </row>
    <row r="47" spans="2:11">
      <c r="J47" s="12"/>
    </row>
  </sheetData>
  <sheetProtection algorithmName="SHA-512" hashValue="bGvAulQ09nyeIDPVUeDSpUTuKWt5w8SX9j1pzFBibITNTIV3Tcv2U3MrZk/ziyb4AOI4Znr2BEnJHc9Z5GUkYw==" saltValue="CypbCMfrJOH3lQQOE7QGyA==" spinCount="100000" sheet="1" objects="1" scenarios="1"/>
  <mergeCells count="1">
    <mergeCell ref="H2:L3"/>
  </mergeCells>
  <conditionalFormatting sqref="F22 F10 F35 F7 F19 F32 F13:F14 F25:F26 F38:F39">
    <cfRule type="colorScale" priority="1">
      <colorScale>
        <cfvo type="num" val="0"/>
        <cfvo type="num" val="0.5"/>
        <color theme="0"/>
        <color theme="5"/>
      </colorScale>
    </cfRule>
  </conditionalFormatting>
  <hyperlinks>
    <hyperlink ref="A1" location="Inhalt!A1" display="Zum Inhalt" xr:uid="{0C78E547-F153-4FF8-8068-4A8E1FC09721}"/>
  </hyperlinks>
  <pageMargins left="0.7" right="0.7" top="0.78740157499999996" bottom="0.78740157499999996" header="0.3" footer="0.3"/>
  <pageSetup paperSize="9" orientation="portrait" verticalDpi="0"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7EF4-17C7-44C1-980D-E7109560A645}">
  <sheetPr codeName="Tabelle31"/>
  <dimension ref="A1:M42"/>
  <sheetViews>
    <sheetView zoomScaleNormal="100" workbookViewId="0"/>
  </sheetViews>
  <sheetFormatPr baseColWidth="10" defaultColWidth="11.44140625" defaultRowHeight="14.4"/>
  <cols>
    <col min="2" max="2" width="40.44140625" bestFit="1" customWidth="1"/>
    <col min="10" max="10" width="12.88671875" customWidth="1"/>
  </cols>
  <sheetData>
    <row r="1" spans="1:13" ht="28.2" thickBot="1">
      <c r="A1" s="99" t="s">
        <v>143</v>
      </c>
    </row>
    <row r="2" spans="1:13">
      <c r="F2" s="142" t="s">
        <v>212</v>
      </c>
      <c r="G2" s="143"/>
      <c r="H2" s="143"/>
      <c r="I2" s="143"/>
      <c r="J2" s="144"/>
    </row>
    <row r="3" spans="1:13" ht="15" thickBot="1">
      <c r="B3" s="4" t="s">
        <v>213</v>
      </c>
      <c r="C3" s="4" t="s">
        <v>122</v>
      </c>
      <c r="F3" s="145"/>
      <c r="G3" s="146"/>
      <c r="H3" s="146"/>
      <c r="I3" s="146"/>
      <c r="J3" s="147"/>
    </row>
    <row r="4" spans="1:13">
      <c r="B4" s="4" t="s">
        <v>214</v>
      </c>
      <c r="C4" s="4">
        <v>2023</v>
      </c>
    </row>
    <row r="5" spans="1:13" ht="15" thickBot="1">
      <c r="B5" s="1" t="s">
        <v>215</v>
      </c>
      <c r="C5" s="2" t="s">
        <v>216</v>
      </c>
      <c r="D5" s="1"/>
      <c r="E5" s="2"/>
      <c r="F5" s="1" t="s">
        <v>217</v>
      </c>
      <c r="G5" s="1" t="s">
        <v>147</v>
      </c>
      <c r="H5" s="1" t="s">
        <v>148</v>
      </c>
      <c r="J5" s="4" t="s">
        <v>218</v>
      </c>
      <c r="K5" s="12" t="s">
        <v>460</v>
      </c>
    </row>
    <row r="6" spans="1:13" ht="15" thickBot="1">
      <c r="B6" s="3" t="s">
        <v>220</v>
      </c>
      <c r="C6" s="30" t="s">
        <v>443</v>
      </c>
      <c r="D6" s="3">
        <v>12</v>
      </c>
      <c r="E6" s="31">
        <v>20</v>
      </c>
      <c r="F6" s="3"/>
      <c r="G6" s="3"/>
      <c r="H6" s="3"/>
      <c r="J6" s="4" t="s">
        <v>214</v>
      </c>
      <c r="K6" s="4">
        <v>2023</v>
      </c>
      <c r="L6" s="4">
        <v>2030</v>
      </c>
      <c r="M6" s="4">
        <v>2040</v>
      </c>
    </row>
    <row r="7" spans="1:13" ht="15" thickBot="1">
      <c r="B7" s="3" t="s">
        <v>461</v>
      </c>
      <c r="C7" s="5"/>
      <c r="D7" s="51">
        <v>1.8</v>
      </c>
      <c r="E7" s="71">
        <v>1.8</v>
      </c>
      <c r="F7" s="33">
        <v>0.1</v>
      </c>
      <c r="G7" s="3" t="s">
        <v>305</v>
      </c>
      <c r="H7" s="3" t="s">
        <v>240</v>
      </c>
      <c r="J7" s="12" t="s">
        <v>225</v>
      </c>
      <c r="K7" s="12">
        <v>22797</v>
      </c>
      <c r="L7" s="12">
        <v>21657</v>
      </c>
      <c r="M7" s="12">
        <v>20517</v>
      </c>
    </row>
    <row r="8" spans="1:13" ht="15" thickBot="1">
      <c r="B8" s="3" t="s">
        <v>226</v>
      </c>
      <c r="C8" s="5" t="s">
        <v>227</v>
      </c>
      <c r="D8" s="13">
        <v>25</v>
      </c>
      <c r="E8" s="13">
        <v>25</v>
      </c>
      <c r="F8" s="3"/>
      <c r="G8" s="3" t="s">
        <v>305</v>
      </c>
      <c r="H8" s="3" t="s">
        <v>244</v>
      </c>
      <c r="J8" s="12" t="s">
        <v>228</v>
      </c>
      <c r="K8" s="12">
        <v>-1.357</v>
      </c>
      <c r="L8" s="12">
        <v>-1.357</v>
      </c>
      <c r="M8" s="12">
        <v>-1.357</v>
      </c>
    </row>
    <row r="9" spans="1:13" ht="15" thickBot="1">
      <c r="B9" s="1" t="s">
        <v>463</v>
      </c>
      <c r="C9" s="2" t="s">
        <v>216</v>
      </c>
      <c r="D9" s="1"/>
      <c r="E9" s="1"/>
      <c r="F9" s="1"/>
      <c r="G9" s="1"/>
      <c r="H9" s="1"/>
    </row>
    <row r="10" spans="1:13" ht="15" thickBot="1">
      <c r="B10" s="3" t="s">
        <v>464</v>
      </c>
      <c r="C10" s="3" t="s">
        <v>231</v>
      </c>
      <c r="D10" s="41">
        <v>783</v>
      </c>
      <c r="E10" s="41">
        <v>391</v>
      </c>
      <c r="F10" s="33">
        <v>0.25</v>
      </c>
      <c r="G10" s="3" t="s">
        <v>305</v>
      </c>
      <c r="H10" s="3" t="s">
        <v>387</v>
      </c>
      <c r="J10" s="4" t="s">
        <v>234</v>
      </c>
      <c r="K10" s="12" t="s">
        <v>306</v>
      </c>
    </row>
    <row r="11" spans="1:13" ht="15" thickBot="1">
      <c r="B11" s="36" t="s">
        <v>236</v>
      </c>
      <c r="C11" s="3" t="s">
        <v>223</v>
      </c>
      <c r="D11" s="41">
        <v>70</v>
      </c>
      <c r="E11" s="62">
        <v>30</v>
      </c>
      <c r="F11" s="3"/>
      <c r="G11" s="3" t="s">
        <v>305</v>
      </c>
      <c r="H11" s="3"/>
    </row>
    <row r="12" spans="1:13" ht="15" thickBot="1">
      <c r="B12" s="36" t="s">
        <v>237</v>
      </c>
      <c r="C12" s="3" t="s">
        <v>223</v>
      </c>
      <c r="D12" s="41">
        <v>30</v>
      </c>
      <c r="E12" s="62">
        <v>70</v>
      </c>
      <c r="F12" s="3"/>
      <c r="G12" s="3" t="s">
        <v>305</v>
      </c>
      <c r="H12" s="3"/>
      <c r="J12" s="4" t="s">
        <v>148</v>
      </c>
    </row>
    <row r="13" spans="1:13" ht="15" thickBot="1">
      <c r="B13" s="30" t="s">
        <v>263</v>
      </c>
      <c r="C13" s="3" t="s">
        <v>428</v>
      </c>
      <c r="D13" s="41">
        <v>9391</v>
      </c>
      <c r="E13" s="41">
        <v>7826</v>
      </c>
      <c r="F13" s="33">
        <v>0.25</v>
      </c>
      <c r="G13" s="3" t="s">
        <v>305</v>
      </c>
      <c r="H13" s="3"/>
      <c r="J13" s="12" t="s">
        <v>240</v>
      </c>
      <c r="K13" s="12" t="s">
        <v>490</v>
      </c>
    </row>
    <row r="14" spans="1:13" ht="15" thickBot="1">
      <c r="B14" s="3" t="s">
        <v>466</v>
      </c>
      <c r="C14" s="3" t="s">
        <v>309</v>
      </c>
      <c r="D14" s="41">
        <v>20</v>
      </c>
      <c r="E14" s="41">
        <v>10</v>
      </c>
      <c r="F14" s="3"/>
      <c r="G14" s="3" t="s">
        <v>186</v>
      </c>
      <c r="H14" s="3"/>
      <c r="J14" s="12" t="s">
        <v>244</v>
      </c>
      <c r="K14" s="12" t="s">
        <v>491</v>
      </c>
    </row>
    <row r="15" spans="1:13">
      <c r="J15" s="12" t="s">
        <v>224</v>
      </c>
      <c r="K15" s="12" t="s">
        <v>492</v>
      </c>
    </row>
    <row r="16" spans="1:13">
      <c r="B16" s="4" t="s">
        <v>214</v>
      </c>
      <c r="C16" s="4">
        <v>2030</v>
      </c>
      <c r="J16" s="12" t="s">
        <v>252</v>
      </c>
      <c r="K16" s="12" t="s">
        <v>473</v>
      </c>
    </row>
    <row r="17" spans="2:11" ht="15" thickBot="1">
      <c r="B17" s="1" t="s">
        <v>215</v>
      </c>
      <c r="C17" s="2" t="s">
        <v>216</v>
      </c>
      <c r="D17" s="1"/>
      <c r="E17" s="2"/>
      <c r="F17" s="1" t="s">
        <v>217</v>
      </c>
      <c r="G17" s="1" t="s">
        <v>147</v>
      </c>
      <c r="H17" s="1" t="s">
        <v>148</v>
      </c>
      <c r="J17" s="12" t="s">
        <v>249</v>
      </c>
      <c r="K17" s="12" t="s">
        <v>483</v>
      </c>
    </row>
    <row r="18" spans="2:11" ht="15" thickBot="1">
      <c r="B18" s="3" t="s">
        <v>220</v>
      </c>
      <c r="C18" s="30" t="s">
        <v>443</v>
      </c>
      <c r="D18" s="3">
        <v>12</v>
      </c>
      <c r="E18" s="31">
        <v>20</v>
      </c>
      <c r="F18" s="3"/>
      <c r="G18" s="3"/>
      <c r="H18" s="3"/>
      <c r="J18" s="12"/>
      <c r="K18" s="12"/>
    </row>
    <row r="19" spans="2:11" ht="15" thickBot="1">
      <c r="B19" s="3" t="s">
        <v>461</v>
      </c>
      <c r="C19" s="5"/>
      <c r="D19" s="51">
        <v>1.83</v>
      </c>
      <c r="E19" s="71">
        <v>1.83</v>
      </c>
      <c r="F19" s="33">
        <v>0.1</v>
      </c>
      <c r="G19" s="3" t="s">
        <v>305</v>
      </c>
      <c r="H19" s="3" t="s">
        <v>240</v>
      </c>
      <c r="J19" s="4" t="s">
        <v>147</v>
      </c>
    </row>
    <row r="20" spans="2:11" ht="15" thickBot="1">
      <c r="B20" s="3" t="s">
        <v>226</v>
      </c>
      <c r="C20" s="5" t="s">
        <v>227</v>
      </c>
      <c r="D20" s="13">
        <v>28</v>
      </c>
      <c r="E20" s="13">
        <v>28</v>
      </c>
      <c r="F20" s="3"/>
      <c r="G20" s="3" t="s">
        <v>305</v>
      </c>
      <c r="H20" s="3" t="s">
        <v>244</v>
      </c>
      <c r="J20" s="12" t="s">
        <v>151</v>
      </c>
      <c r="K20" s="12" t="s">
        <v>185</v>
      </c>
    </row>
    <row r="21" spans="2:11" ht="15" thickBot="1">
      <c r="B21" s="1" t="s">
        <v>463</v>
      </c>
      <c r="C21" s="2" t="s">
        <v>216</v>
      </c>
      <c r="D21" s="1"/>
      <c r="E21" s="1"/>
      <c r="F21" s="1"/>
      <c r="G21" s="1"/>
      <c r="H21" s="1"/>
      <c r="J21" s="12" t="s">
        <v>184</v>
      </c>
      <c r="K21" s="12" t="s">
        <v>454</v>
      </c>
    </row>
    <row r="22" spans="2:11" ht="15" thickBot="1">
      <c r="B22" s="3" t="s">
        <v>464</v>
      </c>
      <c r="C22" s="3" t="s">
        <v>231</v>
      </c>
      <c r="D22" s="41">
        <v>743</v>
      </c>
      <c r="E22" s="41">
        <v>372</v>
      </c>
      <c r="F22" s="33">
        <v>0.35</v>
      </c>
      <c r="G22" s="3" t="s">
        <v>305</v>
      </c>
      <c r="H22" s="3" t="s">
        <v>493</v>
      </c>
      <c r="J22" s="12" t="s">
        <v>186</v>
      </c>
      <c r="K22" s="12" t="s">
        <v>474</v>
      </c>
    </row>
    <row r="23" spans="2:11" ht="15" thickBot="1">
      <c r="B23" s="36" t="s">
        <v>236</v>
      </c>
      <c r="C23" s="3" t="s">
        <v>223</v>
      </c>
      <c r="D23" s="41">
        <v>70</v>
      </c>
      <c r="E23" s="62">
        <v>30</v>
      </c>
      <c r="F23" s="3"/>
      <c r="G23" s="3" t="s">
        <v>305</v>
      </c>
      <c r="H23" s="3"/>
      <c r="J23" s="12"/>
      <c r="K23" s="12"/>
    </row>
    <row r="24" spans="2:11" ht="15" thickBot="1">
      <c r="B24" s="36" t="s">
        <v>237</v>
      </c>
      <c r="C24" s="3" t="s">
        <v>223</v>
      </c>
      <c r="D24" s="41">
        <v>30</v>
      </c>
      <c r="E24" s="62">
        <v>70</v>
      </c>
      <c r="F24" s="3"/>
      <c r="G24" s="3" t="s">
        <v>305</v>
      </c>
      <c r="H24" s="3"/>
      <c r="J24" s="12"/>
      <c r="K24" s="12"/>
    </row>
    <row r="25" spans="2:11" ht="15" thickBot="1">
      <c r="B25" s="30" t="s">
        <v>263</v>
      </c>
      <c r="C25" s="3" t="s">
        <v>428</v>
      </c>
      <c r="D25" s="41">
        <v>8921</v>
      </c>
      <c r="E25" s="41">
        <v>7434</v>
      </c>
      <c r="F25" s="33">
        <v>0.35</v>
      </c>
      <c r="G25" s="3" t="s">
        <v>305</v>
      </c>
      <c r="H25" s="3"/>
      <c r="J25" s="12"/>
    </row>
    <row r="26" spans="2:11" ht="15" thickBot="1">
      <c r="B26" s="3" t="s">
        <v>466</v>
      </c>
      <c r="C26" s="3" t="s">
        <v>309</v>
      </c>
      <c r="D26" s="41">
        <v>19</v>
      </c>
      <c r="E26" s="41">
        <v>9</v>
      </c>
      <c r="F26" s="3"/>
      <c r="G26" s="3" t="s">
        <v>186</v>
      </c>
      <c r="H26" s="3" t="s">
        <v>252</v>
      </c>
      <c r="J26" s="12"/>
    </row>
    <row r="27" spans="2:11">
      <c r="J27" s="12"/>
    </row>
    <row r="29" spans="2:11">
      <c r="B29" s="4" t="s">
        <v>214</v>
      </c>
      <c r="C29" s="4">
        <v>2040</v>
      </c>
    </row>
    <row r="30" spans="2:11" ht="15" thickBot="1">
      <c r="B30" s="1" t="s">
        <v>215</v>
      </c>
      <c r="C30" s="2" t="s">
        <v>216</v>
      </c>
      <c r="D30" s="1"/>
      <c r="E30" s="2"/>
      <c r="F30" s="1" t="s">
        <v>217</v>
      </c>
      <c r="G30" s="1" t="s">
        <v>147</v>
      </c>
      <c r="H30" s="1" t="s">
        <v>148</v>
      </c>
    </row>
    <row r="31" spans="2:11" ht="15" thickBot="1">
      <c r="B31" s="3" t="s">
        <v>220</v>
      </c>
      <c r="C31" s="30" t="s">
        <v>443</v>
      </c>
      <c r="D31" s="3">
        <v>12</v>
      </c>
      <c r="E31" s="31">
        <v>20</v>
      </c>
      <c r="F31" s="3"/>
      <c r="G31" s="3"/>
      <c r="H31" s="3"/>
    </row>
    <row r="32" spans="2:11" ht="15" thickBot="1">
      <c r="B32" s="3" t="s">
        <v>461</v>
      </c>
      <c r="C32" s="5"/>
      <c r="D32" s="51">
        <v>1.85</v>
      </c>
      <c r="E32" s="71">
        <v>1.85</v>
      </c>
      <c r="F32" s="33">
        <v>0.1</v>
      </c>
      <c r="G32" s="3" t="s">
        <v>305</v>
      </c>
      <c r="H32" s="3" t="s">
        <v>240</v>
      </c>
    </row>
    <row r="33" spans="2:11" ht="15" thickBot="1">
      <c r="B33" s="3" t="s">
        <v>226</v>
      </c>
      <c r="C33" s="5" t="s">
        <v>227</v>
      </c>
      <c r="D33" s="13">
        <v>25</v>
      </c>
      <c r="E33" s="13">
        <v>25</v>
      </c>
      <c r="F33" s="3"/>
      <c r="G33" s="3" t="s">
        <v>305</v>
      </c>
      <c r="H33" s="3" t="s">
        <v>244</v>
      </c>
    </row>
    <row r="34" spans="2:11" ht="15" thickBot="1">
      <c r="B34" s="1" t="s">
        <v>463</v>
      </c>
      <c r="C34" s="2" t="s">
        <v>216</v>
      </c>
      <c r="D34" s="1"/>
      <c r="E34" s="1"/>
      <c r="F34" s="1"/>
      <c r="G34" s="1"/>
      <c r="H34" s="1"/>
    </row>
    <row r="35" spans="2:11" ht="15" thickBot="1">
      <c r="B35" s="3" t="s">
        <v>464</v>
      </c>
      <c r="C35" s="3" t="s">
        <v>231</v>
      </c>
      <c r="D35" s="41">
        <v>704</v>
      </c>
      <c r="E35" s="41">
        <v>352</v>
      </c>
      <c r="F35" s="33">
        <v>0.45</v>
      </c>
      <c r="G35" s="3" t="s">
        <v>305</v>
      </c>
      <c r="H35" s="3" t="s">
        <v>493</v>
      </c>
    </row>
    <row r="36" spans="2:11" ht="15" thickBot="1">
      <c r="B36" s="36" t="s">
        <v>236</v>
      </c>
      <c r="C36" s="3" t="s">
        <v>223</v>
      </c>
      <c r="D36" s="41">
        <v>70</v>
      </c>
      <c r="E36" s="62">
        <v>30</v>
      </c>
      <c r="F36" s="3"/>
      <c r="G36" s="3" t="s">
        <v>305</v>
      </c>
      <c r="H36" s="3"/>
    </row>
    <row r="37" spans="2:11" ht="15" thickBot="1">
      <c r="B37" s="36" t="s">
        <v>237</v>
      </c>
      <c r="C37" s="3" t="s">
        <v>223</v>
      </c>
      <c r="D37" s="41">
        <v>30</v>
      </c>
      <c r="E37" s="62">
        <v>70</v>
      </c>
      <c r="F37" s="3"/>
      <c r="G37" s="3" t="s">
        <v>305</v>
      </c>
      <c r="H37" s="3"/>
    </row>
    <row r="38" spans="2:11" ht="15" thickBot="1">
      <c r="B38" s="30" t="s">
        <v>263</v>
      </c>
      <c r="C38" s="3" t="s">
        <v>428</v>
      </c>
      <c r="D38" s="41">
        <v>8452</v>
      </c>
      <c r="E38" s="41">
        <v>7043</v>
      </c>
      <c r="F38" s="33">
        <v>0.45</v>
      </c>
      <c r="G38" s="3" t="s">
        <v>305</v>
      </c>
      <c r="H38" s="3"/>
    </row>
    <row r="39" spans="2:11" ht="15" thickBot="1">
      <c r="B39" s="3" t="s">
        <v>466</v>
      </c>
      <c r="C39" s="3" t="s">
        <v>309</v>
      </c>
      <c r="D39" s="41">
        <v>18</v>
      </c>
      <c r="E39" s="41">
        <v>9</v>
      </c>
      <c r="F39" s="3"/>
      <c r="G39" s="3" t="s">
        <v>186</v>
      </c>
      <c r="H39" s="3" t="s">
        <v>252</v>
      </c>
      <c r="J39" s="4"/>
      <c r="K39" s="12"/>
    </row>
    <row r="40" spans="2:11">
      <c r="J40" s="12"/>
      <c r="K40" s="12"/>
    </row>
    <row r="41" spans="2:11">
      <c r="J41" s="12"/>
      <c r="K41" s="12"/>
    </row>
    <row r="42" spans="2:11">
      <c r="J42" s="12"/>
    </row>
  </sheetData>
  <sheetProtection algorithmName="SHA-512" hashValue="Hd+G2KMcm9RveKXCdXjKHmHn69RHKN67OO4F+dyVe6ULG8BkFlTiq5QslUlshgQCc8znmX46MN36eg0eOE5WPQ==" saltValue="tDWVFPGMubvZaF52MGYPPg==" spinCount="100000" sheet="1" objects="1" scenarios="1"/>
  <mergeCells count="1">
    <mergeCell ref="F2:J3"/>
  </mergeCells>
  <conditionalFormatting sqref="F22 F10 F35 F7 F19 F32 F13:F14 F25:F26 F38:F39">
    <cfRule type="colorScale" priority="1">
      <colorScale>
        <cfvo type="num" val="0"/>
        <cfvo type="num" val="0.5"/>
        <color theme="0"/>
        <color theme="5"/>
      </colorScale>
    </cfRule>
  </conditionalFormatting>
  <hyperlinks>
    <hyperlink ref="A1" location="Inhalt!A1" display="Zum Inhalt" xr:uid="{FE1BE1B6-83E7-4580-850C-F5523A68DD17}"/>
  </hyperlinks>
  <pageMargins left="0.7" right="0.7" top="0.78740157499999996" bottom="0.78740157499999996" header="0.3" footer="0.3"/>
  <pageSetup paperSize="9" orientation="portrait" verticalDpi="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5CC9-D80E-424A-ADBD-EDA40FD1A84C}">
  <sheetPr codeName="Tabelle32"/>
  <dimension ref="A1:M43"/>
  <sheetViews>
    <sheetView zoomScaleNormal="100" workbookViewId="0"/>
  </sheetViews>
  <sheetFormatPr baseColWidth="10" defaultColWidth="11.44140625" defaultRowHeight="14.4"/>
  <cols>
    <col min="2" max="2" width="38.33203125" bestFit="1" customWidth="1"/>
    <col min="10" max="10" width="12.88671875" customWidth="1"/>
  </cols>
  <sheetData>
    <row r="1" spans="1:13" ht="28.2" thickBot="1">
      <c r="A1" s="99" t="s">
        <v>143</v>
      </c>
    </row>
    <row r="2" spans="1:13">
      <c r="H2" s="142" t="s">
        <v>212</v>
      </c>
      <c r="I2" s="143"/>
      <c r="J2" s="143"/>
      <c r="K2" s="143"/>
      <c r="L2" s="144"/>
    </row>
    <row r="3" spans="1:13" ht="15" thickBot="1">
      <c r="B3" s="4" t="s">
        <v>213</v>
      </c>
      <c r="C3" s="4" t="s">
        <v>124</v>
      </c>
      <c r="H3" s="145"/>
      <c r="I3" s="146"/>
      <c r="J3" s="146"/>
      <c r="K3" s="146"/>
      <c r="L3" s="147"/>
    </row>
    <row r="4" spans="1:13">
      <c r="B4" s="4" t="s">
        <v>214</v>
      </c>
      <c r="C4" s="4">
        <v>2023</v>
      </c>
    </row>
    <row r="5" spans="1:13" ht="15" thickBot="1">
      <c r="B5" s="1" t="s">
        <v>215</v>
      </c>
      <c r="C5" s="2" t="s">
        <v>216</v>
      </c>
      <c r="D5" s="1"/>
      <c r="E5" s="2"/>
      <c r="F5" s="1" t="s">
        <v>217</v>
      </c>
      <c r="G5" s="1" t="s">
        <v>147</v>
      </c>
      <c r="H5" s="1" t="s">
        <v>148</v>
      </c>
      <c r="J5" s="4" t="s">
        <v>218</v>
      </c>
      <c r="K5" s="12" t="s">
        <v>460</v>
      </c>
    </row>
    <row r="6" spans="1:13" ht="15" thickBot="1">
      <c r="B6" s="3" t="s">
        <v>220</v>
      </c>
      <c r="C6" s="30" t="s">
        <v>443</v>
      </c>
      <c r="D6" s="3">
        <v>1</v>
      </c>
      <c r="E6" s="31">
        <v>10</v>
      </c>
      <c r="F6" s="3"/>
      <c r="G6" s="3"/>
      <c r="H6" s="3"/>
      <c r="J6" s="4" t="s">
        <v>214</v>
      </c>
      <c r="K6" s="4">
        <v>2023</v>
      </c>
      <c r="L6" s="4">
        <v>2030</v>
      </c>
      <c r="M6" s="4">
        <v>2040</v>
      </c>
    </row>
    <row r="7" spans="1:13" ht="15" thickBot="1">
      <c r="B7" s="3" t="s">
        <v>461</v>
      </c>
      <c r="C7" s="5"/>
      <c r="D7" s="37">
        <v>2.9</v>
      </c>
      <c r="E7" s="37">
        <v>2.9</v>
      </c>
      <c r="F7" s="33">
        <v>0.1</v>
      </c>
      <c r="G7" s="3" t="s">
        <v>494</v>
      </c>
      <c r="H7" s="3" t="s">
        <v>240</v>
      </c>
      <c r="J7" s="12" t="s">
        <v>225</v>
      </c>
      <c r="K7" s="12">
        <v>1242.5999999999999</v>
      </c>
      <c r="L7" s="12">
        <v>1180.5</v>
      </c>
      <c r="M7" s="12">
        <v>1118.3</v>
      </c>
    </row>
    <row r="8" spans="1:13" ht="15" thickBot="1">
      <c r="B8" s="3" t="s">
        <v>226</v>
      </c>
      <c r="C8" s="5" t="s">
        <v>227</v>
      </c>
      <c r="D8" s="13">
        <v>20</v>
      </c>
      <c r="E8" s="13">
        <v>20</v>
      </c>
      <c r="F8" s="3"/>
      <c r="G8" s="3" t="s">
        <v>395</v>
      </c>
      <c r="H8" s="3" t="s">
        <v>244</v>
      </c>
      <c r="J8" s="12" t="s">
        <v>228</v>
      </c>
      <c r="K8" s="12">
        <v>-0.23699999999999999</v>
      </c>
      <c r="L8" s="12">
        <v>-0.23699999999999999</v>
      </c>
      <c r="M8" s="12">
        <v>-0.23699999999999999</v>
      </c>
    </row>
    <row r="9" spans="1:13" ht="15" thickBot="1">
      <c r="B9" s="1" t="s">
        <v>463</v>
      </c>
      <c r="C9" s="2" t="s">
        <v>216</v>
      </c>
      <c r="D9" s="1"/>
      <c r="E9" s="1"/>
      <c r="F9" s="1"/>
      <c r="G9" s="1"/>
      <c r="H9" s="1"/>
    </row>
    <row r="10" spans="1:13" ht="15" thickBot="1">
      <c r="B10" s="3" t="s">
        <v>464</v>
      </c>
      <c r="C10" s="3" t="s">
        <v>231</v>
      </c>
      <c r="D10" s="41">
        <v>1243</v>
      </c>
      <c r="E10" s="41">
        <v>719</v>
      </c>
      <c r="F10" s="33">
        <v>0.25</v>
      </c>
      <c r="G10" s="3" t="s">
        <v>495</v>
      </c>
      <c r="H10" s="3" t="s">
        <v>243</v>
      </c>
      <c r="J10" s="4" t="s">
        <v>234</v>
      </c>
      <c r="K10" s="12" t="s">
        <v>306</v>
      </c>
    </row>
    <row r="11" spans="1:13" ht="15" thickBot="1">
      <c r="B11" s="36" t="s">
        <v>236</v>
      </c>
      <c r="C11" s="3" t="s">
        <v>223</v>
      </c>
      <c r="D11" s="41">
        <v>65</v>
      </c>
      <c r="E11" s="62">
        <v>65</v>
      </c>
      <c r="F11" s="3"/>
      <c r="G11" s="3" t="s">
        <v>496</v>
      </c>
      <c r="H11" s="3"/>
    </row>
    <row r="12" spans="1:13" ht="15" thickBot="1">
      <c r="B12" s="36" t="s">
        <v>237</v>
      </c>
      <c r="C12" s="3" t="s">
        <v>223</v>
      </c>
      <c r="D12" s="41">
        <v>35</v>
      </c>
      <c r="E12" s="62">
        <v>35</v>
      </c>
      <c r="F12" s="3"/>
      <c r="G12" s="3" t="s">
        <v>496</v>
      </c>
      <c r="H12" s="3"/>
      <c r="J12" s="4" t="s">
        <v>148</v>
      </c>
    </row>
    <row r="13" spans="1:13" ht="15" thickBot="1">
      <c r="B13" s="30" t="s">
        <v>263</v>
      </c>
      <c r="C13" s="3" t="s">
        <v>428</v>
      </c>
      <c r="D13" s="41">
        <v>1243</v>
      </c>
      <c r="E13" s="41">
        <v>7194</v>
      </c>
      <c r="F13" s="33">
        <v>0.25</v>
      </c>
      <c r="G13" s="3"/>
      <c r="H13" s="3"/>
      <c r="J13" s="12" t="s">
        <v>240</v>
      </c>
      <c r="K13" s="12" t="s">
        <v>467</v>
      </c>
    </row>
    <row r="14" spans="1:13" ht="15" thickBot="1">
      <c r="B14" s="3" t="s">
        <v>466</v>
      </c>
      <c r="C14" s="3" t="s">
        <v>309</v>
      </c>
      <c r="D14" s="41">
        <v>31</v>
      </c>
      <c r="E14" s="41">
        <v>18</v>
      </c>
      <c r="F14" s="3"/>
      <c r="G14" s="3" t="s">
        <v>192</v>
      </c>
      <c r="H14" s="3" t="s">
        <v>252</v>
      </c>
      <c r="J14" s="12" t="s">
        <v>244</v>
      </c>
      <c r="K14" s="12" t="s">
        <v>497</v>
      </c>
    </row>
    <row r="15" spans="1:13">
      <c r="J15" s="12" t="s">
        <v>224</v>
      </c>
      <c r="K15" s="12" t="s">
        <v>498</v>
      </c>
    </row>
    <row r="16" spans="1:13">
      <c r="B16" s="4" t="s">
        <v>214</v>
      </c>
      <c r="C16" s="4">
        <v>2030</v>
      </c>
      <c r="J16" s="12" t="s">
        <v>250</v>
      </c>
      <c r="K16" s="12" t="s">
        <v>499</v>
      </c>
    </row>
    <row r="17" spans="2:11" ht="15" thickBot="1">
      <c r="B17" s="1" t="s">
        <v>215</v>
      </c>
      <c r="C17" s="2" t="s">
        <v>216</v>
      </c>
      <c r="D17" s="1"/>
      <c r="E17" s="2"/>
      <c r="F17" s="1" t="s">
        <v>217</v>
      </c>
      <c r="G17" s="1" t="s">
        <v>147</v>
      </c>
      <c r="H17" s="1" t="s">
        <v>148</v>
      </c>
      <c r="J17" s="12" t="s">
        <v>252</v>
      </c>
      <c r="K17" s="12" t="s">
        <v>500</v>
      </c>
    </row>
    <row r="18" spans="2:11" ht="15" thickBot="1">
      <c r="B18" s="3" t="s">
        <v>220</v>
      </c>
      <c r="C18" s="30" t="s">
        <v>443</v>
      </c>
      <c r="D18" s="3">
        <v>1</v>
      </c>
      <c r="E18" s="31">
        <v>10</v>
      </c>
      <c r="F18" s="3"/>
      <c r="G18" s="3"/>
      <c r="H18" s="3"/>
      <c r="J18" s="12" t="s">
        <v>249</v>
      </c>
      <c r="K18" s="12" t="s">
        <v>473</v>
      </c>
    </row>
    <row r="19" spans="2:11" ht="15" thickBot="1">
      <c r="B19" s="3" t="s">
        <v>461</v>
      </c>
      <c r="C19" s="5"/>
      <c r="D19" s="37">
        <v>3</v>
      </c>
      <c r="E19" s="37">
        <v>3</v>
      </c>
      <c r="F19" s="33">
        <v>0.1</v>
      </c>
      <c r="G19" s="3" t="s">
        <v>494</v>
      </c>
      <c r="H19" s="3" t="s">
        <v>240</v>
      </c>
      <c r="J19" s="12" t="s">
        <v>243</v>
      </c>
      <c r="K19" s="12" t="s">
        <v>483</v>
      </c>
    </row>
    <row r="20" spans="2:11" ht="15" thickBot="1">
      <c r="B20" s="3" t="s">
        <v>226</v>
      </c>
      <c r="C20" s="5" t="s">
        <v>227</v>
      </c>
      <c r="D20" s="13">
        <v>20</v>
      </c>
      <c r="E20" s="13">
        <v>20</v>
      </c>
      <c r="F20" s="3"/>
      <c r="G20" s="3" t="s">
        <v>395</v>
      </c>
      <c r="H20" s="3" t="s">
        <v>244</v>
      </c>
    </row>
    <row r="21" spans="2:11" ht="15" thickBot="1">
      <c r="B21" s="1" t="s">
        <v>463</v>
      </c>
      <c r="C21" s="2" t="s">
        <v>216</v>
      </c>
      <c r="D21" s="1"/>
      <c r="E21" s="1"/>
      <c r="F21" s="1"/>
      <c r="G21" s="1"/>
      <c r="H21" s="1"/>
      <c r="J21" s="4" t="s">
        <v>147</v>
      </c>
    </row>
    <row r="22" spans="2:11" ht="15" thickBot="1">
      <c r="B22" s="3" t="s">
        <v>464</v>
      </c>
      <c r="C22" s="3" t="s">
        <v>231</v>
      </c>
      <c r="D22" s="41">
        <v>1180</v>
      </c>
      <c r="E22" s="41">
        <v>683</v>
      </c>
      <c r="F22" s="33">
        <v>0.35</v>
      </c>
      <c r="G22" s="3" t="s">
        <v>495</v>
      </c>
      <c r="H22" s="3" t="s">
        <v>501</v>
      </c>
      <c r="J22" s="12" t="s">
        <v>151</v>
      </c>
      <c r="K22" s="12" t="s">
        <v>185</v>
      </c>
    </row>
    <row r="23" spans="2:11" ht="27.75" customHeight="1" thickBot="1">
      <c r="B23" s="36" t="s">
        <v>236</v>
      </c>
      <c r="C23" s="3" t="s">
        <v>223</v>
      </c>
      <c r="D23" s="41">
        <v>65</v>
      </c>
      <c r="E23" s="62">
        <v>65</v>
      </c>
      <c r="F23" s="3"/>
      <c r="G23" s="3" t="s">
        <v>496</v>
      </c>
      <c r="H23" s="3"/>
      <c r="J23" s="12" t="s">
        <v>184</v>
      </c>
      <c r="K23" s="12" t="s">
        <v>502</v>
      </c>
    </row>
    <row r="24" spans="2:11" ht="15" thickBot="1">
      <c r="B24" s="36" t="s">
        <v>237</v>
      </c>
      <c r="C24" s="3" t="s">
        <v>223</v>
      </c>
      <c r="D24" s="41">
        <v>35</v>
      </c>
      <c r="E24" s="62">
        <v>35</v>
      </c>
      <c r="F24" s="3"/>
      <c r="G24" s="3" t="s">
        <v>496</v>
      </c>
      <c r="H24" s="3"/>
      <c r="J24" s="12" t="s">
        <v>186</v>
      </c>
      <c r="K24" s="12" t="s">
        <v>503</v>
      </c>
    </row>
    <row r="25" spans="2:11" ht="15" thickBot="1">
      <c r="B25" s="30" t="s">
        <v>263</v>
      </c>
      <c r="C25" s="3" t="s">
        <v>428</v>
      </c>
      <c r="D25" s="41">
        <v>1180</v>
      </c>
      <c r="E25" s="41">
        <v>6834</v>
      </c>
      <c r="F25" s="33">
        <v>0.35</v>
      </c>
      <c r="G25" s="3"/>
      <c r="H25" s="3"/>
      <c r="J25" s="12" t="s">
        <v>188</v>
      </c>
      <c r="K25" s="12" t="s">
        <v>504</v>
      </c>
    </row>
    <row r="26" spans="2:11" ht="15" thickBot="1">
      <c r="B26" s="3" t="s">
        <v>466</v>
      </c>
      <c r="C26" s="3" t="s">
        <v>309</v>
      </c>
      <c r="D26" s="41">
        <v>30</v>
      </c>
      <c r="E26" s="41">
        <v>17</v>
      </c>
      <c r="F26" s="3"/>
      <c r="G26" s="3" t="s">
        <v>192</v>
      </c>
      <c r="H26" s="3" t="s">
        <v>252</v>
      </c>
      <c r="J26" s="12" t="s">
        <v>192</v>
      </c>
      <c r="K26" s="12" t="s">
        <v>474</v>
      </c>
    </row>
    <row r="27" spans="2:11">
      <c r="J27" s="12" t="s">
        <v>172</v>
      </c>
      <c r="K27" s="12" t="s">
        <v>505</v>
      </c>
    </row>
    <row r="28" spans="2:11">
      <c r="J28" s="12" t="s">
        <v>179</v>
      </c>
      <c r="K28" s="12" t="s">
        <v>506</v>
      </c>
    </row>
    <row r="29" spans="2:11">
      <c r="B29" s="4" t="s">
        <v>214</v>
      </c>
      <c r="C29" s="4">
        <v>2040</v>
      </c>
      <c r="J29" s="12" t="s">
        <v>196</v>
      </c>
      <c r="K29" s="12" t="s">
        <v>507</v>
      </c>
    </row>
    <row r="30" spans="2:11" ht="15" thickBot="1">
      <c r="B30" s="1" t="s">
        <v>215</v>
      </c>
      <c r="C30" s="2" t="s">
        <v>216</v>
      </c>
      <c r="D30" s="1"/>
      <c r="E30" s="2"/>
      <c r="F30" s="1" t="s">
        <v>217</v>
      </c>
      <c r="G30" s="1" t="s">
        <v>147</v>
      </c>
      <c r="H30" s="1" t="s">
        <v>148</v>
      </c>
      <c r="J30" s="12" t="s">
        <v>198</v>
      </c>
      <c r="K30" s="12" t="s">
        <v>508</v>
      </c>
    </row>
    <row r="31" spans="2:11" ht="15" thickBot="1">
      <c r="B31" s="3" t="s">
        <v>220</v>
      </c>
      <c r="C31" s="30" t="s">
        <v>443</v>
      </c>
      <c r="D31" s="3">
        <v>1</v>
      </c>
      <c r="E31" s="31">
        <v>10</v>
      </c>
      <c r="F31" s="3"/>
      <c r="G31" s="3"/>
      <c r="H31" s="3"/>
      <c r="J31" s="12" t="s">
        <v>200</v>
      </c>
      <c r="K31" s="12" t="s">
        <v>475</v>
      </c>
    </row>
    <row r="32" spans="2:11" ht="15" thickBot="1">
      <c r="B32" s="3" t="s">
        <v>461</v>
      </c>
      <c r="C32" s="5"/>
      <c r="D32" s="37">
        <v>3.2</v>
      </c>
      <c r="E32" s="37">
        <v>3.2</v>
      </c>
      <c r="F32" s="33">
        <v>0.1</v>
      </c>
      <c r="G32" s="3" t="s">
        <v>494</v>
      </c>
      <c r="H32" s="3" t="s">
        <v>240</v>
      </c>
      <c r="J32" s="12" t="s">
        <v>364</v>
      </c>
      <c r="K32" s="12" t="s">
        <v>477</v>
      </c>
    </row>
    <row r="33" spans="2:11" ht="15" thickBot="1">
      <c r="B33" s="3" t="s">
        <v>226</v>
      </c>
      <c r="C33" s="5" t="s">
        <v>227</v>
      </c>
      <c r="D33" s="13">
        <v>20</v>
      </c>
      <c r="E33" s="13">
        <v>20</v>
      </c>
      <c r="F33" s="3"/>
      <c r="G33" s="3" t="s">
        <v>395</v>
      </c>
      <c r="H33" s="3" t="s">
        <v>244</v>
      </c>
    </row>
    <row r="34" spans="2:11" ht="15" thickBot="1">
      <c r="B34" s="1" t="s">
        <v>463</v>
      </c>
      <c r="C34" s="2" t="s">
        <v>216</v>
      </c>
      <c r="D34" s="1"/>
      <c r="E34" s="1"/>
      <c r="F34" s="1"/>
      <c r="G34" s="1"/>
      <c r="H34" s="1"/>
    </row>
    <row r="35" spans="2:11" ht="15" thickBot="1">
      <c r="B35" s="3" t="s">
        <v>464</v>
      </c>
      <c r="C35" s="3" t="s">
        <v>231</v>
      </c>
      <c r="D35" s="41">
        <v>1118</v>
      </c>
      <c r="E35" s="41">
        <v>647</v>
      </c>
      <c r="F35" s="33">
        <v>0.45</v>
      </c>
      <c r="G35" s="3" t="s">
        <v>495</v>
      </c>
      <c r="H35" s="3" t="s">
        <v>501</v>
      </c>
    </row>
    <row r="36" spans="2:11" ht="15" thickBot="1">
      <c r="B36" s="36" t="s">
        <v>236</v>
      </c>
      <c r="C36" s="3" t="s">
        <v>223</v>
      </c>
      <c r="D36" s="41">
        <v>65</v>
      </c>
      <c r="E36" s="62">
        <v>65</v>
      </c>
      <c r="F36" s="3"/>
      <c r="G36" s="3" t="s">
        <v>496</v>
      </c>
      <c r="H36" s="3"/>
    </row>
    <row r="37" spans="2:11" ht="25.5" customHeight="1" thickBot="1">
      <c r="B37" s="36" t="s">
        <v>237</v>
      </c>
      <c r="C37" s="3" t="s">
        <v>223</v>
      </c>
      <c r="D37" s="41">
        <v>35</v>
      </c>
      <c r="E37" s="62">
        <v>35</v>
      </c>
      <c r="F37" s="3"/>
      <c r="G37" s="3" t="s">
        <v>496</v>
      </c>
      <c r="H37" s="3"/>
    </row>
    <row r="38" spans="2:11" ht="15" thickBot="1">
      <c r="B38" s="30" t="s">
        <v>263</v>
      </c>
      <c r="C38" s="3" t="s">
        <v>428</v>
      </c>
      <c r="D38" s="41">
        <v>1118</v>
      </c>
      <c r="E38" s="41">
        <v>6475</v>
      </c>
      <c r="F38" s="33">
        <v>0.45</v>
      </c>
      <c r="G38" s="3"/>
      <c r="H38" s="3"/>
    </row>
    <row r="39" spans="2:11" ht="15" thickBot="1">
      <c r="B39" s="3" t="s">
        <v>466</v>
      </c>
      <c r="C39" s="3" t="s">
        <v>309</v>
      </c>
      <c r="D39" s="41">
        <v>28</v>
      </c>
      <c r="E39" s="41">
        <v>16</v>
      </c>
      <c r="F39" s="3"/>
      <c r="G39" s="3" t="s">
        <v>192</v>
      </c>
      <c r="H39" s="3" t="s">
        <v>252</v>
      </c>
    </row>
    <row r="40" spans="2:11">
      <c r="J40" s="4"/>
      <c r="K40" s="12"/>
    </row>
    <row r="41" spans="2:11">
      <c r="J41" s="12"/>
      <c r="K41" s="12"/>
    </row>
    <row r="42" spans="2:11">
      <c r="J42" s="12"/>
      <c r="K42" s="12"/>
    </row>
    <row r="43" spans="2:11">
      <c r="J43" s="12"/>
    </row>
  </sheetData>
  <sheetProtection algorithmName="SHA-512" hashValue="ZfKRKGsEVdsROXU+r48bsV9cCGIPrrLI4OjqtlJ+Q4cqXxSkRsV0q6E25Rgtoa/2BYmKWZwCBwqwYFUl0UNlVg==" saltValue="6Ism8rL4FlWcuaq1Bha2Ag==" spinCount="100000" sheet="1" objects="1" scenarios="1"/>
  <mergeCells count="1">
    <mergeCell ref="H2:L3"/>
  </mergeCells>
  <conditionalFormatting sqref="F22 F10 F35 F7 F19 F32 F25:F26 F38:F39 F13:F14">
    <cfRule type="colorScale" priority="1">
      <colorScale>
        <cfvo type="num" val="0"/>
        <cfvo type="num" val="0.5"/>
        <color theme="0"/>
        <color theme="5"/>
      </colorScale>
    </cfRule>
  </conditionalFormatting>
  <hyperlinks>
    <hyperlink ref="A1" location="Inhalt!A1" display="Zum Inhalt" xr:uid="{0653D590-FA46-4062-B226-0707F54D8A2F}"/>
  </hyperlinks>
  <pageMargins left="0.7" right="0.7" top="0.78740157499999996" bottom="0.78740157499999996" header="0.3" footer="0.3"/>
  <pageSetup paperSize="9" orientation="portrait" verticalDpi="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24FE-77F9-4470-B072-30D27DCCC835}">
  <sheetPr codeName="Tabelle33"/>
  <dimension ref="A1:V46"/>
  <sheetViews>
    <sheetView zoomScaleNormal="100" workbookViewId="0"/>
  </sheetViews>
  <sheetFormatPr baseColWidth="10" defaultColWidth="10.6640625" defaultRowHeight="14.4"/>
  <cols>
    <col min="2" max="2" width="31.6640625" bestFit="1" customWidth="1"/>
    <col min="10" max="10" width="12.6640625" customWidth="1"/>
  </cols>
  <sheetData>
    <row r="1" spans="1:22" ht="28.2" thickBot="1">
      <c r="A1" s="99" t="s">
        <v>143</v>
      </c>
    </row>
    <row r="2" spans="1:22">
      <c r="G2" s="142" t="s">
        <v>212</v>
      </c>
      <c r="H2" s="143"/>
      <c r="I2" s="143"/>
      <c r="J2" s="143"/>
      <c r="K2" s="144"/>
    </row>
    <row r="3" spans="1:22" ht="21.75" customHeight="1" thickBot="1">
      <c r="B3" s="4" t="s">
        <v>213</v>
      </c>
      <c r="C3" s="4" t="s">
        <v>126</v>
      </c>
      <c r="G3" s="145"/>
      <c r="H3" s="146"/>
      <c r="I3" s="146"/>
      <c r="J3" s="146"/>
      <c r="K3" s="147"/>
    </row>
    <row r="4" spans="1:22">
      <c r="B4" s="4" t="s">
        <v>214</v>
      </c>
      <c r="C4" s="4">
        <v>2023</v>
      </c>
    </row>
    <row r="5" spans="1:22" ht="15" thickBot="1">
      <c r="B5" s="1" t="s">
        <v>215</v>
      </c>
      <c r="C5" s="2" t="s">
        <v>216</v>
      </c>
      <c r="D5" s="1"/>
      <c r="E5" s="2"/>
      <c r="F5" s="1" t="s">
        <v>217</v>
      </c>
      <c r="G5" s="1" t="s">
        <v>147</v>
      </c>
      <c r="H5" s="1" t="s">
        <v>148</v>
      </c>
      <c r="J5" s="4" t="s">
        <v>218</v>
      </c>
      <c r="K5" s="12" t="s">
        <v>509</v>
      </c>
    </row>
    <row r="6" spans="1:22" ht="15" thickBot="1">
      <c r="B6" s="3" t="s">
        <v>220</v>
      </c>
      <c r="C6" s="3" t="s">
        <v>443</v>
      </c>
      <c r="D6" s="3">
        <v>0.3</v>
      </c>
      <c r="E6" s="31">
        <v>1.5</v>
      </c>
      <c r="F6" s="3"/>
      <c r="G6" s="3"/>
      <c r="H6" s="3"/>
    </row>
    <row r="7" spans="1:22" ht="15" thickBot="1">
      <c r="B7" s="3" t="s">
        <v>510</v>
      </c>
      <c r="C7" s="72"/>
      <c r="D7" s="51">
        <v>2.77</v>
      </c>
      <c r="E7" s="71">
        <v>2.77</v>
      </c>
      <c r="F7" s="33">
        <v>0.1</v>
      </c>
      <c r="G7" s="3" t="s">
        <v>448</v>
      </c>
      <c r="H7" s="3" t="s">
        <v>240</v>
      </c>
      <c r="J7" s="4" t="s">
        <v>234</v>
      </c>
      <c r="K7" s="12" t="s">
        <v>306</v>
      </c>
    </row>
    <row r="8" spans="1:22" ht="15" thickBot="1">
      <c r="B8" s="3" t="s">
        <v>461</v>
      </c>
      <c r="C8" s="5"/>
      <c r="D8" s="51">
        <v>2.72</v>
      </c>
      <c r="E8" s="71">
        <v>2.72</v>
      </c>
      <c r="F8" s="33">
        <v>0.1</v>
      </c>
      <c r="G8" s="3" t="s">
        <v>448</v>
      </c>
      <c r="H8" s="3" t="s">
        <v>244</v>
      </c>
    </row>
    <row r="9" spans="1:22" ht="15" thickBot="1">
      <c r="B9" s="3" t="s">
        <v>226</v>
      </c>
      <c r="C9" s="5" t="s">
        <v>227</v>
      </c>
      <c r="D9" s="13">
        <v>23</v>
      </c>
      <c r="E9" s="26">
        <v>23</v>
      </c>
      <c r="F9" s="33">
        <v>0.3</v>
      </c>
      <c r="G9" s="3" t="s">
        <v>151</v>
      </c>
      <c r="H9" s="3" t="s">
        <v>250</v>
      </c>
      <c r="J9" s="4" t="s">
        <v>148</v>
      </c>
      <c r="V9" s="44"/>
    </row>
    <row r="10" spans="1:22" ht="15" thickBot="1">
      <c r="B10" s="1" t="s">
        <v>511</v>
      </c>
      <c r="C10" s="2" t="s">
        <v>216</v>
      </c>
      <c r="D10" s="1"/>
      <c r="E10" s="1"/>
      <c r="F10" s="1"/>
      <c r="G10" s="1"/>
      <c r="H10" s="1"/>
      <c r="J10" s="12" t="s">
        <v>240</v>
      </c>
      <c r="K10" s="12" t="s">
        <v>512</v>
      </c>
      <c r="V10" s="44"/>
    </row>
    <row r="11" spans="1:22" ht="15" thickBot="1">
      <c r="B11" s="3" t="s">
        <v>230</v>
      </c>
      <c r="C11" s="3" t="s">
        <v>231</v>
      </c>
      <c r="D11" s="13">
        <v>852</v>
      </c>
      <c r="E11" s="13">
        <v>852</v>
      </c>
      <c r="F11" s="33">
        <v>0.25</v>
      </c>
      <c r="G11" s="3" t="s">
        <v>305</v>
      </c>
      <c r="H11" s="3" t="s">
        <v>252</v>
      </c>
      <c r="J11" s="12" t="s">
        <v>244</v>
      </c>
      <c r="K11" s="12" t="s">
        <v>513</v>
      </c>
    </row>
    <row r="12" spans="1:22" ht="15" thickBot="1">
      <c r="B12" s="36" t="s">
        <v>236</v>
      </c>
      <c r="C12" s="3" t="s">
        <v>223</v>
      </c>
      <c r="D12" s="3">
        <v>40</v>
      </c>
      <c r="E12" s="3">
        <v>40</v>
      </c>
      <c r="F12" s="3"/>
      <c r="G12" s="3" t="s">
        <v>305</v>
      </c>
      <c r="H12" s="3"/>
      <c r="J12" s="12" t="s">
        <v>224</v>
      </c>
      <c r="K12" s="12" t="s">
        <v>514</v>
      </c>
    </row>
    <row r="13" spans="1:22" ht="15" thickBot="1">
      <c r="B13" s="36" t="s">
        <v>237</v>
      </c>
      <c r="C13" s="3" t="s">
        <v>223</v>
      </c>
      <c r="D13" s="3">
        <v>60</v>
      </c>
      <c r="E13" s="3">
        <v>60</v>
      </c>
      <c r="F13" s="3"/>
      <c r="G13" s="3" t="s">
        <v>305</v>
      </c>
      <c r="H13" s="3"/>
      <c r="J13" s="12" t="s">
        <v>250</v>
      </c>
      <c r="K13" s="12" t="s">
        <v>515</v>
      </c>
    </row>
    <row r="14" spans="1:22" ht="15" thickBot="1">
      <c r="B14" s="30" t="s">
        <v>263</v>
      </c>
      <c r="C14" s="3" t="s">
        <v>428</v>
      </c>
      <c r="D14" s="41">
        <v>256</v>
      </c>
      <c r="E14" s="41">
        <v>1279</v>
      </c>
      <c r="F14" s="33">
        <v>0.25</v>
      </c>
      <c r="G14" s="3"/>
      <c r="H14" s="3"/>
      <c r="J14" s="12" t="s">
        <v>252</v>
      </c>
      <c r="K14" s="12" t="s">
        <v>516</v>
      </c>
    </row>
    <row r="15" spans="1:22" ht="15" thickBot="1">
      <c r="B15" s="3" t="s">
        <v>242</v>
      </c>
      <c r="C15" s="3" t="s">
        <v>517</v>
      </c>
      <c r="D15" s="13">
        <v>949</v>
      </c>
      <c r="E15" s="13">
        <v>949</v>
      </c>
      <c r="F15" s="3"/>
      <c r="G15" s="3" t="s">
        <v>290</v>
      </c>
      <c r="H15" s="3"/>
    </row>
    <row r="16" spans="1:22" ht="15" thickBot="1">
      <c r="B16" s="3" t="s">
        <v>453</v>
      </c>
      <c r="C16" s="3" t="s">
        <v>458</v>
      </c>
      <c r="D16" s="13">
        <v>3</v>
      </c>
      <c r="E16" s="13">
        <v>3</v>
      </c>
      <c r="F16" s="3"/>
      <c r="G16" s="3" t="s">
        <v>290</v>
      </c>
      <c r="H16" s="3"/>
      <c r="J16" s="4" t="s">
        <v>147</v>
      </c>
    </row>
    <row r="17" spans="2:11">
      <c r="J17" s="12" t="s">
        <v>151</v>
      </c>
      <c r="K17" s="12" t="s">
        <v>185</v>
      </c>
    </row>
    <row r="18" spans="2:11">
      <c r="J18" s="12" t="s">
        <v>184</v>
      </c>
      <c r="K18" s="12" t="s">
        <v>454</v>
      </c>
    </row>
    <row r="19" spans="2:11">
      <c r="B19" s="4" t="s">
        <v>214</v>
      </c>
      <c r="C19" s="4">
        <v>2030</v>
      </c>
      <c r="J19" s="12" t="s">
        <v>186</v>
      </c>
      <c r="K19" s="12" t="s">
        <v>413</v>
      </c>
    </row>
    <row r="20" spans="2:11" ht="15" thickBot="1">
      <c r="B20" s="1" t="s">
        <v>215</v>
      </c>
      <c r="C20" s="2" t="s">
        <v>216</v>
      </c>
      <c r="D20" s="1"/>
      <c r="E20" s="2"/>
      <c r="F20" s="1" t="s">
        <v>217</v>
      </c>
      <c r="G20" s="1" t="s">
        <v>147</v>
      </c>
      <c r="H20" s="1" t="s">
        <v>148</v>
      </c>
      <c r="J20" s="12" t="s">
        <v>188</v>
      </c>
      <c r="K20" s="12" t="s">
        <v>518</v>
      </c>
    </row>
    <row r="21" spans="2:11" ht="15" thickBot="1">
      <c r="B21" s="3" t="s">
        <v>220</v>
      </c>
      <c r="C21" s="3" t="s">
        <v>443</v>
      </c>
      <c r="D21" s="3">
        <v>0.3</v>
      </c>
      <c r="E21" s="31">
        <v>1.5</v>
      </c>
      <c r="F21" s="3"/>
      <c r="G21" s="3"/>
      <c r="H21" s="3"/>
      <c r="J21" s="12"/>
    </row>
    <row r="22" spans="2:11" ht="15" thickBot="1">
      <c r="B22" s="3" t="s">
        <v>510</v>
      </c>
      <c r="C22" s="72"/>
      <c r="D22" s="51">
        <v>2.81</v>
      </c>
      <c r="E22" s="71">
        <v>2.81</v>
      </c>
      <c r="F22" s="33">
        <v>0.1</v>
      </c>
      <c r="G22" s="3" t="s">
        <v>448</v>
      </c>
      <c r="H22" s="3" t="s">
        <v>240</v>
      </c>
      <c r="J22" s="12"/>
    </row>
    <row r="23" spans="2:11" ht="15" thickBot="1">
      <c r="B23" s="3" t="s">
        <v>461</v>
      </c>
      <c r="C23" s="5"/>
      <c r="D23" s="51">
        <v>2.76</v>
      </c>
      <c r="E23" s="71">
        <v>2.76</v>
      </c>
      <c r="F23" s="33">
        <v>0.1</v>
      </c>
      <c r="G23" s="3" t="s">
        <v>448</v>
      </c>
      <c r="H23" s="3" t="s">
        <v>244</v>
      </c>
      <c r="J23" s="12"/>
    </row>
    <row r="24" spans="2:11" ht="15" thickBot="1">
      <c r="B24" s="3" t="s">
        <v>226</v>
      </c>
      <c r="C24" s="5" t="s">
        <v>227</v>
      </c>
      <c r="D24" s="13">
        <v>23</v>
      </c>
      <c r="E24" s="26">
        <v>23</v>
      </c>
      <c r="F24" s="33">
        <v>0.3</v>
      </c>
      <c r="G24" s="3"/>
      <c r="H24" s="3" t="s">
        <v>250</v>
      </c>
      <c r="J24" s="12"/>
    </row>
    <row r="25" spans="2:11" ht="15" thickBot="1">
      <c r="B25" s="1" t="s">
        <v>511</v>
      </c>
      <c r="C25" s="2" t="s">
        <v>216</v>
      </c>
      <c r="D25" s="1"/>
      <c r="E25" s="1"/>
      <c r="F25" s="1"/>
      <c r="G25" s="1"/>
      <c r="H25" s="1"/>
    </row>
    <row r="26" spans="2:11" ht="15" thickBot="1">
      <c r="B26" s="3" t="s">
        <v>230</v>
      </c>
      <c r="C26" s="3" t="s">
        <v>231</v>
      </c>
      <c r="D26" s="13">
        <v>762</v>
      </c>
      <c r="E26" s="13">
        <v>762</v>
      </c>
      <c r="F26" s="33">
        <v>0.35</v>
      </c>
      <c r="G26" s="3" t="s">
        <v>290</v>
      </c>
      <c r="H26" s="3" t="s">
        <v>519</v>
      </c>
    </row>
    <row r="27" spans="2:11" ht="15" thickBot="1">
      <c r="B27" s="36" t="s">
        <v>236</v>
      </c>
      <c r="C27" s="3" t="s">
        <v>223</v>
      </c>
      <c r="D27" s="3">
        <v>40</v>
      </c>
      <c r="E27" s="3">
        <v>40</v>
      </c>
      <c r="F27" s="3"/>
      <c r="G27" s="3" t="s">
        <v>305</v>
      </c>
      <c r="H27" s="3"/>
    </row>
    <row r="28" spans="2:11" ht="15" thickBot="1">
      <c r="B28" s="36" t="s">
        <v>237</v>
      </c>
      <c r="C28" s="3" t="s">
        <v>223</v>
      </c>
      <c r="D28" s="3">
        <v>60</v>
      </c>
      <c r="E28" s="3">
        <v>60</v>
      </c>
      <c r="F28" s="3"/>
      <c r="G28" s="3" t="s">
        <v>305</v>
      </c>
      <c r="H28" s="3"/>
    </row>
    <row r="29" spans="2:11" ht="15" thickBot="1">
      <c r="B29" s="30" t="s">
        <v>263</v>
      </c>
      <c r="C29" s="3" t="s">
        <v>428</v>
      </c>
      <c r="D29" s="41">
        <v>229</v>
      </c>
      <c r="E29" s="41">
        <v>1143</v>
      </c>
      <c r="F29" s="33">
        <v>0.35</v>
      </c>
      <c r="G29" s="3"/>
      <c r="H29" s="3"/>
    </row>
    <row r="30" spans="2:11" ht="15" thickBot="1">
      <c r="B30" s="3" t="s">
        <v>242</v>
      </c>
      <c r="C30" s="3" t="s">
        <v>517</v>
      </c>
      <c r="D30" s="13">
        <v>851</v>
      </c>
      <c r="E30" s="13">
        <v>851</v>
      </c>
      <c r="F30" s="3"/>
      <c r="G30" s="3" t="s">
        <v>290</v>
      </c>
      <c r="H30" s="3"/>
    </row>
    <row r="31" spans="2:11" ht="15" thickBot="1">
      <c r="B31" s="3" t="s">
        <v>453</v>
      </c>
      <c r="C31" s="3" t="s">
        <v>458</v>
      </c>
      <c r="D31" s="13">
        <v>3</v>
      </c>
      <c r="E31" s="13">
        <v>3</v>
      </c>
      <c r="F31" s="3"/>
      <c r="G31" s="3" t="s">
        <v>290</v>
      </c>
      <c r="H31" s="3"/>
    </row>
    <row r="32" spans="2:11">
      <c r="J32" s="4"/>
      <c r="K32" s="12"/>
    </row>
    <row r="33" spans="2:10">
      <c r="J33" s="12"/>
    </row>
    <row r="34" spans="2:10">
      <c r="B34" s="4" t="s">
        <v>214</v>
      </c>
      <c r="C34" s="4">
        <v>2040</v>
      </c>
      <c r="J34" s="12"/>
    </row>
    <row r="35" spans="2:10" ht="15" thickBot="1">
      <c r="B35" s="1" t="s">
        <v>215</v>
      </c>
      <c r="C35" s="2" t="s">
        <v>216</v>
      </c>
      <c r="D35" s="1"/>
      <c r="E35" s="2"/>
      <c r="F35" s="1" t="s">
        <v>217</v>
      </c>
      <c r="G35" s="1" t="s">
        <v>147</v>
      </c>
      <c r="H35" s="1" t="s">
        <v>148</v>
      </c>
    </row>
    <row r="36" spans="2:10" ht="15" thickBot="1">
      <c r="B36" s="3" t="s">
        <v>220</v>
      </c>
      <c r="C36" s="3" t="s">
        <v>443</v>
      </c>
      <c r="D36" s="3">
        <v>0.3</v>
      </c>
      <c r="E36" s="31">
        <v>1.5</v>
      </c>
      <c r="F36" s="3"/>
      <c r="G36" s="3"/>
      <c r="H36" s="3"/>
    </row>
    <row r="37" spans="2:10" ht="15" thickBot="1">
      <c r="B37" s="3" t="s">
        <v>510</v>
      </c>
      <c r="C37" s="72"/>
      <c r="D37" s="51">
        <v>2.9</v>
      </c>
      <c r="E37" s="71">
        <v>2.9</v>
      </c>
      <c r="F37" s="33">
        <v>0.1</v>
      </c>
      <c r="G37" s="3"/>
      <c r="H37" s="3" t="s">
        <v>240</v>
      </c>
    </row>
    <row r="38" spans="2:10" ht="15" thickBot="1">
      <c r="B38" s="3" t="s">
        <v>461</v>
      </c>
      <c r="C38" s="5"/>
      <c r="D38" s="51">
        <v>2.85</v>
      </c>
      <c r="E38" s="71">
        <v>2.85</v>
      </c>
      <c r="F38" s="33">
        <v>0.1</v>
      </c>
      <c r="G38" s="3"/>
      <c r="H38" s="3" t="s">
        <v>244</v>
      </c>
    </row>
    <row r="39" spans="2:10" ht="15" thickBot="1">
      <c r="B39" s="3" t="s">
        <v>226</v>
      </c>
      <c r="C39" s="5" t="s">
        <v>227</v>
      </c>
      <c r="D39" s="13">
        <v>23</v>
      </c>
      <c r="E39" s="26">
        <v>23</v>
      </c>
      <c r="F39" s="33">
        <v>0.3</v>
      </c>
      <c r="G39" s="3"/>
      <c r="H39" s="3" t="s">
        <v>250</v>
      </c>
    </row>
    <row r="40" spans="2:10" ht="15" thickBot="1">
      <c r="B40" s="1" t="s">
        <v>511</v>
      </c>
      <c r="C40" s="2" t="s">
        <v>216</v>
      </c>
      <c r="D40" s="1"/>
      <c r="E40" s="1"/>
      <c r="F40" s="1"/>
      <c r="G40" s="1"/>
      <c r="H40" s="1"/>
    </row>
    <row r="41" spans="2:10" ht="15" thickBot="1">
      <c r="B41" s="3" t="s">
        <v>230</v>
      </c>
      <c r="C41" s="3" t="s">
        <v>231</v>
      </c>
      <c r="D41" s="13">
        <v>685</v>
      </c>
      <c r="E41" s="13">
        <v>685</v>
      </c>
      <c r="F41" s="33">
        <v>0.45</v>
      </c>
      <c r="G41" s="3" t="s">
        <v>290</v>
      </c>
      <c r="H41" s="3" t="s">
        <v>519</v>
      </c>
    </row>
    <row r="42" spans="2:10" ht="15" thickBot="1">
      <c r="B42" s="36" t="s">
        <v>236</v>
      </c>
      <c r="C42" s="3" t="s">
        <v>223</v>
      </c>
      <c r="D42" s="3">
        <v>40</v>
      </c>
      <c r="E42" s="3">
        <v>40</v>
      </c>
      <c r="F42" s="3"/>
      <c r="G42" s="3" t="s">
        <v>305</v>
      </c>
      <c r="H42" s="3"/>
    </row>
    <row r="43" spans="2:10" ht="15" thickBot="1">
      <c r="B43" s="36" t="s">
        <v>237</v>
      </c>
      <c r="C43" s="3" t="s">
        <v>223</v>
      </c>
      <c r="D43" s="3">
        <v>60</v>
      </c>
      <c r="E43" s="3">
        <v>60</v>
      </c>
      <c r="F43" s="3"/>
      <c r="G43" s="3" t="s">
        <v>305</v>
      </c>
      <c r="H43" s="3"/>
    </row>
    <row r="44" spans="2:10" ht="15" thickBot="1">
      <c r="B44" s="30" t="s">
        <v>263</v>
      </c>
      <c r="C44" s="3" t="s">
        <v>428</v>
      </c>
      <c r="D44" s="41">
        <v>205</v>
      </c>
      <c r="E44" s="41">
        <v>1027</v>
      </c>
      <c r="F44" s="33">
        <v>0.45</v>
      </c>
      <c r="G44" s="3"/>
      <c r="H44" s="3"/>
    </row>
    <row r="45" spans="2:10" ht="15" thickBot="1">
      <c r="B45" s="3" t="s">
        <v>242</v>
      </c>
      <c r="C45" s="3" t="s">
        <v>517</v>
      </c>
      <c r="D45" s="13">
        <v>704</v>
      </c>
      <c r="E45" s="13">
        <v>704</v>
      </c>
      <c r="F45" s="3"/>
      <c r="G45" s="3" t="s">
        <v>290</v>
      </c>
      <c r="H45" s="3"/>
    </row>
    <row r="46" spans="2:10" ht="15" thickBot="1">
      <c r="B46" s="3" t="s">
        <v>453</v>
      </c>
      <c r="C46" s="3" t="s">
        <v>458</v>
      </c>
      <c r="D46" s="13">
        <v>3</v>
      </c>
      <c r="E46" s="13">
        <v>3</v>
      </c>
      <c r="F46" s="3"/>
      <c r="G46" s="3" t="s">
        <v>290</v>
      </c>
      <c r="H46" s="3"/>
    </row>
  </sheetData>
  <sheetProtection algorithmName="SHA-512" hashValue="x/qIzGECp6BaLnfbVESshVXUYLvGqAa+/JlzVhCIG+f42tMaaQRME38/dfCskfART0ra4kSq+tv4vFEnbOiy1w==" saltValue="Axp1BrkZs4ztAJ0EoYAmog==" spinCount="100000" sheet="1" objects="1" scenarios="1"/>
  <mergeCells count="1">
    <mergeCell ref="G2:K3"/>
  </mergeCells>
  <conditionalFormatting sqref="V9:V10 F11 F7:F9 F22:F24 F37:F39 F14:F15 F26 F29:F30 F44:F45 F41">
    <cfRule type="colorScale" priority="1">
      <colorScale>
        <cfvo type="num" val="0"/>
        <cfvo type="num" val="0.5"/>
        <color theme="0"/>
        <color theme="5"/>
      </colorScale>
    </cfRule>
  </conditionalFormatting>
  <conditionalFormatting sqref="V9:V10">
    <cfRule type="colorScale" priority="2">
      <colorScale>
        <cfvo type="min"/>
        <cfvo type="max"/>
        <color theme="0"/>
        <color theme="5"/>
      </colorScale>
    </cfRule>
  </conditionalFormatting>
  <hyperlinks>
    <hyperlink ref="A1" location="Inhalt!A1" display="Zum Inhalt" xr:uid="{B1974407-6EF4-49C1-928D-84E0DD2F43A1}"/>
  </hyperlinks>
  <pageMargins left="0.7" right="0.7" top="0.78740157499999996" bottom="0.78740157499999996"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91010-CA96-47EA-B989-EFB4233C467A}">
  <sheetPr codeName="Tabelle34"/>
  <dimension ref="A1:V46"/>
  <sheetViews>
    <sheetView zoomScaleNormal="100" workbookViewId="0"/>
  </sheetViews>
  <sheetFormatPr baseColWidth="10" defaultColWidth="10.6640625" defaultRowHeight="14.4"/>
  <cols>
    <col min="2" max="2" width="31.6640625" bestFit="1" customWidth="1"/>
    <col min="10" max="10" width="12.6640625" customWidth="1"/>
  </cols>
  <sheetData>
    <row r="1" spans="1:22" ht="28.2" thickBot="1">
      <c r="A1" s="99" t="s">
        <v>143</v>
      </c>
    </row>
    <row r="2" spans="1:22">
      <c r="G2" s="142" t="s">
        <v>212</v>
      </c>
      <c r="H2" s="143"/>
      <c r="I2" s="143"/>
      <c r="J2" s="143"/>
      <c r="K2" s="144"/>
    </row>
    <row r="3" spans="1:22" ht="22.5" customHeight="1" thickBot="1">
      <c r="B3" s="4" t="s">
        <v>213</v>
      </c>
      <c r="C3" s="4" t="s">
        <v>128</v>
      </c>
      <c r="G3" s="145"/>
      <c r="H3" s="146"/>
      <c r="I3" s="146"/>
      <c r="J3" s="146"/>
      <c r="K3" s="147"/>
    </row>
    <row r="4" spans="1:22">
      <c r="B4" s="4" t="s">
        <v>214</v>
      </c>
      <c r="C4" s="4">
        <v>2023</v>
      </c>
    </row>
    <row r="5" spans="1:22" ht="15" thickBot="1">
      <c r="B5" s="1" t="s">
        <v>215</v>
      </c>
      <c r="C5" s="2" t="s">
        <v>216</v>
      </c>
      <c r="D5" s="1"/>
      <c r="E5" s="2"/>
      <c r="F5" s="1" t="s">
        <v>217</v>
      </c>
      <c r="G5" s="1" t="s">
        <v>147</v>
      </c>
      <c r="H5" s="1" t="s">
        <v>148</v>
      </c>
      <c r="J5" s="4" t="s">
        <v>218</v>
      </c>
      <c r="K5" s="12" t="s">
        <v>509</v>
      </c>
    </row>
    <row r="6" spans="1:22" ht="15" thickBot="1">
      <c r="B6" s="3" t="s">
        <v>220</v>
      </c>
      <c r="C6" s="3" t="s">
        <v>443</v>
      </c>
      <c r="D6" s="3">
        <v>0.3</v>
      </c>
      <c r="E6" s="31">
        <v>1.5</v>
      </c>
      <c r="F6" s="3"/>
      <c r="G6" s="3"/>
      <c r="H6" s="3"/>
    </row>
    <row r="7" spans="1:22" ht="15" thickBot="1">
      <c r="B7" s="3" t="s">
        <v>510</v>
      </c>
      <c r="C7" s="72"/>
      <c r="D7" s="51">
        <v>3.21</v>
      </c>
      <c r="E7" s="71">
        <v>3.21</v>
      </c>
      <c r="F7" s="33">
        <v>0.1</v>
      </c>
      <c r="G7" s="3" t="s">
        <v>448</v>
      </c>
      <c r="H7" s="3" t="s">
        <v>240</v>
      </c>
      <c r="J7" s="4" t="s">
        <v>234</v>
      </c>
      <c r="K7" s="12" t="s">
        <v>306</v>
      </c>
    </row>
    <row r="8" spans="1:22" ht="15" thickBot="1">
      <c r="B8" s="3" t="s">
        <v>461</v>
      </c>
      <c r="C8" s="5"/>
      <c r="D8" s="51">
        <v>3.16</v>
      </c>
      <c r="E8" s="71">
        <v>3.16</v>
      </c>
      <c r="F8" s="33">
        <v>0.1</v>
      </c>
      <c r="G8" s="3" t="s">
        <v>448</v>
      </c>
      <c r="H8" s="3" t="s">
        <v>244</v>
      </c>
    </row>
    <row r="9" spans="1:22" ht="15" thickBot="1">
      <c r="B9" s="3" t="s">
        <v>226</v>
      </c>
      <c r="C9" s="5" t="s">
        <v>227</v>
      </c>
      <c r="D9" s="13">
        <v>23</v>
      </c>
      <c r="E9" s="26">
        <v>23</v>
      </c>
      <c r="F9" s="33">
        <v>0.3</v>
      </c>
      <c r="G9" s="3" t="s">
        <v>151</v>
      </c>
      <c r="H9" s="3" t="s">
        <v>250</v>
      </c>
      <c r="J9" s="4" t="s">
        <v>148</v>
      </c>
      <c r="V9" s="44"/>
    </row>
    <row r="10" spans="1:22" ht="15" thickBot="1">
      <c r="B10" s="1" t="s">
        <v>511</v>
      </c>
      <c r="C10" s="2" t="s">
        <v>216</v>
      </c>
      <c r="D10" s="1"/>
      <c r="E10" s="1"/>
      <c r="F10" s="1"/>
      <c r="G10" s="1"/>
      <c r="H10" s="1"/>
      <c r="J10" s="12" t="s">
        <v>240</v>
      </c>
      <c r="K10" s="12" t="s">
        <v>512</v>
      </c>
      <c r="V10" s="44"/>
    </row>
    <row r="11" spans="1:22" ht="15" thickBot="1">
      <c r="B11" s="3" t="s">
        <v>230</v>
      </c>
      <c r="C11" s="3" t="s">
        <v>231</v>
      </c>
      <c r="D11" s="41">
        <v>1023</v>
      </c>
      <c r="E11" s="41">
        <v>1023</v>
      </c>
      <c r="F11" s="33">
        <v>0.25</v>
      </c>
      <c r="G11" s="3" t="s">
        <v>305</v>
      </c>
      <c r="H11" s="3" t="s">
        <v>252</v>
      </c>
      <c r="J11" s="12" t="s">
        <v>244</v>
      </c>
      <c r="K11" s="12" t="s">
        <v>513</v>
      </c>
    </row>
    <row r="12" spans="1:22" ht="15" thickBot="1">
      <c r="B12" s="36" t="s">
        <v>236</v>
      </c>
      <c r="C12" s="3" t="s">
        <v>223</v>
      </c>
      <c r="D12" s="3">
        <v>40</v>
      </c>
      <c r="E12" s="3">
        <v>40</v>
      </c>
      <c r="F12" s="3"/>
      <c r="G12" s="3" t="s">
        <v>305</v>
      </c>
      <c r="H12" s="3"/>
      <c r="J12" s="12" t="s">
        <v>224</v>
      </c>
      <c r="K12" s="12" t="s">
        <v>514</v>
      </c>
    </row>
    <row r="13" spans="1:22" ht="15" thickBot="1">
      <c r="B13" s="36" t="s">
        <v>237</v>
      </c>
      <c r="C13" s="3" t="s">
        <v>223</v>
      </c>
      <c r="D13" s="3">
        <v>60</v>
      </c>
      <c r="E13" s="3">
        <v>60</v>
      </c>
      <c r="F13" s="3"/>
      <c r="G13" s="3" t="s">
        <v>305</v>
      </c>
      <c r="H13" s="3"/>
      <c r="J13" s="12" t="s">
        <v>250</v>
      </c>
      <c r="K13" s="12" t="s">
        <v>515</v>
      </c>
    </row>
    <row r="14" spans="1:22" ht="15" thickBot="1">
      <c r="B14" s="30" t="s">
        <v>263</v>
      </c>
      <c r="C14" s="3" t="s">
        <v>428</v>
      </c>
      <c r="D14" s="41">
        <v>307</v>
      </c>
      <c r="E14" s="41">
        <v>1534</v>
      </c>
      <c r="F14" s="33">
        <v>0.25</v>
      </c>
      <c r="G14" s="3"/>
      <c r="H14" s="3"/>
      <c r="J14" s="12" t="s">
        <v>252</v>
      </c>
      <c r="K14" s="12" t="s">
        <v>516</v>
      </c>
    </row>
    <row r="15" spans="1:22" ht="15" thickBot="1">
      <c r="B15" s="3" t="s">
        <v>242</v>
      </c>
      <c r="C15" s="3" t="s">
        <v>517</v>
      </c>
      <c r="D15" s="13">
        <v>949</v>
      </c>
      <c r="E15" s="13">
        <v>949</v>
      </c>
      <c r="F15" s="3"/>
      <c r="G15" s="3" t="s">
        <v>290</v>
      </c>
      <c r="H15" s="3"/>
    </row>
    <row r="16" spans="1:22" ht="15" thickBot="1">
      <c r="B16" s="3" t="s">
        <v>453</v>
      </c>
      <c r="C16" s="3" t="s">
        <v>458</v>
      </c>
      <c r="D16" s="13">
        <v>3</v>
      </c>
      <c r="E16" s="13">
        <v>3</v>
      </c>
      <c r="F16" s="3"/>
      <c r="G16" s="3" t="s">
        <v>290</v>
      </c>
      <c r="H16" s="3"/>
      <c r="J16" s="4" t="s">
        <v>147</v>
      </c>
    </row>
    <row r="17" spans="2:11">
      <c r="J17" s="12" t="s">
        <v>151</v>
      </c>
      <c r="K17" s="12" t="s">
        <v>185</v>
      </c>
    </row>
    <row r="18" spans="2:11">
      <c r="J18" s="12" t="s">
        <v>184</v>
      </c>
      <c r="K18" s="12" t="s">
        <v>454</v>
      </c>
    </row>
    <row r="19" spans="2:11">
      <c r="B19" s="4" t="s">
        <v>214</v>
      </c>
      <c r="C19" s="4">
        <v>2030</v>
      </c>
      <c r="J19" s="12" t="s">
        <v>186</v>
      </c>
      <c r="K19" s="12" t="s">
        <v>413</v>
      </c>
    </row>
    <row r="20" spans="2:11" ht="15" thickBot="1">
      <c r="B20" s="1" t="s">
        <v>215</v>
      </c>
      <c r="C20" s="2" t="s">
        <v>216</v>
      </c>
      <c r="D20" s="1"/>
      <c r="E20" s="2"/>
      <c r="F20" s="1" t="s">
        <v>217</v>
      </c>
      <c r="G20" s="1" t="s">
        <v>147</v>
      </c>
      <c r="H20" s="1" t="s">
        <v>148</v>
      </c>
      <c r="J20" s="12" t="s">
        <v>188</v>
      </c>
      <c r="K20" s="12" t="s">
        <v>518</v>
      </c>
    </row>
    <row r="21" spans="2:11" ht="15" thickBot="1">
      <c r="B21" s="3" t="s">
        <v>220</v>
      </c>
      <c r="C21" s="3" t="s">
        <v>443</v>
      </c>
      <c r="D21" s="3">
        <v>0.3</v>
      </c>
      <c r="E21" s="31">
        <v>1.5</v>
      </c>
      <c r="F21" s="3"/>
      <c r="G21" s="3"/>
      <c r="H21" s="3"/>
      <c r="J21" s="12"/>
    </row>
    <row r="22" spans="2:11" ht="15" thickBot="1">
      <c r="B22" s="3" t="s">
        <v>510</v>
      </c>
      <c r="C22" s="72"/>
      <c r="D22" s="51">
        <v>3.26</v>
      </c>
      <c r="E22" s="71">
        <v>3.26</v>
      </c>
      <c r="F22" s="33">
        <v>0.1</v>
      </c>
      <c r="G22" s="3" t="s">
        <v>448</v>
      </c>
      <c r="H22" s="3" t="s">
        <v>240</v>
      </c>
      <c r="J22" s="12"/>
    </row>
    <row r="23" spans="2:11" ht="15" thickBot="1">
      <c r="B23" s="3" t="s">
        <v>461</v>
      </c>
      <c r="C23" s="5"/>
      <c r="D23" s="51">
        <v>3.21</v>
      </c>
      <c r="E23" s="71">
        <v>3.21</v>
      </c>
      <c r="F23" s="33">
        <v>0.1</v>
      </c>
      <c r="G23" s="3" t="s">
        <v>448</v>
      </c>
      <c r="H23" s="3" t="s">
        <v>244</v>
      </c>
      <c r="J23" s="12"/>
    </row>
    <row r="24" spans="2:11" ht="15" thickBot="1">
      <c r="B24" s="3" t="s">
        <v>226</v>
      </c>
      <c r="C24" s="5" t="s">
        <v>227</v>
      </c>
      <c r="D24" s="13">
        <v>23</v>
      </c>
      <c r="E24" s="26">
        <v>23</v>
      </c>
      <c r="F24" s="33">
        <v>0.3</v>
      </c>
      <c r="G24" s="3"/>
      <c r="H24" s="3" t="s">
        <v>250</v>
      </c>
      <c r="J24" s="12"/>
    </row>
    <row r="25" spans="2:11" ht="15" thickBot="1">
      <c r="B25" s="1" t="s">
        <v>511</v>
      </c>
      <c r="C25" s="2" t="s">
        <v>216</v>
      </c>
      <c r="D25" s="1"/>
      <c r="E25" s="1"/>
      <c r="F25" s="1"/>
      <c r="G25" s="1"/>
      <c r="H25" s="1"/>
    </row>
    <row r="26" spans="2:11" ht="15" thickBot="1">
      <c r="B26" s="3" t="s">
        <v>230</v>
      </c>
      <c r="C26" s="3" t="s">
        <v>231</v>
      </c>
      <c r="D26" s="13">
        <v>914</v>
      </c>
      <c r="E26" s="13">
        <v>914</v>
      </c>
      <c r="F26" s="33">
        <v>0.35</v>
      </c>
      <c r="G26" s="3" t="s">
        <v>290</v>
      </c>
      <c r="H26" s="3" t="s">
        <v>519</v>
      </c>
    </row>
    <row r="27" spans="2:11" ht="15" thickBot="1">
      <c r="B27" s="36" t="s">
        <v>236</v>
      </c>
      <c r="C27" s="3" t="s">
        <v>223</v>
      </c>
      <c r="D27" s="3">
        <v>40</v>
      </c>
      <c r="E27" s="3">
        <v>40</v>
      </c>
      <c r="F27" s="3"/>
      <c r="G27" s="3" t="s">
        <v>305</v>
      </c>
      <c r="H27" s="3"/>
    </row>
    <row r="28" spans="2:11" ht="15" thickBot="1">
      <c r="B28" s="36" t="s">
        <v>237</v>
      </c>
      <c r="C28" s="3" t="s">
        <v>223</v>
      </c>
      <c r="D28" s="3">
        <v>60</v>
      </c>
      <c r="E28" s="3">
        <v>60</v>
      </c>
      <c r="F28" s="3"/>
      <c r="G28" s="3" t="s">
        <v>305</v>
      </c>
      <c r="H28" s="3"/>
    </row>
    <row r="29" spans="2:11" ht="15" thickBot="1">
      <c r="B29" s="30" t="s">
        <v>263</v>
      </c>
      <c r="C29" s="3" t="s">
        <v>428</v>
      </c>
      <c r="D29" s="41">
        <v>274</v>
      </c>
      <c r="E29" s="41">
        <v>1371</v>
      </c>
      <c r="F29" s="33">
        <v>0.35</v>
      </c>
      <c r="G29" s="3"/>
      <c r="H29" s="3"/>
    </row>
    <row r="30" spans="2:11" ht="15" thickBot="1">
      <c r="B30" s="3" t="s">
        <v>242</v>
      </c>
      <c r="C30" s="3" t="s">
        <v>517</v>
      </c>
      <c r="D30" s="13">
        <v>851</v>
      </c>
      <c r="E30" s="13">
        <v>851</v>
      </c>
      <c r="F30" s="3"/>
      <c r="G30" s="3" t="s">
        <v>290</v>
      </c>
      <c r="H30" s="3"/>
    </row>
    <row r="31" spans="2:11" ht="15" thickBot="1">
      <c r="B31" s="3" t="s">
        <v>453</v>
      </c>
      <c r="C31" s="3" t="s">
        <v>458</v>
      </c>
      <c r="D31" s="13">
        <v>3</v>
      </c>
      <c r="E31" s="13">
        <v>3</v>
      </c>
      <c r="F31" s="3"/>
      <c r="G31" s="3" t="s">
        <v>290</v>
      </c>
      <c r="H31" s="3"/>
    </row>
    <row r="32" spans="2:11">
      <c r="J32" s="4"/>
      <c r="K32" s="12"/>
    </row>
    <row r="33" spans="2:10">
      <c r="J33" s="12"/>
    </row>
    <row r="34" spans="2:10">
      <c r="B34" s="4" t="s">
        <v>214</v>
      </c>
      <c r="C34" s="4">
        <v>2040</v>
      </c>
      <c r="J34" s="12"/>
    </row>
    <row r="35" spans="2:10" ht="15" thickBot="1">
      <c r="B35" s="1" t="s">
        <v>215</v>
      </c>
      <c r="C35" s="2" t="s">
        <v>216</v>
      </c>
      <c r="D35" s="1"/>
      <c r="E35" s="2"/>
      <c r="F35" s="1" t="s">
        <v>217</v>
      </c>
      <c r="G35" s="1" t="s">
        <v>147</v>
      </c>
      <c r="H35" s="1" t="s">
        <v>148</v>
      </c>
    </row>
    <row r="36" spans="2:10" ht="15" thickBot="1">
      <c r="B36" s="3" t="s">
        <v>220</v>
      </c>
      <c r="C36" s="3" t="s">
        <v>443</v>
      </c>
      <c r="D36" s="3">
        <v>0.3</v>
      </c>
      <c r="E36" s="31">
        <v>1.5</v>
      </c>
      <c r="F36" s="3"/>
      <c r="G36" s="3"/>
      <c r="H36" s="3"/>
    </row>
    <row r="37" spans="2:10" ht="15" thickBot="1">
      <c r="B37" s="3" t="s">
        <v>510</v>
      </c>
      <c r="C37" s="72"/>
      <c r="D37" s="51">
        <v>3.34</v>
      </c>
      <c r="E37" s="71">
        <v>3.34</v>
      </c>
      <c r="F37" s="33">
        <v>0.1</v>
      </c>
      <c r="G37" s="3"/>
      <c r="H37" s="3" t="s">
        <v>240</v>
      </c>
    </row>
    <row r="38" spans="2:10" ht="15" thickBot="1">
      <c r="B38" s="3" t="s">
        <v>461</v>
      </c>
      <c r="C38" s="5"/>
      <c r="D38" s="51">
        <v>3.29</v>
      </c>
      <c r="E38" s="71">
        <v>3.29</v>
      </c>
      <c r="F38" s="33">
        <v>0.1</v>
      </c>
      <c r="G38" s="3"/>
      <c r="H38" s="3" t="s">
        <v>244</v>
      </c>
    </row>
    <row r="39" spans="2:10" ht="15" thickBot="1">
      <c r="B39" s="3" t="s">
        <v>226</v>
      </c>
      <c r="C39" s="5" t="s">
        <v>227</v>
      </c>
      <c r="D39" s="13">
        <v>23</v>
      </c>
      <c r="E39" s="26">
        <v>23</v>
      </c>
      <c r="F39" s="33">
        <v>0.3</v>
      </c>
      <c r="G39" s="3"/>
      <c r="H39" s="3" t="s">
        <v>250</v>
      </c>
    </row>
    <row r="40" spans="2:10" ht="15" thickBot="1">
      <c r="B40" s="1" t="s">
        <v>511</v>
      </c>
      <c r="C40" s="2" t="s">
        <v>216</v>
      </c>
      <c r="D40" s="1"/>
      <c r="E40" s="1"/>
      <c r="F40" s="1"/>
      <c r="G40" s="1"/>
      <c r="H40" s="1"/>
    </row>
    <row r="41" spans="2:10" ht="15" thickBot="1">
      <c r="B41" s="3" t="s">
        <v>230</v>
      </c>
      <c r="C41" s="3" t="s">
        <v>231</v>
      </c>
      <c r="D41" s="13">
        <v>822</v>
      </c>
      <c r="E41" s="13">
        <v>822</v>
      </c>
      <c r="F41" s="33">
        <v>0.45</v>
      </c>
      <c r="G41" s="3" t="s">
        <v>290</v>
      </c>
      <c r="H41" s="3" t="s">
        <v>519</v>
      </c>
    </row>
    <row r="42" spans="2:10" ht="15" thickBot="1">
      <c r="B42" s="36" t="s">
        <v>236</v>
      </c>
      <c r="C42" s="3" t="s">
        <v>223</v>
      </c>
      <c r="D42" s="3">
        <v>40</v>
      </c>
      <c r="E42" s="3">
        <v>40</v>
      </c>
      <c r="F42" s="3"/>
      <c r="G42" s="3" t="s">
        <v>305</v>
      </c>
      <c r="H42" s="3"/>
    </row>
    <row r="43" spans="2:10" ht="15" thickBot="1">
      <c r="B43" s="36" t="s">
        <v>237</v>
      </c>
      <c r="C43" s="3" t="s">
        <v>223</v>
      </c>
      <c r="D43" s="3">
        <v>60</v>
      </c>
      <c r="E43" s="3">
        <v>60</v>
      </c>
      <c r="F43" s="3"/>
      <c r="G43" s="3" t="s">
        <v>305</v>
      </c>
      <c r="H43" s="3"/>
    </row>
    <row r="44" spans="2:10" ht="15" thickBot="1">
      <c r="B44" s="30" t="s">
        <v>263</v>
      </c>
      <c r="C44" s="3" t="s">
        <v>428</v>
      </c>
      <c r="D44" s="41">
        <v>247</v>
      </c>
      <c r="E44" s="41">
        <v>1233</v>
      </c>
      <c r="F44" s="33">
        <v>0.45</v>
      </c>
      <c r="G44" s="3"/>
      <c r="H44" s="3"/>
    </row>
    <row r="45" spans="2:10" ht="15" thickBot="1">
      <c r="B45" s="3" t="s">
        <v>242</v>
      </c>
      <c r="C45" s="3" t="s">
        <v>517</v>
      </c>
      <c r="D45" s="13">
        <v>704</v>
      </c>
      <c r="E45" s="13">
        <v>704</v>
      </c>
      <c r="F45" s="3"/>
      <c r="G45" s="3" t="s">
        <v>290</v>
      </c>
      <c r="H45" s="3"/>
    </row>
    <row r="46" spans="2:10" ht="15" thickBot="1">
      <c r="B46" s="3" t="s">
        <v>453</v>
      </c>
      <c r="C46" s="3" t="s">
        <v>458</v>
      </c>
      <c r="D46" s="13">
        <v>3</v>
      </c>
      <c r="E46" s="13">
        <v>3</v>
      </c>
      <c r="F46" s="3"/>
      <c r="G46" s="3" t="s">
        <v>290</v>
      </c>
      <c r="H46" s="3"/>
    </row>
  </sheetData>
  <sheetProtection algorithmName="SHA-512" hashValue="GQX3dho0RPlTCt9J8YQ6QYk9SODSNw1sUFRC1dcYNdtHCmkpe4nZ1Cgj2z0ztf5B+3r2UuIhWNaWFtbRL/Krbg==" saltValue="3S0PjZPCtOG21pQFDooxow==" spinCount="100000" sheet="1" objects="1" scenarios="1"/>
  <mergeCells count="1">
    <mergeCell ref="G2:K3"/>
  </mergeCells>
  <conditionalFormatting sqref="F7:F9 F11 F22:F24 F37:F39 F14:F15 F26 F29:F30 F44:F45 F41">
    <cfRule type="colorScale" priority="1">
      <colorScale>
        <cfvo type="num" val="0"/>
        <cfvo type="num" val="0.5"/>
        <color theme="0"/>
        <color theme="5"/>
      </colorScale>
    </cfRule>
  </conditionalFormatting>
  <conditionalFormatting sqref="V9:V10">
    <cfRule type="colorScale" priority="2">
      <colorScale>
        <cfvo type="num" val="0"/>
        <cfvo type="num" val="0.5"/>
        <color theme="0"/>
        <color theme="5"/>
      </colorScale>
    </cfRule>
    <cfRule type="colorScale" priority="3">
      <colorScale>
        <cfvo type="min"/>
        <cfvo type="max"/>
        <color theme="0"/>
        <color theme="5"/>
      </colorScale>
    </cfRule>
  </conditionalFormatting>
  <hyperlinks>
    <hyperlink ref="A1" location="Inhalt!A1" display="Zum Inhalt" xr:uid="{992446E1-D4A8-4AFF-B92C-AFDD95CD9E82}"/>
  </hyperlinks>
  <pageMargins left="0.7" right="0.7" top="0.78740157499999996" bottom="0.78740157499999996"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200B-CC5E-4BD0-A3E4-B782B4BF2735}">
  <sheetPr codeName="Tabelle35"/>
  <dimension ref="A1:V43"/>
  <sheetViews>
    <sheetView zoomScaleNormal="100" workbookViewId="0"/>
  </sheetViews>
  <sheetFormatPr baseColWidth="10" defaultColWidth="11.44140625" defaultRowHeight="14.4"/>
  <cols>
    <col min="2" max="2" width="33.5546875" bestFit="1" customWidth="1"/>
    <col min="10" max="10" width="12.6640625" customWidth="1"/>
  </cols>
  <sheetData>
    <row r="1" spans="1:22" ht="28.2" thickBot="1">
      <c r="A1" s="99" t="s">
        <v>143</v>
      </c>
    </row>
    <row r="2" spans="1:22">
      <c r="G2" s="142" t="s">
        <v>212</v>
      </c>
      <c r="H2" s="143"/>
      <c r="I2" s="143"/>
      <c r="J2" s="143"/>
      <c r="K2" s="144"/>
    </row>
    <row r="3" spans="1:22" ht="20.25" customHeight="1" thickBot="1">
      <c r="B3" s="4" t="s">
        <v>213</v>
      </c>
      <c r="C3" s="4" t="s">
        <v>130</v>
      </c>
      <c r="G3" s="145"/>
      <c r="H3" s="146"/>
      <c r="I3" s="146"/>
      <c r="J3" s="146"/>
      <c r="K3" s="147"/>
    </row>
    <row r="4" spans="1:22">
      <c r="B4" s="4" t="s">
        <v>214</v>
      </c>
      <c r="C4" s="4">
        <v>2023</v>
      </c>
    </row>
    <row r="5" spans="1:22" ht="15" thickBot="1">
      <c r="B5" s="1" t="s">
        <v>215</v>
      </c>
      <c r="C5" s="2" t="s">
        <v>216</v>
      </c>
      <c r="D5" s="1"/>
      <c r="E5" s="2"/>
      <c r="F5" s="1" t="s">
        <v>217</v>
      </c>
      <c r="G5" s="1" t="s">
        <v>147</v>
      </c>
      <c r="H5" s="1" t="s">
        <v>148</v>
      </c>
      <c r="J5" s="4" t="s">
        <v>218</v>
      </c>
      <c r="K5" s="12" t="s">
        <v>460</v>
      </c>
    </row>
    <row r="6" spans="1:22" ht="15" thickBot="1">
      <c r="B6" s="3" t="s">
        <v>220</v>
      </c>
      <c r="C6" s="3" t="s">
        <v>443</v>
      </c>
      <c r="D6" s="3">
        <v>0.5</v>
      </c>
      <c r="E6" s="31">
        <v>10</v>
      </c>
      <c r="F6" s="3"/>
      <c r="G6" s="3"/>
      <c r="H6" s="3"/>
      <c r="J6" s="4" t="s">
        <v>214</v>
      </c>
      <c r="K6" s="4">
        <v>2023</v>
      </c>
      <c r="L6" s="4">
        <v>2030</v>
      </c>
      <c r="M6" s="4">
        <v>2040</v>
      </c>
    </row>
    <row r="7" spans="1:22" ht="15" thickBot="1">
      <c r="B7" s="3" t="s">
        <v>520</v>
      </c>
      <c r="C7" s="5" t="s">
        <v>223</v>
      </c>
      <c r="D7" s="3">
        <v>99</v>
      </c>
      <c r="E7" s="32">
        <v>99</v>
      </c>
      <c r="F7" s="33">
        <v>0.05</v>
      </c>
      <c r="G7" s="3" t="s">
        <v>521</v>
      </c>
      <c r="H7" s="3" t="s">
        <v>240</v>
      </c>
      <c r="J7" s="12" t="s">
        <v>225</v>
      </c>
      <c r="K7" s="12">
        <v>124.81</v>
      </c>
      <c r="L7" s="12">
        <v>124.81</v>
      </c>
      <c r="M7" s="12">
        <v>124.81</v>
      </c>
    </row>
    <row r="8" spans="1:22" ht="15" thickBot="1">
      <c r="B8" s="3" t="s">
        <v>226</v>
      </c>
      <c r="C8" s="5" t="s">
        <v>227</v>
      </c>
      <c r="D8" s="3">
        <v>25</v>
      </c>
      <c r="E8" s="32">
        <v>25</v>
      </c>
      <c r="F8" s="3"/>
      <c r="G8" s="3" t="s">
        <v>355</v>
      </c>
      <c r="H8" s="3" t="s">
        <v>224</v>
      </c>
      <c r="J8" s="12" t="s">
        <v>228</v>
      </c>
      <c r="K8" s="12">
        <v>-6.8000000000000005E-2</v>
      </c>
      <c r="L8" s="12">
        <v>-6.8000000000000005E-2</v>
      </c>
      <c r="M8" s="12">
        <v>-6.8000000000000005E-2</v>
      </c>
      <c r="V8" s="44"/>
    </row>
    <row r="9" spans="1:22" ht="15" thickBot="1">
      <c r="B9" s="1" t="s">
        <v>229</v>
      </c>
      <c r="C9" s="2" t="s">
        <v>216</v>
      </c>
      <c r="D9" s="1"/>
      <c r="E9" s="1"/>
      <c r="F9" s="1"/>
      <c r="G9" s="1"/>
      <c r="H9" s="1"/>
      <c r="V9" s="44"/>
    </row>
    <row r="10" spans="1:22" ht="15" thickBot="1">
      <c r="B10" s="3" t="s">
        <v>230</v>
      </c>
      <c r="C10" s="3" t="s">
        <v>231</v>
      </c>
      <c r="D10" s="13">
        <v>131</v>
      </c>
      <c r="E10" s="13">
        <v>107</v>
      </c>
      <c r="F10" s="33">
        <v>0.1</v>
      </c>
      <c r="G10" s="3" t="s">
        <v>522</v>
      </c>
      <c r="H10" s="3" t="s">
        <v>244</v>
      </c>
      <c r="J10" s="4" t="s">
        <v>234</v>
      </c>
      <c r="K10" s="12" t="s">
        <v>306</v>
      </c>
    </row>
    <row r="11" spans="1:22" ht="15" thickBot="1">
      <c r="B11" s="36" t="s">
        <v>236</v>
      </c>
      <c r="C11" s="3" t="s">
        <v>223</v>
      </c>
      <c r="D11" s="46">
        <v>60</v>
      </c>
      <c r="E11" s="46">
        <v>71</v>
      </c>
      <c r="F11" s="3"/>
      <c r="G11" s="3" t="s">
        <v>305</v>
      </c>
      <c r="H11" s="3"/>
    </row>
    <row r="12" spans="1:22" ht="15" thickBot="1">
      <c r="B12" s="36" t="s">
        <v>237</v>
      </c>
      <c r="C12" s="3" t="s">
        <v>223</v>
      </c>
      <c r="D12" s="46">
        <v>40</v>
      </c>
      <c r="E12" s="46">
        <v>29</v>
      </c>
      <c r="F12" s="3"/>
      <c r="G12" s="3"/>
      <c r="H12" s="3"/>
      <c r="J12" s="4" t="s">
        <v>148</v>
      </c>
    </row>
    <row r="13" spans="1:22" ht="15" thickBot="1">
      <c r="B13" s="30" t="s">
        <v>263</v>
      </c>
      <c r="C13" s="3" t="s">
        <v>428</v>
      </c>
      <c r="D13" s="41">
        <v>65</v>
      </c>
      <c r="E13" s="41">
        <v>1068</v>
      </c>
      <c r="F13" s="33">
        <v>0.1</v>
      </c>
      <c r="G13" s="3"/>
      <c r="H13" s="3"/>
      <c r="J13" s="12" t="s">
        <v>240</v>
      </c>
      <c r="K13" s="12" t="s">
        <v>523</v>
      </c>
    </row>
    <row r="14" spans="1:22" ht="15" thickBot="1">
      <c r="B14" s="3" t="s">
        <v>242</v>
      </c>
      <c r="C14" s="3" t="s">
        <v>309</v>
      </c>
      <c r="D14" s="37">
        <v>2</v>
      </c>
      <c r="E14" s="37">
        <v>0.2</v>
      </c>
      <c r="F14" s="3"/>
      <c r="G14" s="3" t="s">
        <v>151</v>
      </c>
      <c r="H14" s="3" t="s">
        <v>244</v>
      </c>
      <c r="J14" s="12" t="s">
        <v>244</v>
      </c>
      <c r="K14" s="12" t="s">
        <v>524</v>
      </c>
    </row>
    <row r="15" spans="1:22" ht="15" thickBot="1">
      <c r="B15" s="3" t="s">
        <v>453</v>
      </c>
      <c r="C15" s="3" t="s">
        <v>458</v>
      </c>
      <c r="D15" s="37">
        <v>2</v>
      </c>
      <c r="E15" s="37">
        <v>0.6</v>
      </c>
      <c r="F15" s="3"/>
      <c r="G15" s="3" t="s">
        <v>305</v>
      </c>
      <c r="H15" s="3" t="s">
        <v>244</v>
      </c>
      <c r="J15" s="12" t="s">
        <v>224</v>
      </c>
      <c r="K15" s="12" t="s">
        <v>525</v>
      </c>
    </row>
    <row r="16" spans="1:22">
      <c r="J16" s="12"/>
    </row>
    <row r="17" spans="2:11">
      <c r="J17" s="4" t="s">
        <v>147</v>
      </c>
    </row>
    <row r="18" spans="2:11">
      <c r="B18" s="4" t="s">
        <v>214</v>
      </c>
      <c r="C18" s="4">
        <v>2030</v>
      </c>
      <c r="J18" s="12" t="s">
        <v>151</v>
      </c>
      <c r="K18" s="12" t="s">
        <v>185</v>
      </c>
    </row>
    <row r="19" spans="2:11" ht="15" thickBot="1">
      <c r="B19" s="1" t="s">
        <v>215</v>
      </c>
      <c r="C19" s="2" t="s">
        <v>216</v>
      </c>
      <c r="D19" s="1"/>
      <c r="E19" s="2"/>
      <c r="F19" s="1" t="s">
        <v>217</v>
      </c>
      <c r="G19" s="1" t="s">
        <v>147</v>
      </c>
      <c r="H19" s="1" t="s">
        <v>148</v>
      </c>
      <c r="J19" s="12" t="s">
        <v>184</v>
      </c>
      <c r="K19" s="12" t="s">
        <v>454</v>
      </c>
    </row>
    <row r="20" spans="2:11" ht="15" thickBot="1">
      <c r="B20" s="3" t="s">
        <v>220</v>
      </c>
      <c r="C20" s="3" t="s">
        <v>443</v>
      </c>
      <c r="D20" s="3">
        <v>0.5</v>
      </c>
      <c r="E20" s="31">
        <v>10</v>
      </c>
      <c r="F20" s="3"/>
      <c r="G20" s="3"/>
      <c r="H20" s="3"/>
      <c r="J20" s="12" t="s">
        <v>186</v>
      </c>
      <c r="K20" s="12" t="s">
        <v>526</v>
      </c>
    </row>
    <row r="21" spans="2:11" ht="15" thickBot="1">
      <c r="B21" s="3" t="s">
        <v>520</v>
      </c>
      <c r="C21" s="5" t="s">
        <v>223</v>
      </c>
      <c r="D21" s="3">
        <v>99</v>
      </c>
      <c r="E21" s="32">
        <v>99</v>
      </c>
      <c r="F21" s="33">
        <v>0.05</v>
      </c>
      <c r="G21" s="3" t="s">
        <v>521</v>
      </c>
      <c r="H21" s="3" t="s">
        <v>240</v>
      </c>
      <c r="J21" s="12" t="s">
        <v>188</v>
      </c>
      <c r="K21" s="12" t="s">
        <v>527</v>
      </c>
    </row>
    <row r="22" spans="2:11" ht="15" thickBot="1">
      <c r="B22" s="3" t="s">
        <v>226</v>
      </c>
      <c r="C22" s="5" t="s">
        <v>227</v>
      </c>
      <c r="D22" s="3">
        <v>25</v>
      </c>
      <c r="E22" s="32">
        <v>25</v>
      </c>
      <c r="F22" s="3"/>
      <c r="G22" s="3" t="s">
        <v>355</v>
      </c>
      <c r="H22" s="3" t="s">
        <v>224</v>
      </c>
      <c r="J22" s="12" t="s">
        <v>192</v>
      </c>
      <c r="K22" s="12" t="s">
        <v>413</v>
      </c>
    </row>
    <row r="23" spans="2:11" ht="15" thickBot="1">
      <c r="B23" s="1" t="s">
        <v>229</v>
      </c>
      <c r="C23" s="2" t="s">
        <v>216</v>
      </c>
      <c r="D23" s="1"/>
      <c r="E23" s="1"/>
      <c r="F23" s="1"/>
      <c r="G23" s="1"/>
      <c r="H23" s="1"/>
    </row>
    <row r="24" spans="2:11" ht="15" thickBot="1">
      <c r="B24" s="3" t="s">
        <v>230</v>
      </c>
      <c r="C24" s="3" t="s">
        <v>231</v>
      </c>
      <c r="D24" s="13">
        <v>131</v>
      </c>
      <c r="E24" s="13">
        <v>107</v>
      </c>
      <c r="F24" s="33">
        <v>0.15</v>
      </c>
      <c r="G24" s="3" t="s">
        <v>522</v>
      </c>
      <c r="H24" s="3" t="s">
        <v>244</v>
      </c>
      <c r="J24" s="4"/>
    </row>
    <row r="25" spans="2:11" ht="15" thickBot="1">
      <c r="B25" s="36" t="s">
        <v>236</v>
      </c>
      <c r="C25" s="3" t="s">
        <v>223</v>
      </c>
      <c r="D25" s="46">
        <v>60</v>
      </c>
      <c r="E25" s="46">
        <v>71</v>
      </c>
      <c r="F25" s="3"/>
      <c r="G25" s="3" t="s">
        <v>305</v>
      </c>
      <c r="H25" s="3"/>
      <c r="J25" s="12"/>
      <c r="K25" s="12"/>
    </row>
    <row r="26" spans="2:11" ht="15" thickBot="1">
      <c r="B26" s="36" t="s">
        <v>237</v>
      </c>
      <c r="C26" s="3" t="s">
        <v>223</v>
      </c>
      <c r="D26" s="46">
        <v>40</v>
      </c>
      <c r="E26" s="46">
        <v>29</v>
      </c>
      <c r="F26" s="3"/>
      <c r="G26" s="3"/>
      <c r="H26" s="3"/>
      <c r="J26" s="12"/>
    </row>
    <row r="27" spans="2:11" ht="15" thickBot="1">
      <c r="B27" s="30" t="s">
        <v>263</v>
      </c>
      <c r="C27" s="3" t="s">
        <v>428</v>
      </c>
      <c r="D27" s="41">
        <v>65</v>
      </c>
      <c r="E27" s="41">
        <v>1068</v>
      </c>
      <c r="F27" s="33">
        <v>0.15</v>
      </c>
      <c r="G27" s="3"/>
      <c r="H27" s="3"/>
      <c r="J27" s="12"/>
    </row>
    <row r="28" spans="2:11" ht="15" thickBot="1">
      <c r="B28" s="3" t="s">
        <v>242</v>
      </c>
      <c r="C28" s="3" t="s">
        <v>309</v>
      </c>
      <c r="D28" s="37">
        <v>2</v>
      </c>
      <c r="E28" s="37">
        <v>0.2</v>
      </c>
      <c r="F28" s="3"/>
      <c r="G28" s="3" t="s">
        <v>151</v>
      </c>
      <c r="H28" s="3" t="s">
        <v>244</v>
      </c>
      <c r="J28" s="12"/>
    </row>
    <row r="29" spans="2:11" ht="15" thickBot="1">
      <c r="B29" s="3" t="s">
        <v>453</v>
      </c>
      <c r="C29" s="3" t="s">
        <v>458</v>
      </c>
      <c r="D29" s="37">
        <v>2</v>
      </c>
      <c r="E29" s="37">
        <v>0.6</v>
      </c>
      <c r="F29" s="3"/>
      <c r="G29" s="3" t="s">
        <v>305</v>
      </c>
      <c r="H29" s="3" t="s">
        <v>244</v>
      </c>
      <c r="J29" s="12"/>
    </row>
    <row r="30" spans="2:11">
      <c r="J30" s="12"/>
    </row>
    <row r="31" spans="2:11">
      <c r="J31" s="12"/>
    </row>
    <row r="32" spans="2:11">
      <c r="B32" s="4" t="s">
        <v>214</v>
      </c>
      <c r="C32" s="4">
        <v>2040</v>
      </c>
      <c r="J32" s="12"/>
    </row>
    <row r="33" spans="2:11" ht="15" thickBot="1">
      <c r="B33" s="1" t="s">
        <v>215</v>
      </c>
      <c r="C33" s="2" t="s">
        <v>216</v>
      </c>
      <c r="D33" s="1"/>
      <c r="E33" s="2"/>
      <c r="F33" s="1" t="s">
        <v>217</v>
      </c>
      <c r="G33" s="1" t="s">
        <v>147</v>
      </c>
      <c r="H33" s="1" t="s">
        <v>148</v>
      </c>
    </row>
    <row r="34" spans="2:11" ht="15" thickBot="1">
      <c r="B34" s="3" t="s">
        <v>220</v>
      </c>
      <c r="C34" s="3" t="s">
        <v>443</v>
      </c>
      <c r="D34" s="3">
        <v>0.5</v>
      </c>
      <c r="E34" s="31">
        <v>10</v>
      </c>
      <c r="F34" s="3"/>
      <c r="G34" s="3"/>
      <c r="H34" s="3"/>
      <c r="J34" s="4"/>
      <c r="K34" s="12"/>
    </row>
    <row r="35" spans="2:11" ht="15" thickBot="1">
      <c r="B35" s="3" t="s">
        <v>520</v>
      </c>
      <c r="C35" s="5" t="s">
        <v>223</v>
      </c>
      <c r="D35" s="3">
        <v>100</v>
      </c>
      <c r="E35" s="32">
        <v>100</v>
      </c>
      <c r="F35" s="33">
        <v>0.05</v>
      </c>
      <c r="G35" s="3" t="s">
        <v>521</v>
      </c>
      <c r="H35" s="3" t="s">
        <v>240</v>
      </c>
      <c r="J35" s="12"/>
    </row>
    <row r="36" spans="2:11" ht="15" thickBot="1">
      <c r="B36" s="3" t="s">
        <v>226</v>
      </c>
      <c r="C36" s="5" t="s">
        <v>227</v>
      </c>
      <c r="D36" s="3">
        <v>25</v>
      </c>
      <c r="E36" s="32">
        <v>25</v>
      </c>
      <c r="F36" s="3"/>
      <c r="G36" s="3" t="s">
        <v>355</v>
      </c>
      <c r="H36" s="3" t="s">
        <v>224</v>
      </c>
      <c r="J36" s="12"/>
    </row>
    <row r="37" spans="2:11" ht="15" thickBot="1">
      <c r="B37" s="1" t="s">
        <v>229</v>
      </c>
      <c r="C37" s="2" t="s">
        <v>216</v>
      </c>
      <c r="D37" s="1"/>
      <c r="E37" s="1"/>
      <c r="F37" s="1"/>
      <c r="G37" s="1"/>
      <c r="H37" s="1"/>
    </row>
    <row r="38" spans="2:11" ht="15" thickBot="1">
      <c r="B38" s="3" t="s">
        <v>230</v>
      </c>
      <c r="C38" s="3" t="s">
        <v>231</v>
      </c>
      <c r="D38" s="13">
        <v>131</v>
      </c>
      <c r="E38" s="13">
        <v>107</v>
      </c>
      <c r="F38" s="33">
        <v>0.2</v>
      </c>
      <c r="G38" s="3" t="s">
        <v>522</v>
      </c>
      <c r="H38" s="3" t="s">
        <v>244</v>
      </c>
    </row>
    <row r="39" spans="2:11" ht="15" thickBot="1">
      <c r="B39" s="36" t="s">
        <v>236</v>
      </c>
      <c r="C39" s="3" t="s">
        <v>223</v>
      </c>
      <c r="D39" s="46">
        <v>60</v>
      </c>
      <c r="E39" s="46">
        <v>71</v>
      </c>
      <c r="F39" s="3"/>
      <c r="G39" s="3" t="s">
        <v>305</v>
      </c>
      <c r="H39" s="3"/>
    </row>
    <row r="40" spans="2:11" ht="15" thickBot="1">
      <c r="B40" s="36" t="s">
        <v>237</v>
      </c>
      <c r="C40" s="3" t="s">
        <v>223</v>
      </c>
      <c r="D40" s="46">
        <v>40</v>
      </c>
      <c r="E40" s="46">
        <v>29</v>
      </c>
      <c r="F40" s="3"/>
      <c r="G40" s="3"/>
      <c r="H40" s="3"/>
    </row>
    <row r="41" spans="2:11" ht="15" thickBot="1">
      <c r="B41" s="30" t="s">
        <v>263</v>
      </c>
      <c r="C41" s="3" t="s">
        <v>428</v>
      </c>
      <c r="D41" s="41">
        <v>65</v>
      </c>
      <c r="E41" s="41">
        <v>1068</v>
      </c>
      <c r="F41" s="33">
        <v>0.2</v>
      </c>
      <c r="G41" s="3"/>
      <c r="H41" s="3"/>
    </row>
    <row r="42" spans="2:11" ht="15" thickBot="1">
      <c r="B42" s="3" t="s">
        <v>242</v>
      </c>
      <c r="C42" s="3" t="s">
        <v>309</v>
      </c>
      <c r="D42" s="37">
        <v>2</v>
      </c>
      <c r="E42" s="37">
        <v>0.2</v>
      </c>
      <c r="F42" s="3"/>
      <c r="G42" s="3" t="s">
        <v>151</v>
      </c>
      <c r="H42" s="3" t="s">
        <v>244</v>
      </c>
    </row>
    <row r="43" spans="2:11" ht="15" thickBot="1">
      <c r="B43" s="3" t="s">
        <v>453</v>
      </c>
      <c r="C43" s="3" t="s">
        <v>458</v>
      </c>
      <c r="D43" s="37">
        <v>2</v>
      </c>
      <c r="E43" s="37">
        <v>0.6</v>
      </c>
      <c r="F43" s="3"/>
      <c r="G43" s="3" t="s">
        <v>305</v>
      </c>
      <c r="H43" s="3" t="s">
        <v>244</v>
      </c>
    </row>
  </sheetData>
  <sheetProtection algorithmName="SHA-512" hashValue="nwDBLcfa2dAmeZNufJsD8fHpFC1EqCAf8xdUlq1VdADscHbGuaMqzGOo5OXJXqDGgBTaxJJ/5gYO86J+Dv6KgA==" saltValue="aSjHNoInVjCfcPu1M1moEw==" spinCount="100000" sheet="1" objects="1" scenarios="1"/>
  <mergeCells count="1">
    <mergeCell ref="G2:K3"/>
  </mergeCells>
  <conditionalFormatting sqref="F10 F7 V8:V9 F21 F24 F35 F38 F27:F28 F13:F14 F41:F42">
    <cfRule type="colorScale" priority="1">
      <colorScale>
        <cfvo type="num" val="0"/>
        <cfvo type="num" val="0.5"/>
        <color theme="0"/>
        <color theme="5"/>
      </colorScale>
    </cfRule>
  </conditionalFormatting>
  <conditionalFormatting sqref="V8:V9">
    <cfRule type="colorScale" priority="2">
      <colorScale>
        <cfvo type="min"/>
        <cfvo type="max"/>
        <color theme="0"/>
        <color theme="5"/>
      </colorScale>
    </cfRule>
  </conditionalFormatting>
  <hyperlinks>
    <hyperlink ref="A1" location="Inhalt!A1" display="Zum Inhalt" xr:uid="{E24B4809-95DD-4246-A9BB-FA6181FF8C96}"/>
  </hyperlinks>
  <pageMargins left="0.7" right="0.7" top="0.78740157499999996" bottom="0.78740157499999996" header="0.3" footer="0.3"/>
  <pageSetup paperSize="9" orientation="portrait" verticalDpi="0"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A2B54-2FF3-43C6-A133-B476594D5258}">
  <sheetPr codeName="Tabelle36"/>
  <dimension ref="A1:V43"/>
  <sheetViews>
    <sheetView zoomScaleNormal="100" workbookViewId="0"/>
  </sheetViews>
  <sheetFormatPr baseColWidth="10" defaultColWidth="11.44140625" defaultRowHeight="14.4"/>
  <cols>
    <col min="2" max="2" width="33.5546875" bestFit="1" customWidth="1"/>
    <col min="10" max="10" width="12.6640625" customWidth="1"/>
  </cols>
  <sheetData>
    <row r="1" spans="1:22" ht="28.2" thickBot="1">
      <c r="A1" s="99" t="s">
        <v>143</v>
      </c>
    </row>
    <row r="2" spans="1:22">
      <c r="G2" s="142" t="s">
        <v>212</v>
      </c>
      <c r="H2" s="143"/>
      <c r="I2" s="143"/>
      <c r="J2" s="143"/>
      <c r="K2" s="144"/>
    </row>
    <row r="3" spans="1:22" ht="20.25" customHeight="1" thickBot="1">
      <c r="B3" s="4" t="s">
        <v>213</v>
      </c>
      <c r="C3" s="4" t="s">
        <v>132</v>
      </c>
      <c r="G3" s="145"/>
      <c r="H3" s="146"/>
      <c r="I3" s="146"/>
      <c r="J3" s="146"/>
      <c r="K3" s="147"/>
    </row>
    <row r="4" spans="1:22">
      <c r="B4" s="4" t="s">
        <v>214</v>
      </c>
      <c r="C4" s="4">
        <v>2023</v>
      </c>
    </row>
    <row r="5" spans="1:22" ht="15" thickBot="1">
      <c r="B5" s="1" t="s">
        <v>215</v>
      </c>
      <c r="C5" s="2" t="s">
        <v>216</v>
      </c>
      <c r="D5" s="1"/>
      <c r="E5" s="2"/>
      <c r="F5" s="1" t="s">
        <v>217</v>
      </c>
      <c r="G5" s="1" t="s">
        <v>147</v>
      </c>
      <c r="H5" s="1" t="s">
        <v>148</v>
      </c>
      <c r="J5" s="4" t="s">
        <v>218</v>
      </c>
      <c r="K5" s="12" t="s">
        <v>460</v>
      </c>
    </row>
    <row r="6" spans="1:22" ht="15" thickBot="1">
      <c r="B6" s="3" t="s">
        <v>220</v>
      </c>
      <c r="C6" s="3" t="s">
        <v>443</v>
      </c>
      <c r="D6" s="3">
        <v>0.1</v>
      </c>
      <c r="E6" s="31">
        <v>1</v>
      </c>
      <c r="F6" s="3"/>
      <c r="G6" s="3"/>
      <c r="H6" s="3"/>
      <c r="J6" s="4" t="s">
        <v>214</v>
      </c>
      <c r="K6" s="4">
        <v>2023</v>
      </c>
      <c r="L6" s="4">
        <v>2030</v>
      </c>
      <c r="M6" s="4">
        <v>2040</v>
      </c>
    </row>
    <row r="7" spans="1:22" ht="15" thickBot="1">
      <c r="B7" s="3" t="s">
        <v>528</v>
      </c>
      <c r="C7" s="5" t="s">
        <v>223</v>
      </c>
      <c r="D7" s="13">
        <v>93</v>
      </c>
      <c r="E7" s="26">
        <v>93</v>
      </c>
      <c r="F7" s="33">
        <v>0.05</v>
      </c>
      <c r="G7" s="3" t="s">
        <v>529</v>
      </c>
      <c r="H7" s="3" t="s">
        <v>240</v>
      </c>
      <c r="J7" s="12" t="s">
        <v>225</v>
      </c>
      <c r="K7" s="12">
        <v>149.33000000000001</v>
      </c>
      <c r="L7" s="12">
        <v>149.33000000000001</v>
      </c>
      <c r="M7" s="12">
        <v>149.33000000000001</v>
      </c>
    </row>
    <row r="8" spans="1:22" ht="15" thickBot="1">
      <c r="B8" s="3" t="s">
        <v>226</v>
      </c>
      <c r="C8" s="5" t="s">
        <v>227</v>
      </c>
      <c r="D8" s="3">
        <v>20</v>
      </c>
      <c r="E8" s="32">
        <v>20</v>
      </c>
      <c r="F8" s="33">
        <v>0.25</v>
      </c>
      <c r="G8" s="3" t="s">
        <v>151</v>
      </c>
      <c r="H8" s="3"/>
      <c r="J8" s="12" t="s">
        <v>228</v>
      </c>
      <c r="K8" s="12">
        <v>-8.8999999999999996E-2</v>
      </c>
      <c r="L8" s="12">
        <v>-8.8999999999999996E-2</v>
      </c>
      <c r="M8" s="12">
        <v>-8.8999999999999996E-2</v>
      </c>
      <c r="V8" s="44"/>
    </row>
    <row r="9" spans="1:22" ht="15" thickBot="1">
      <c r="B9" s="1" t="s">
        <v>229</v>
      </c>
      <c r="C9" s="2" t="s">
        <v>216</v>
      </c>
      <c r="D9" s="1"/>
      <c r="E9" s="1"/>
      <c r="F9" s="1"/>
      <c r="G9" s="1"/>
      <c r="H9" s="1"/>
      <c r="V9" s="44"/>
    </row>
    <row r="10" spans="1:22" ht="15" thickBot="1">
      <c r="B10" s="3" t="s">
        <v>230</v>
      </c>
      <c r="C10" s="3" t="s">
        <v>231</v>
      </c>
      <c r="D10" s="13">
        <v>183</v>
      </c>
      <c r="E10" s="13">
        <v>149</v>
      </c>
      <c r="F10" s="33">
        <v>0.1</v>
      </c>
      <c r="G10" s="3" t="s">
        <v>395</v>
      </c>
      <c r="H10" s="3" t="s">
        <v>244</v>
      </c>
      <c r="J10" s="4" t="s">
        <v>234</v>
      </c>
      <c r="K10" s="12" t="s">
        <v>306</v>
      </c>
    </row>
    <row r="11" spans="1:22" ht="15" thickBot="1">
      <c r="B11" s="36" t="s">
        <v>236</v>
      </c>
      <c r="C11" s="3" t="s">
        <v>223</v>
      </c>
      <c r="D11" s="3">
        <v>70</v>
      </c>
      <c r="E11" s="3">
        <v>70</v>
      </c>
      <c r="F11" s="3"/>
      <c r="G11" s="3" t="s">
        <v>305</v>
      </c>
      <c r="H11" s="3"/>
    </row>
    <row r="12" spans="1:22" ht="15" thickBot="1">
      <c r="B12" s="36" t="s">
        <v>237</v>
      </c>
      <c r="C12" s="3" t="s">
        <v>223</v>
      </c>
      <c r="D12" s="3">
        <v>30</v>
      </c>
      <c r="E12" s="3">
        <v>30</v>
      </c>
      <c r="F12" s="3"/>
      <c r="G12" s="3" t="s">
        <v>305</v>
      </c>
      <c r="H12" s="3"/>
      <c r="J12" s="4" t="s">
        <v>148</v>
      </c>
    </row>
    <row r="13" spans="1:22" ht="15" thickBot="1">
      <c r="B13" s="30" t="s">
        <v>263</v>
      </c>
      <c r="C13" s="3" t="s">
        <v>428</v>
      </c>
      <c r="D13" s="41">
        <v>18</v>
      </c>
      <c r="E13" s="41">
        <v>149</v>
      </c>
      <c r="F13" s="33">
        <v>0.1</v>
      </c>
      <c r="G13" s="3"/>
      <c r="H13" s="3"/>
      <c r="J13" s="12" t="s">
        <v>240</v>
      </c>
      <c r="K13" s="12" t="s">
        <v>530</v>
      </c>
    </row>
    <row r="14" spans="1:22" ht="15" thickBot="1">
      <c r="B14" s="3" t="s">
        <v>242</v>
      </c>
      <c r="C14" s="3" t="s">
        <v>309</v>
      </c>
      <c r="D14" s="37">
        <v>7.4</v>
      </c>
      <c r="E14" s="37">
        <v>1.1000000000000001</v>
      </c>
      <c r="F14" s="3"/>
      <c r="G14" s="3" t="s">
        <v>305</v>
      </c>
      <c r="H14" s="3" t="s">
        <v>244</v>
      </c>
      <c r="J14" s="12" t="s">
        <v>244</v>
      </c>
      <c r="K14" s="12" t="s">
        <v>524</v>
      </c>
    </row>
    <row r="15" spans="1:22" ht="15" thickBot="1">
      <c r="B15" s="3" t="s">
        <v>453</v>
      </c>
      <c r="C15" s="3" t="s">
        <v>458</v>
      </c>
      <c r="D15" s="37">
        <v>2.9</v>
      </c>
      <c r="E15" s="37">
        <v>2</v>
      </c>
      <c r="F15" s="3"/>
      <c r="G15" s="3" t="s">
        <v>361</v>
      </c>
      <c r="H15" s="3" t="s">
        <v>244</v>
      </c>
      <c r="J15" s="12"/>
      <c r="K15" s="12"/>
    </row>
    <row r="16" spans="1:22">
      <c r="J16" s="12"/>
    </row>
    <row r="17" spans="2:11">
      <c r="J17" s="4" t="s">
        <v>147</v>
      </c>
    </row>
    <row r="18" spans="2:11">
      <c r="B18" s="4" t="s">
        <v>214</v>
      </c>
      <c r="C18" s="4">
        <v>2030</v>
      </c>
      <c r="J18" s="12" t="s">
        <v>151</v>
      </c>
      <c r="K18" s="12" t="s">
        <v>185</v>
      </c>
    </row>
    <row r="19" spans="2:11" ht="15" thickBot="1">
      <c r="B19" s="1" t="s">
        <v>215</v>
      </c>
      <c r="C19" s="2" t="s">
        <v>216</v>
      </c>
      <c r="D19" s="1"/>
      <c r="E19" s="2"/>
      <c r="F19" s="1" t="s">
        <v>217</v>
      </c>
      <c r="G19" s="1" t="s">
        <v>147</v>
      </c>
      <c r="H19" s="1" t="s">
        <v>148</v>
      </c>
      <c r="J19" s="12" t="s">
        <v>184</v>
      </c>
      <c r="K19" s="12" t="s">
        <v>454</v>
      </c>
    </row>
    <row r="20" spans="2:11" ht="15" thickBot="1">
      <c r="B20" s="3" t="s">
        <v>220</v>
      </c>
      <c r="C20" s="3" t="s">
        <v>443</v>
      </c>
      <c r="D20" s="3">
        <v>0.1</v>
      </c>
      <c r="E20" s="31">
        <v>1</v>
      </c>
      <c r="F20" s="3"/>
      <c r="G20" s="3"/>
      <c r="H20" s="3"/>
      <c r="J20" s="12" t="s">
        <v>186</v>
      </c>
      <c r="K20" s="12" t="s">
        <v>413</v>
      </c>
    </row>
    <row r="21" spans="2:11" ht="15" thickBot="1">
      <c r="B21" s="3" t="s">
        <v>528</v>
      </c>
      <c r="C21" s="5" t="s">
        <v>223</v>
      </c>
      <c r="D21" s="13">
        <v>93</v>
      </c>
      <c r="E21" s="26">
        <v>93</v>
      </c>
      <c r="F21" s="33">
        <v>0.05</v>
      </c>
      <c r="G21" s="3" t="s">
        <v>529</v>
      </c>
      <c r="H21" s="3" t="s">
        <v>240</v>
      </c>
      <c r="J21" s="12" t="s">
        <v>188</v>
      </c>
      <c r="K21" s="12" t="s">
        <v>531</v>
      </c>
    </row>
    <row r="22" spans="2:11" ht="15" thickBot="1">
      <c r="B22" s="3" t="s">
        <v>226</v>
      </c>
      <c r="C22" s="5" t="s">
        <v>227</v>
      </c>
      <c r="D22" s="3">
        <v>20</v>
      </c>
      <c r="E22" s="32">
        <v>20</v>
      </c>
      <c r="F22" s="3"/>
      <c r="G22" s="3" t="s">
        <v>151</v>
      </c>
      <c r="H22" s="3"/>
      <c r="J22" s="12" t="s">
        <v>192</v>
      </c>
      <c r="K22" s="12" t="s">
        <v>532</v>
      </c>
    </row>
    <row r="23" spans="2:11" ht="15" thickBot="1">
      <c r="B23" s="1" t="s">
        <v>229</v>
      </c>
      <c r="C23" s="2" t="s">
        <v>216</v>
      </c>
      <c r="D23" s="1"/>
      <c r="E23" s="1"/>
      <c r="F23" s="1"/>
      <c r="G23" s="1"/>
      <c r="H23" s="1"/>
      <c r="J23" s="12" t="s">
        <v>172</v>
      </c>
      <c r="K23" s="12" t="s">
        <v>533</v>
      </c>
    </row>
    <row r="24" spans="2:11" ht="15" thickBot="1">
      <c r="B24" s="3" t="s">
        <v>230</v>
      </c>
      <c r="C24" s="3" t="s">
        <v>231</v>
      </c>
      <c r="D24" s="13">
        <v>183</v>
      </c>
      <c r="E24" s="13">
        <v>149</v>
      </c>
      <c r="F24" s="33">
        <v>0.15</v>
      </c>
      <c r="G24" s="3" t="s">
        <v>395</v>
      </c>
      <c r="H24" s="3" t="s">
        <v>244</v>
      </c>
      <c r="J24" s="12" t="s">
        <v>179</v>
      </c>
      <c r="K24" s="12" t="s">
        <v>534</v>
      </c>
    </row>
    <row r="25" spans="2:11" ht="15" thickBot="1">
      <c r="B25" s="36" t="s">
        <v>236</v>
      </c>
      <c r="C25" s="3" t="s">
        <v>223</v>
      </c>
      <c r="D25" s="3">
        <v>70</v>
      </c>
      <c r="E25" s="3">
        <v>70</v>
      </c>
      <c r="F25" s="3"/>
      <c r="G25" s="3" t="s">
        <v>305</v>
      </c>
      <c r="H25" s="3"/>
      <c r="J25" s="12" t="s">
        <v>196</v>
      </c>
      <c r="K25" s="12" t="s">
        <v>535</v>
      </c>
    </row>
    <row r="26" spans="2:11" ht="15" thickBot="1">
      <c r="B26" s="36" t="s">
        <v>237</v>
      </c>
      <c r="C26" s="3" t="s">
        <v>223</v>
      </c>
      <c r="D26" s="3">
        <v>30</v>
      </c>
      <c r="E26" s="3">
        <v>30</v>
      </c>
      <c r="F26" s="3"/>
      <c r="G26" s="3" t="s">
        <v>305</v>
      </c>
      <c r="H26" s="3"/>
      <c r="J26" s="12" t="s">
        <v>198</v>
      </c>
      <c r="K26" s="12" t="s">
        <v>265</v>
      </c>
    </row>
    <row r="27" spans="2:11" ht="15" thickBot="1">
      <c r="B27" s="30" t="s">
        <v>263</v>
      </c>
      <c r="C27" s="3" t="s">
        <v>428</v>
      </c>
      <c r="D27" s="41">
        <v>18</v>
      </c>
      <c r="E27" s="41">
        <v>149</v>
      </c>
      <c r="F27" s="33">
        <v>0.15</v>
      </c>
      <c r="G27" s="3"/>
      <c r="H27" s="3"/>
      <c r="J27" s="12"/>
    </row>
    <row r="28" spans="2:11" ht="15" thickBot="1">
      <c r="B28" s="3" t="s">
        <v>242</v>
      </c>
      <c r="C28" s="3" t="s">
        <v>309</v>
      </c>
      <c r="D28" s="37">
        <v>6.5</v>
      </c>
      <c r="E28" s="37">
        <v>1</v>
      </c>
      <c r="F28" s="3"/>
      <c r="G28" s="3" t="s">
        <v>305</v>
      </c>
      <c r="H28" s="3" t="s">
        <v>244</v>
      </c>
      <c r="J28" s="12"/>
    </row>
    <row r="29" spans="2:11" ht="15" thickBot="1">
      <c r="B29" s="3" t="s">
        <v>453</v>
      </c>
      <c r="C29" s="3" t="s">
        <v>458</v>
      </c>
      <c r="D29" s="37">
        <v>2.9</v>
      </c>
      <c r="E29" s="37">
        <v>2</v>
      </c>
      <c r="F29" s="3"/>
      <c r="G29" s="3" t="s">
        <v>361</v>
      </c>
      <c r="H29" s="3" t="s">
        <v>244</v>
      </c>
      <c r="J29" s="12"/>
    </row>
    <row r="30" spans="2:11">
      <c r="J30" s="12"/>
    </row>
    <row r="31" spans="2:11">
      <c r="J31" s="12"/>
    </row>
    <row r="32" spans="2:11">
      <c r="B32" s="4" t="s">
        <v>214</v>
      </c>
      <c r="C32" s="4">
        <v>2040</v>
      </c>
      <c r="J32" s="12"/>
    </row>
    <row r="33" spans="2:11" ht="15" thickBot="1">
      <c r="B33" s="1" t="s">
        <v>215</v>
      </c>
      <c r="C33" s="2" t="s">
        <v>216</v>
      </c>
      <c r="D33" s="1"/>
      <c r="E33" s="2"/>
      <c r="F33" s="1" t="s">
        <v>217</v>
      </c>
      <c r="G33" s="1" t="s">
        <v>147</v>
      </c>
      <c r="H33" s="1" t="s">
        <v>148</v>
      </c>
    </row>
    <row r="34" spans="2:11" ht="15" thickBot="1">
      <c r="B34" s="3" t="s">
        <v>220</v>
      </c>
      <c r="C34" s="3" t="s">
        <v>443</v>
      </c>
      <c r="D34" s="3">
        <v>0.1</v>
      </c>
      <c r="E34" s="31">
        <v>1</v>
      </c>
      <c r="F34" s="3"/>
      <c r="G34" s="3"/>
      <c r="H34" s="3"/>
      <c r="J34" s="4"/>
      <c r="K34" s="12"/>
    </row>
    <row r="35" spans="2:11" ht="15" thickBot="1">
      <c r="B35" s="3" t="s">
        <v>528</v>
      </c>
      <c r="C35" s="5" t="s">
        <v>223</v>
      </c>
      <c r="D35" s="13">
        <v>97</v>
      </c>
      <c r="E35" s="26">
        <v>97</v>
      </c>
      <c r="F35" s="33">
        <v>0.05</v>
      </c>
      <c r="G35" s="3" t="s">
        <v>529</v>
      </c>
      <c r="H35" s="3" t="s">
        <v>240</v>
      </c>
      <c r="J35" s="12"/>
    </row>
    <row r="36" spans="2:11" ht="15" thickBot="1">
      <c r="B36" s="3" t="s">
        <v>226</v>
      </c>
      <c r="C36" s="5" t="s">
        <v>227</v>
      </c>
      <c r="D36" s="3">
        <v>20</v>
      </c>
      <c r="E36" s="32">
        <v>20</v>
      </c>
      <c r="F36" s="3"/>
      <c r="G36" s="3" t="s">
        <v>151</v>
      </c>
      <c r="H36" s="3"/>
      <c r="J36" s="12"/>
    </row>
    <row r="37" spans="2:11" ht="15" thickBot="1">
      <c r="B37" s="1" t="s">
        <v>229</v>
      </c>
      <c r="C37" s="2" t="s">
        <v>216</v>
      </c>
      <c r="D37" s="1"/>
      <c r="E37" s="1"/>
      <c r="F37" s="1"/>
      <c r="G37" s="1"/>
      <c r="H37" s="1"/>
    </row>
    <row r="38" spans="2:11" ht="15" thickBot="1">
      <c r="B38" s="3" t="s">
        <v>230</v>
      </c>
      <c r="C38" s="3" t="s">
        <v>231</v>
      </c>
      <c r="D38" s="13">
        <v>183</v>
      </c>
      <c r="E38" s="13">
        <v>149</v>
      </c>
      <c r="F38" s="33">
        <v>0.2</v>
      </c>
      <c r="G38" s="3" t="s">
        <v>395</v>
      </c>
      <c r="H38" s="3" t="s">
        <v>244</v>
      </c>
    </row>
    <row r="39" spans="2:11" ht="15" thickBot="1">
      <c r="B39" s="36" t="s">
        <v>236</v>
      </c>
      <c r="C39" s="3" t="s">
        <v>223</v>
      </c>
      <c r="D39" s="3">
        <v>70</v>
      </c>
      <c r="E39" s="3">
        <v>70</v>
      </c>
      <c r="F39" s="3"/>
      <c r="G39" s="3" t="s">
        <v>305</v>
      </c>
      <c r="H39" s="3"/>
    </row>
    <row r="40" spans="2:11" ht="15" thickBot="1">
      <c r="B40" s="36" t="s">
        <v>237</v>
      </c>
      <c r="C40" s="3" t="s">
        <v>223</v>
      </c>
      <c r="D40" s="3">
        <v>30</v>
      </c>
      <c r="E40" s="3">
        <v>30</v>
      </c>
      <c r="F40" s="3"/>
      <c r="G40" s="3" t="s">
        <v>305</v>
      </c>
      <c r="H40" s="3"/>
    </row>
    <row r="41" spans="2:11" ht="15" thickBot="1">
      <c r="B41" s="30" t="s">
        <v>263</v>
      </c>
      <c r="C41" s="3" t="s">
        <v>428</v>
      </c>
      <c r="D41" s="41">
        <v>18</v>
      </c>
      <c r="E41" s="41">
        <v>149</v>
      </c>
      <c r="F41" s="33">
        <v>0.2</v>
      </c>
      <c r="G41" s="3"/>
      <c r="H41" s="3"/>
    </row>
    <row r="42" spans="2:11" ht="15" thickBot="1">
      <c r="B42" s="3" t="s">
        <v>242</v>
      </c>
      <c r="C42" s="3" t="s">
        <v>309</v>
      </c>
      <c r="D42" s="37">
        <v>4.9000000000000004</v>
      </c>
      <c r="E42" s="37">
        <v>0.9</v>
      </c>
      <c r="F42" s="3"/>
      <c r="G42" s="3" t="s">
        <v>305</v>
      </c>
      <c r="H42" s="3" t="s">
        <v>244</v>
      </c>
    </row>
    <row r="43" spans="2:11" ht="15" thickBot="1">
      <c r="B43" s="3" t="s">
        <v>453</v>
      </c>
      <c r="C43" s="3" t="s">
        <v>458</v>
      </c>
      <c r="D43" s="37">
        <v>3.7</v>
      </c>
      <c r="E43" s="37">
        <v>1.9</v>
      </c>
      <c r="F43" s="3"/>
      <c r="G43" s="3" t="s">
        <v>361</v>
      </c>
      <c r="H43" s="3" t="s">
        <v>244</v>
      </c>
    </row>
  </sheetData>
  <sheetProtection algorithmName="SHA-512" hashValue="xkcNYhW430TFh30N2yX0ri7o5MD3EYQRw+UnkSLicTW5A6HJBICLvnr9dMTYIXvdzUfDQh1ZOVJ5jU+GYOXqAA==" saltValue="glxyzj3w7eKcf5ivzSVJaA==" spinCount="100000" sheet="1" objects="1" scenarios="1"/>
  <mergeCells count="1">
    <mergeCell ref="G2:K3"/>
  </mergeCells>
  <conditionalFormatting sqref="V8:V9 F10 F21 F24 F35 F38 F7:F8 F13:F14 F27:F28 F41:F42">
    <cfRule type="colorScale" priority="1">
      <colorScale>
        <cfvo type="num" val="0"/>
        <cfvo type="num" val="0.5"/>
        <color theme="0"/>
        <color theme="5"/>
      </colorScale>
    </cfRule>
  </conditionalFormatting>
  <conditionalFormatting sqref="V8:V9">
    <cfRule type="colorScale" priority="2">
      <colorScale>
        <cfvo type="min"/>
        <cfvo type="max"/>
        <color theme="0"/>
        <color theme="5"/>
      </colorScale>
    </cfRule>
  </conditionalFormatting>
  <hyperlinks>
    <hyperlink ref="A1" location="Inhalt!A1" display="Zum Inhalt" xr:uid="{1BB1C4E2-FFD3-4E99-A45A-88BD3B09A322}"/>
  </hyperlinks>
  <pageMargins left="0.7" right="0.7" top="0.78740157499999996" bottom="0.78740157499999996" header="0.3" footer="0.3"/>
  <pageSetup paperSize="9" orientation="portrait" verticalDpi="0"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3887-D68C-4758-999D-030113917C18}">
  <sheetPr codeName="Tabelle37"/>
  <dimension ref="A1:U46"/>
  <sheetViews>
    <sheetView zoomScaleNormal="100" workbookViewId="0"/>
  </sheetViews>
  <sheetFormatPr baseColWidth="10" defaultColWidth="11.44140625" defaultRowHeight="14.4"/>
  <cols>
    <col min="2" max="2" width="28.33203125" bestFit="1" customWidth="1"/>
    <col min="4" max="4" width="11.6640625" bestFit="1" customWidth="1"/>
    <col min="6" max="6" width="9.33203125" customWidth="1"/>
    <col min="9" max="9" width="12.6640625" customWidth="1"/>
  </cols>
  <sheetData>
    <row r="1" spans="1:21" ht="28.2" thickBot="1">
      <c r="A1" s="99" t="s">
        <v>143</v>
      </c>
    </row>
    <row r="2" spans="1:21">
      <c r="E2" s="142" t="s">
        <v>212</v>
      </c>
      <c r="F2" s="143"/>
      <c r="G2" s="143"/>
      <c r="H2" s="143"/>
      <c r="I2" s="144"/>
    </row>
    <row r="3" spans="1:21" ht="21" customHeight="1" thickBot="1">
      <c r="B3" s="4" t="s">
        <v>213</v>
      </c>
      <c r="C3" s="4" t="s">
        <v>134</v>
      </c>
      <c r="E3" s="145"/>
      <c r="F3" s="146"/>
      <c r="G3" s="146"/>
      <c r="H3" s="146"/>
      <c r="I3" s="147"/>
    </row>
    <row r="4" spans="1:21">
      <c r="B4" s="4" t="s">
        <v>214</v>
      </c>
      <c r="C4" s="4">
        <v>2023</v>
      </c>
    </row>
    <row r="5" spans="1:21" ht="15" thickBot="1">
      <c r="B5" s="1" t="s">
        <v>215</v>
      </c>
      <c r="C5" s="2" t="s">
        <v>216</v>
      </c>
      <c r="D5" s="1"/>
      <c r="E5" s="1" t="s">
        <v>217</v>
      </c>
      <c r="F5" s="1" t="s">
        <v>147</v>
      </c>
      <c r="G5" s="1" t="s">
        <v>148</v>
      </c>
      <c r="I5" s="4" t="s">
        <v>218</v>
      </c>
      <c r="J5" s="12" t="s">
        <v>442</v>
      </c>
    </row>
    <row r="6" spans="1:21" ht="15" thickBot="1">
      <c r="B6" s="3" t="s">
        <v>220</v>
      </c>
      <c r="C6" s="30" t="s">
        <v>443</v>
      </c>
      <c r="D6" s="3">
        <v>37</v>
      </c>
      <c r="E6" s="3"/>
      <c r="F6" s="3" t="s">
        <v>151</v>
      </c>
      <c r="G6" s="3"/>
    </row>
    <row r="7" spans="1:21" ht="15" thickBot="1">
      <c r="B7" s="3" t="s">
        <v>536</v>
      </c>
      <c r="C7" s="30" t="s">
        <v>537</v>
      </c>
      <c r="D7" s="3">
        <v>11.88</v>
      </c>
      <c r="E7" s="3"/>
      <c r="F7" s="3" t="s">
        <v>151</v>
      </c>
      <c r="G7" s="3"/>
      <c r="I7" s="4" t="s">
        <v>234</v>
      </c>
      <c r="J7" s="12" t="s">
        <v>306</v>
      </c>
    </row>
    <row r="8" spans="1:21" ht="15" thickBot="1">
      <c r="B8" s="3" t="s">
        <v>520</v>
      </c>
      <c r="C8" s="5" t="s">
        <v>223</v>
      </c>
      <c r="D8" s="33">
        <v>1.06</v>
      </c>
      <c r="E8" s="33"/>
      <c r="F8" s="3" t="s">
        <v>151</v>
      </c>
      <c r="G8" s="3"/>
      <c r="U8" s="44"/>
    </row>
    <row r="9" spans="1:21" ht="15" thickBot="1">
      <c r="B9" s="3" t="s">
        <v>226</v>
      </c>
      <c r="C9" s="5" t="s">
        <v>227</v>
      </c>
      <c r="D9" s="3">
        <v>25</v>
      </c>
      <c r="E9" s="3"/>
      <c r="F9" s="3" t="s">
        <v>151</v>
      </c>
      <c r="G9" s="3"/>
      <c r="I9" s="4" t="s">
        <v>147</v>
      </c>
      <c r="U9" s="44"/>
    </row>
    <row r="10" spans="1:21" ht="15" thickBot="1">
      <c r="B10" s="1" t="s">
        <v>229</v>
      </c>
      <c r="C10" s="2" t="s">
        <v>216</v>
      </c>
      <c r="D10" s="1"/>
      <c r="E10" s="1"/>
      <c r="F10" s="1"/>
      <c r="G10" s="1"/>
      <c r="I10" s="12" t="s">
        <v>151</v>
      </c>
      <c r="J10" s="12" t="s">
        <v>454</v>
      </c>
    </row>
    <row r="11" spans="1:21" ht="15" thickBot="1">
      <c r="B11" s="3" t="s">
        <v>230</v>
      </c>
      <c r="C11" s="3" t="s">
        <v>231</v>
      </c>
      <c r="D11" s="41">
        <v>2788</v>
      </c>
      <c r="E11" s="33">
        <v>0.1</v>
      </c>
      <c r="F11" s="3" t="s">
        <v>151</v>
      </c>
      <c r="G11" s="3"/>
      <c r="I11" s="12"/>
    </row>
    <row r="12" spans="1:21" ht="15" thickBot="1">
      <c r="B12" s="36" t="s">
        <v>236</v>
      </c>
      <c r="C12" s="3" t="s">
        <v>223</v>
      </c>
      <c r="D12" s="46">
        <v>57</v>
      </c>
      <c r="E12" s="3"/>
      <c r="F12" s="3" t="s">
        <v>151</v>
      </c>
      <c r="G12" s="3"/>
      <c r="I12" s="12"/>
    </row>
    <row r="13" spans="1:21" ht="15" thickBot="1">
      <c r="B13" s="36" t="s">
        <v>237</v>
      </c>
      <c r="C13" s="3" t="s">
        <v>223</v>
      </c>
      <c r="D13" s="13">
        <v>43</v>
      </c>
      <c r="E13" s="3"/>
      <c r="F13" s="3" t="s">
        <v>151</v>
      </c>
      <c r="G13" s="3"/>
      <c r="I13" s="12"/>
    </row>
    <row r="14" spans="1:21" ht="15" thickBot="1">
      <c r="B14" s="30" t="s">
        <v>263</v>
      </c>
      <c r="C14" s="3" t="s">
        <v>428</v>
      </c>
      <c r="D14" s="41">
        <v>103156</v>
      </c>
      <c r="E14" s="33">
        <v>0.1</v>
      </c>
      <c r="F14" s="3" t="s">
        <v>151</v>
      </c>
      <c r="G14" s="3"/>
      <c r="I14" s="12"/>
    </row>
    <row r="15" spans="1:21" ht="15" thickBot="1">
      <c r="B15" s="3" t="s">
        <v>242</v>
      </c>
      <c r="C15" s="3" t="s">
        <v>517</v>
      </c>
      <c r="D15" s="41">
        <v>124979</v>
      </c>
      <c r="E15" s="33">
        <v>0.15</v>
      </c>
      <c r="F15" s="3" t="s">
        <v>151</v>
      </c>
      <c r="G15" s="3"/>
    </row>
    <row r="16" spans="1:21" ht="15" thickBot="1">
      <c r="B16" s="3" t="s">
        <v>453</v>
      </c>
      <c r="C16" s="3" t="s">
        <v>458</v>
      </c>
      <c r="D16" s="42">
        <v>9</v>
      </c>
      <c r="E16" s="33">
        <v>0.05</v>
      </c>
      <c r="F16" s="3" t="s">
        <v>151</v>
      </c>
      <c r="G16" s="3"/>
    </row>
    <row r="17" spans="2:10">
      <c r="I17" s="4"/>
      <c r="J17" s="12"/>
    </row>
    <row r="18" spans="2:10">
      <c r="I18" s="12"/>
    </row>
    <row r="19" spans="2:10">
      <c r="B19" s="4" t="s">
        <v>214</v>
      </c>
      <c r="C19" s="4">
        <v>2030</v>
      </c>
      <c r="I19" s="12"/>
    </row>
    <row r="20" spans="2:10" ht="15" thickBot="1">
      <c r="B20" s="1" t="s">
        <v>215</v>
      </c>
      <c r="C20" s="2" t="s">
        <v>216</v>
      </c>
      <c r="D20" s="1"/>
      <c r="E20" s="1" t="s">
        <v>217</v>
      </c>
      <c r="F20" s="1" t="s">
        <v>147</v>
      </c>
      <c r="G20" s="1" t="s">
        <v>148</v>
      </c>
    </row>
    <row r="21" spans="2:10" ht="15" thickBot="1">
      <c r="B21" s="3" t="s">
        <v>220</v>
      </c>
      <c r="C21" s="30" t="s">
        <v>443</v>
      </c>
      <c r="D21" s="3">
        <v>37</v>
      </c>
      <c r="E21" s="3"/>
      <c r="F21" s="3" t="s">
        <v>151</v>
      </c>
      <c r="G21" s="3"/>
    </row>
    <row r="22" spans="2:10" ht="15" thickBot="1">
      <c r="B22" s="3" t="s">
        <v>536</v>
      </c>
      <c r="C22" s="30" t="s">
        <v>537</v>
      </c>
      <c r="D22" s="3">
        <v>11.88</v>
      </c>
      <c r="E22" s="3"/>
      <c r="F22" s="3" t="s">
        <v>151</v>
      </c>
      <c r="G22" s="3"/>
    </row>
    <row r="23" spans="2:10" ht="15" thickBot="1">
      <c r="B23" s="3" t="s">
        <v>520</v>
      </c>
      <c r="C23" s="5" t="s">
        <v>223</v>
      </c>
      <c r="D23" s="33">
        <v>1.06</v>
      </c>
      <c r="E23" s="3"/>
      <c r="F23" s="3" t="s">
        <v>151</v>
      </c>
      <c r="G23" s="3"/>
      <c r="I23" s="12"/>
    </row>
    <row r="24" spans="2:10" ht="15" thickBot="1">
      <c r="B24" s="3" t="s">
        <v>226</v>
      </c>
      <c r="C24" s="5" t="s">
        <v>227</v>
      </c>
      <c r="D24" s="3">
        <v>25</v>
      </c>
      <c r="E24" s="3"/>
      <c r="F24" s="3" t="s">
        <v>151</v>
      </c>
      <c r="G24" s="3"/>
      <c r="I24" s="12"/>
    </row>
    <row r="25" spans="2:10" ht="15" thickBot="1">
      <c r="B25" s="1" t="s">
        <v>229</v>
      </c>
      <c r="C25" s="2" t="s">
        <v>216</v>
      </c>
      <c r="D25" s="1"/>
      <c r="E25" s="1"/>
      <c r="F25" s="1"/>
      <c r="G25" s="1"/>
      <c r="I25" s="12"/>
    </row>
    <row r="26" spans="2:10" ht="15" thickBot="1">
      <c r="B26" s="3" t="s">
        <v>230</v>
      </c>
      <c r="C26" s="3" t="s">
        <v>231</v>
      </c>
      <c r="D26" s="41">
        <v>2740</v>
      </c>
      <c r="E26" s="33">
        <v>0.15</v>
      </c>
      <c r="F26" s="3" t="s">
        <v>151</v>
      </c>
      <c r="G26" s="3"/>
      <c r="I26" s="12"/>
    </row>
    <row r="27" spans="2:10" ht="15" thickBot="1">
      <c r="B27" s="36" t="s">
        <v>236</v>
      </c>
      <c r="C27" s="3" t="s">
        <v>223</v>
      </c>
      <c r="D27" s="46">
        <v>58</v>
      </c>
      <c r="E27" s="3"/>
      <c r="F27" s="3" t="s">
        <v>151</v>
      </c>
      <c r="G27" s="3"/>
      <c r="I27" s="12"/>
    </row>
    <row r="28" spans="2:10" ht="15" thickBot="1">
      <c r="B28" s="36" t="s">
        <v>237</v>
      </c>
      <c r="C28" s="3" t="s">
        <v>223</v>
      </c>
      <c r="D28" s="13">
        <v>42</v>
      </c>
      <c r="E28" s="3"/>
      <c r="F28" s="3" t="s">
        <v>151</v>
      </c>
      <c r="G28" s="3"/>
      <c r="I28" s="12"/>
    </row>
    <row r="29" spans="2:10" ht="15" thickBot="1">
      <c r="B29" s="30" t="s">
        <v>263</v>
      </c>
      <c r="C29" s="3" t="s">
        <v>428</v>
      </c>
      <c r="D29" s="41">
        <v>101378</v>
      </c>
      <c r="E29" s="33">
        <v>0.15</v>
      </c>
      <c r="F29" s="3" t="s">
        <v>151</v>
      </c>
      <c r="G29" s="3"/>
      <c r="I29" s="12"/>
    </row>
    <row r="30" spans="2:10" ht="15" thickBot="1">
      <c r="B30" s="3" t="s">
        <v>242</v>
      </c>
      <c r="C30" s="3" t="s">
        <v>517</v>
      </c>
      <c r="D30" s="41">
        <v>118410</v>
      </c>
      <c r="E30" s="33">
        <v>0.15</v>
      </c>
      <c r="F30" s="3" t="s">
        <v>151</v>
      </c>
      <c r="G30" s="3"/>
    </row>
    <row r="31" spans="2:10" ht="15" thickBot="1">
      <c r="B31" s="3" t="s">
        <v>453</v>
      </c>
      <c r="C31" s="3" t="s">
        <v>458</v>
      </c>
      <c r="D31" s="42">
        <v>8.9</v>
      </c>
      <c r="E31" s="33">
        <v>0.05</v>
      </c>
      <c r="F31" s="3" t="s">
        <v>151</v>
      </c>
      <c r="G31" s="3"/>
      <c r="I31" s="4"/>
      <c r="J31" s="12"/>
    </row>
    <row r="32" spans="2:10">
      <c r="I32" s="12"/>
    </row>
    <row r="33" spans="2:9">
      <c r="I33" s="12"/>
    </row>
    <row r="34" spans="2:9">
      <c r="B34" s="4" t="s">
        <v>214</v>
      </c>
      <c r="C34" s="4">
        <v>2040</v>
      </c>
    </row>
    <row r="35" spans="2:9" ht="15" thickBot="1">
      <c r="B35" s="1" t="s">
        <v>215</v>
      </c>
      <c r="C35" s="2" t="s">
        <v>216</v>
      </c>
      <c r="D35" s="1"/>
      <c r="E35" s="1" t="s">
        <v>217</v>
      </c>
      <c r="F35" s="1" t="s">
        <v>147</v>
      </c>
      <c r="G35" s="1" t="s">
        <v>148</v>
      </c>
    </row>
    <row r="36" spans="2:9" ht="15" thickBot="1">
      <c r="B36" s="3" t="s">
        <v>220</v>
      </c>
      <c r="C36" s="30" t="s">
        <v>443</v>
      </c>
      <c r="D36" s="3">
        <v>37</v>
      </c>
      <c r="E36" s="3"/>
      <c r="F36" s="3" t="s">
        <v>151</v>
      </c>
      <c r="G36" s="3"/>
    </row>
    <row r="37" spans="2:9" ht="15" thickBot="1">
      <c r="B37" s="3" t="s">
        <v>536</v>
      </c>
      <c r="C37" s="30" t="s">
        <v>537</v>
      </c>
      <c r="D37" s="3">
        <v>11.88</v>
      </c>
      <c r="E37" s="3"/>
      <c r="F37" s="3" t="s">
        <v>151</v>
      </c>
      <c r="G37" s="3"/>
    </row>
    <row r="38" spans="2:9" ht="15" thickBot="1">
      <c r="B38" s="3" t="s">
        <v>520</v>
      </c>
      <c r="C38" s="5" t="s">
        <v>223</v>
      </c>
      <c r="D38" s="33">
        <v>1.06</v>
      </c>
      <c r="E38" s="3"/>
      <c r="F38" s="3" t="s">
        <v>151</v>
      </c>
      <c r="G38" s="3"/>
    </row>
    <row r="39" spans="2:9" ht="15" thickBot="1">
      <c r="B39" s="3" t="s">
        <v>226</v>
      </c>
      <c r="C39" s="5" t="s">
        <v>227</v>
      </c>
      <c r="D39" s="3">
        <v>25</v>
      </c>
      <c r="E39" s="3"/>
      <c r="F39" s="3" t="s">
        <v>151</v>
      </c>
      <c r="G39" s="3"/>
    </row>
    <row r="40" spans="2:9" ht="15" thickBot="1">
      <c r="B40" s="1" t="s">
        <v>229</v>
      </c>
      <c r="C40" s="2" t="s">
        <v>216</v>
      </c>
      <c r="D40" s="1"/>
      <c r="E40" s="1"/>
      <c r="F40" s="1"/>
      <c r="G40" s="1"/>
    </row>
    <row r="41" spans="2:9" ht="15" thickBot="1">
      <c r="B41" s="3" t="s">
        <v>230</v>
      </c>
      <c r="C41" s="3" t="s">
        <v>231</v>
      </c>
      <c r="D41" s="41">
        <v>2604</v>
      </c>
      <c r="E41" s="33">
        <v>0.2</v>
      </c>
      <c r="F41" s="3" t="s">
        <v>151</v>
      </c>
      <c r="G41" s="3"/>
    </row>
    <row r="42" spans="2:9" ht="15" thickBot="1">
      <c r="B42" s="36" t="s">
        <v>236</v>
      </c>
      <c r="C42" s="3" t="s">
        <v>223</v>
      </c>
      <c r="D42" s="46">
        <v>59</v>
      </c>
      <c r="E42" s="3"/>
      <c r="F42" s="3" t="s">
        <v>151</v>
      </c>
      <c r="G42" s="3"/>
    </row>
    <row r="43" spans="2:9" ht="15" thickBot="1">
      <c r="B43" s="36" t="s">
        <v>237</v>
      </c>
      <c r="C43" s="3" t="s">
        <v>223</v>
      </c>
      <c r="D43" s="13">
        <v>41</v>
      </c>
      <c r="E43" s="3"/>
      <c r="F43" s="3" t="s">
        <v>151</v>
      </c>
      <c r="G43" s="3"/>
    </row>
    <row r="44" spans="2:9" ht="15" thickBot="1">
      <c r="B44" s="30" t="s">
        <v>263</v>
      </c>
      <c r="C44" s="3" t="s">
        <v>428</v>
      </c>
      <c r="D44" s="41">
        <v>96338</v>
      </c>
      <c r="E44" s="33">
        <v>0.2</v>
      </c>
      <c r="F44" s="3" t="s">
        <v>151</v>
      </c>
      <c r="G44" s="3"/>
    </row>
    <row r="45" spans="2:9" ht="15" thickBot="1">
      <c r="B45" s="3" t="s">
        <v>242</v>
      </c>
      <c r="C45" s="3" t="s">
        <v>517</v>
      </c>
      <c r="D45" s="41">
        <v>111039</v>
      </c>
      <c r="E45" s="33">
        <v>0.15</v>
      </c>
      <c r="F45" s="3" t="s">
        <v>151</v>
      </c>
      <c r="G45" s="3"/>
    </row>
    <row r="46" spans="2:9" ht="15" thickBot="1">
      <c r="B46" s="3" t="s">
        <v>453</v>
      </c>
      <c r="C46" s="3" t="s">
        <v>458</v>
      </c>
      <c r="D46" s="42">
        <v>8.9</v>
      </c>
      <c r="E46" s="33">
        <v>0.05</v>
      </c>
      <c r="F46" s="3" t="s">
        <v>151</v>
      </c>
      <c r="G46" s="3"/>
    </row>
  </sheetData>
  <sheetProtection algorithmName="SHA-512" hashValue="lKW44D1H0v5St3SoGXHOISBY93yp2nDVeiPHtLpCL1VdjetnT0VE1cnctX2uOFXLaFhpw9896Iv4TpflRuezRw==" saltValue="o0R5WqFRxKr1o3BYWF7uhw==" spinCount="100000" sheet="1" objects="1" scenarios="1"/>
  <mergeCells count="1">
    <mergeCell ref="E2:I3"/>
  </mergeCells>
  <conditionalFormatting sqref="E11 E8 E23 U8:U9 E37:E38 E26 E41 E14:E16 E29:E31 E44:E46">
    <cfRule type="colorScale" priority="1">
      <colorScale>
        <cfvo type="num" val="0"/>
        <cfvo type="num" val="0.5"/>
        <color theme="0"/>
        <color theme="5"/>
      </colorScale>
    </cfRule>
  </conditionalFormatting>
  <conditionalFormatting sqref="U8:U9">
    <cfRule type="colorScale" priority="2">
      <colorScale>
        <cfvo type="min"/>
        <cfvo type="max"/>
        <color theme="0"/>
        <color theme="5"/>
      </colorScale>
    </cfRule>
  </conditionalFormatting>
  <hyperlinks>
    <hyperlink ref="A1" location="Inhalt!A1" display="Zum Inhalt" xr:uid="{775A1CEC-A235-44C8-A2FF-A34BE22EF1D3}"/>
  </hyperlinks>
  <pageMargins left="0.7" right="0.7" top="0.78740157499999996" bottom="0.78740157499999996" header="0.3" footer="0.3"/>
  <pageSetup paperSize="9" orientation="portrait"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90EE2-B9AD-4D9B-952E-0FFC5897BE77}">
  <sheetPr codeName="Tabelle38"/>
  <dimension ref="A1:Q57"/>
  <sheetViews>
    <sheetView zoomScaleNormal="100" workbookViewId="0"/>
  </sheetViews>
  <sheetFormatPr baseColWidth="10" defaultColWidth="11.44140625" defaultRowHeight="14.4"/>
  <cols>
    <col min="2" max="2" width="24.44140625" bestFit="1" customWidth="1"/>
    <col min="14" max="14" width="12.6640625" bestFit="1" customWidth="1"/>
  </cols>
  <sheetData>
    <row r="1" spans="1:17" ht="28.2" thickBot="1">
      <c r="A1" s="99" t="s">
        <v>143</v>
      </c>
    </row>
    <row r="2" spans="1:17" ht="21" customHeight="1">
      <c r="G2" s="142" t="s">
        <v>212</v>
      </c>
      <c r="H2" s="143"/>
      <c r="I2" s="143"/>
      <c r="J2" s="143"/>
      <c r="K2" s="143"/>
      <c r="L2" s="144"/>
    </row>
    <row r="3" spans="1:17" ht="21" customHeight="1" thickBot="1">
      <c r="B3" s="4" t="s">
        <v>213</v>
      </c>
      <c r="C3" s="4" t="s">
        <v>136</v>
      </c>
      <c r="G3" s="145"/>
      <c r="H3" s="146"/>
      <c r="I3" s="146"/>
      <c r="J3" s="146"/>
      <c r="K3" s="146"/>
      <c r="L3" s="147"/>
    </row>
    <row r="4" spans="1:17">
      <c r="B4" s="4" t="s">
        <v>214</v>
      </c>
      <c r="C4" s="4">
        <v>2023</v>
      </c>
    </row>
    <row r="5" spans="1:17" ht="15" thickBot="1">
      <c r="B5" s="1" t="s">
        <v>215</v>
      </c>
      <c r="C5" s="2" t="s">
        <v>216</v>
      </c>
      <c r="D5" s="1"/>
      <c r="E5" s="2"/>
      <c r="F5" s="1"/>
      <c r="G5" s="1"/>
      <c r="H5" s="1"/>
      <c r="I5" s="1"/>
      <c r="J5" s="1" t="s">
        <v>217</v>
      </c>
      <c r="K5" s="1" t="s">
        <v>147</v>
      </c>
      <c r="L5" s="1" t="s">
        <v>148</v>
      </c>
      <c r="N5" s="4" t="s">
        <v>218</v>
      </c>
      <c r="O5" s="12" t="s">
        <v>538</v>
      </c>
    </row>
    <row r="6" spans="1:17" ht="15" thickBot="1">
      <c r="B6" s="3" t="s">
        <v>539</v>
      </c>
      <c r="C6" s="30" t="s">
        <v>299</v>
      </c>
      <c r="D6" s="41">
        <v>500</v>
      </c>
      <c r="E6" s="62">
        <v>1000</v>
      </c>
      <c r="F6" s="41">
        <v>2000</v>
      </c>
      <c r="G6" s="41">
        <v>5000</v>
      </c>
      <c r="H6" s="41">
        <v>10000</v>
      </c>
      <c r="I6" s="41">
        <v>15000</v>
      </c>
      <c r="J6" s="3"/>
      <c r="K6" s="3"/>
      <c r="L6" s="3"/>
      <c r="N6" s="4" t="s">
        <v>214</v>
      </c>
      <c r="O6" s="4">
        <v>2023</v>
      </c>
      <c r="P6" s="4">
        <v>2030</v>
      </c>
      <c r="Q6" s="4">
        <v>2040</v>
      </c>
    </row>
    <row r="7" spans="1:17" ht="15" thickBot="1">
      <c r="B7" s="3" t="s">
        <v>540</v>
      </c>
      <c r="C7" s="30" t="s">
        <v>221</v>
      </c>
      <c r="D7" s="73">
        <v>350</v>
      </c>
      <c r="E7" s="73">
        <v>700</v>
      </c>
      <c r="F7" s="73">
        <v>1400</v>
      </c>
      <c r="G7" s="73">
        <v>3500</v>
      </c>
      <c r="H7" s="73">
        <v>7000</v>
      </c>
      <c r="I7" s="73">
        <v>10500</v>
      </c>
      <c r="J7" s="33"/>
      <c r="K7" s="3" t="s">
        <v>196</v>
      </c>
      <c r="L7" s="3"/>
      <c r="N7" s="12" t="s">
        <v>225</v>
      </c>
      <c r="O7" s="12">
        <v>504.25</v>
      </c>
      <c r="P7" s="12">
        <v>482.01</v>
      </c>
      <c r="Q7" s="12">
        <v>436.03</v>
      </c>
    </row>
    <row r="8" spans="1:17" ht="15" thickBot="1">
      <c r="B8" s="3" t="s">
        <v>541</v>
      </c>
      <c r="C8" s="30" t="s">
        <v>302</v>
      </c>
      <c r="D8" s="73">
        <v>453</v>
      </c>
      <c r="E8" s="73">
        <v>451</v>
      </c>
      <c r="F8" s="73">
        <v>446</v>
      </c>
      <c r="G8" s="73">
        <v>440</v>
      </c>
      <c r="H8" s="73">
        <v>440</v>
      </c>
      <c r="I8" s="73">
        <v>441</v>
      </c>
      <c r="J8" s="33"/>
      <c r="K8" s="3" t="s">
        <v>355</v>
      </c>
      <c r="L8" s="3" t="s">
        <v>224</v>
      </c>
      <c r="N8" s="12" t="s">
        <v>228</v>
      </c>
      <c r="O8" s="12">
        <v>-7.6999999999999999E-2</v>
      </c>
      <c r="P8" s="12">
        <v>-7.6999999999999999E-2</v>
      </c>
      <c r="Q8" s="12">
        <v>-7.6999999999999999E-2</v>
      </c>
    </row>
    <row r="9" spans="1:17" ht="15" thickBot="1">
      <c r="B9" s="3" t="s">
        <v>542</v>
      </c>
      <c r="C9" s="30" t="s">
        <v>543</v>
      </c>
      <c r="D9" s="73">
        <v>227</v>
      </c>
      <c r="E9" s="73">
        <v>451</v>
      </c>
      <c r="F9" s="73">
        <v>892</v>
      </c>
      <c r="G9" s="73">
        <v>2200</v>
      </c>
      <c r="H9" s="73">
        <v>4400</v>
      </c>
      <c r="I9" s="73">
        <v>6615</v>
      </c>
      <c r="J9" s="33"/>
      <c r="K9" s="3" t="s">
        <v>355</v>
      </c>
      <c r="L9" s="3" t="s">
        <v>233</v>
      </c>
    </row>
    <row r="10" spans="1:17" ht="15" thickBot="1">
      <c r="B10" s="3" t="s">
        <v>544</v>
      </c>
      <c r="C10" s="30" t="s">
        <v>223</v>
      </c>
      <c r="D10" s="46">
        <v>97</v>
      </c>
      <c r="E10" s="46">
        <v>97</v>
      </c>
      <c r="F10" s="46">
        <v>97</v>
      </c>
      <c r="G10" s="46">
        <v>97</v>
      </c>
      <c r="H10" s="46">
        <v>97</v>
      </c>
      <c r="I10" s="46">
        <v>97</v>
      </c>
      <c r="J10" s="33"/>
      <c r="K10" s="3" t="s">
        <v>355</v>
      </c>
      <c r="L10" s="3" t="s">
        <v>545</v>
      </c>
      <c r="N10" s="4" t="s">
        <v>234</v>
      </c>
      <c r="O10" s="12" t="s">
        <v>306</v>
      </c>
    </row>
    <row r="11" spans="1:17" ht="15" thickBot="1">
      <c r="B11" s="3" t="s">
        <v>546</v>
      </c>
      <c r="C11" s="30" t="s">
        <v>223</v>
      </c>
      <c r="D11" s="46">
        <v>37</v>
      </c>
      <c r="E11" s="46">
        <v>37</v>
      </c>
      <c r="F11" s="46">
        <v>36</v>
      </c>
      <c r="G11" s="46">
        <v>36</v>
      </c>
      <c r="H11" s="46">
        <v>36</v>
      </c>
      <c r="I11" s="46">
        <v>36</v>
      </c>
      <c r="J11" s="33"/>
      <c r="K11" s="3" t="s">
        <v>192</v>
      </c>
      <c r="L11" s="3"/>
      <c r="N11" s="12"/>
    </row>
    <row r="12" spans="1:17" ht="15" thickBot="1">
      <c r="B12" s="3" t="s">
        <v>226</v>
      </c>
      <c r="C12" s="5" t="s">
        <v>227</v>
      </c>
      <c r="D12" s="13">
        <v>25</v>
      </c>
      <c r="E12" s="13">
        <v>25</v>
      </c>
      <c r="F12" s="13">
        <v>25</v>
      </c>
      <c r="G12" s="13">
        <v>25</v>
      </c>
      <c r="H12" s="13">
        <v>25</v>
      </c>
      <c r="I12" s="13">
        <v>25</v>
      </c>
      <c r="J12" s="3"/>
      <c r="K12" s="3" t="s">
        <v>547</v>
      </c>
      <c r="L12" s="3" t="s">
        <v>250</v>
      </c>
      <c r="N12" s="4" t="s">
        <v>148</v>
      </c>
    </row>
    <row r="13" spans="1:17" ht="15" thickBot="1">
      <c r="B13" s="1" t="s">
        <v>463</v>
      </c>
      <c r="C13" s="2" t="s">
        <v>216</v>
      </c>
      <c r="D13" s="1"/>
      <c r="E13" s="1"/>
      <c r="F13" s="1"/>
      <c r="G13" s="1"/>
      <c r="H13" s="1"/>
      <c r="I13" s="1"/>
      <c r="J13" s="1"/>
      <c r="K13" s="1"/>
      <c r="L13" s="1"/>
      <c r="N13" s="12" t="s">
        <v>240</v>
      </c>
      <c r="O13" s="12" t="s">
        <v>548</v>
      </c>
    </row>
    <row r="14" spans="1:17" ht="15" thickBot="1">
      <c r="B14" s="3" t="s">
        <v>230</v>
      </c>
      <c r="C14" s="3" t="s">
        <v>549</v>
      </c>
      <c r="D14" s="13">
        <v>341</v>
      </c>
      <c r="E14" s="13">
        <v>323</v>
      </c>
      <c r="F14" s="13">
        <v>307</v>
      </c>
      <c r="G14" s="13">
        <v>286</v>
      </c>
      <c r="H14" s="13">
        <v>270</v>
      </c>
      <c r="I14" s="13">
        <v>263</v>
      </c>
      <c r="J14" s="33">
        <v>0.2</v>
      </c>
      <c r="K14" s="3" t="s">
        <v>550</v>
      </c>
      <c r="L14" s="3"/>
      <c r="N14" s="12" t="s">
        <v>244</v>
      </c>
      <c r="O14" s="12" t="s">
        <v>551</v>
      </c>
    </row>
    <row r="15" spans="1:17" ht="15" thickBot="1">
      <c r="B15" s="3" t="s">
        <v>230</v>
      </c>
      <c r="C15" s="3" t="s">
        <v>318</v>
      </c>
      <c r="D15" s="13">
        <v>487</v>
      </c>
      <c r="E15" s="13">
        <v>461</v>
      </c>
      <c r="F15" s="13">
        <v>438</v>
      </c>
      <c r="G15" s="13">
        <v>409</v>
      </c>
      <c r="H15" s="13">
        <v>386</v>
      </c>
      <c r="I15" s="13">
        <v>376</v>
      </c>
      <c r="J15" s="33"/>
      <c r="K15" s="3"/>
      <c r="L15" s="3"/>
      <c r="N15" s="12" t="s">
        <v>224</v>
      </c>
      <c r="O15" s="12" t="s">
        <v>552</v>
      </c>
    </row>
    <row r="16" spans="1:17" ht="15" thickBot="1">
      <c r="B16" s="36" t="s">
        <v>236</v>
      </c>
      <c r="C16" s="3" t="s">
        <v>223</v>
      </c>
      <c r="D16" s="46">
        <v>85</v>
      </c>
      <c r="E16" s="46">
        <v>85</v>
      </c>
      <c r="F16" s="46">
        <v>85</v>
      </c>
      <c r="G16" s="46">
        <v>85</v>
      </c>
      <c r="H16" s="46">
        <v>85</v>
      </c>
      <c r="I16" s="46">
        <v>85</v>
      </c>
      <c r="J16" s="3"/>
      <c r="K16" s="3" t="s">
        <v>186</v>
      </c>
      <c r="L16" s="3"/>
      <c r="N16" s="12" t="s">
        <v>250</v>
      </c>
      <c r="O16" s="12" t="s">
        <v>553</v>
      </c>
    </row>
    <row r="17" spans="2:15" ht="15" thickBot="1">
      <c r="B17" s="36" t="s">
        <v>237</v>
      </c>
      <c r="C17" s="3" t="s">
        <v>223</v>
      </c>
      <c r="D17" s="46">
        <v>15</v>
      </c>
      <c r="E17" s="46">
        <v>15</v>
      </c>
      <c r="F17" s="46">
        <v>15</v>
      </c>
      <c r="G17" s="46">
        <v>15</v>
      </c>
      <c r="H17" s="46">
        <v>15</v>
      </c>
      <c r="I17" s="46">
        <v>15</v>
      </c>
      <c r="J17" s="3"/>
      <c r="K17" s="3" t="s">
        <v>186</v>
      </c>
      <c r="L17" s="3"/>
      <c r="N17" s="12" t="s">
        <v>252</v>
      </c>
      <c r="O17" s="12" t="s">
        <v>554</v>
      </c>
    </row>
    <row r="18" spans="2:15" ht="15" thickBot="1">
      <c r="B18" s="30" t="s">
        <v>263</v>
      </c>
      <c r="C18" s="3" t="s">
        <v>428</v>
      </c>
      <c r="D18" s="73">
        <v>171</v>
      </c>
      <c r="E18" s="73">
        <v>323</v>
      </c>
      <c r="F18" s="73">
        <v>614</v>
      </c>
      <c r="G18" s="73">
        <v>1431</v>
      </c>
      <c r="H18" s="73">
        <v>2702</v>
      </c>
      <c r="I18" s="73">
        <v>3943</v>
      </c>
      <c r="J18" s="33">
        <v>0.2</v>
      </c>
      <c r="K18" s="3"/>
      <c r="L18" s="3"/>
      <c r="N18" s="12" t="s">
        <v>249</v>
      </c>
      <c r="O18" s="12" t="s">
        <v>555</v>
      </c>
    </row>
    <row r="19" spans="2:15" ht="15" thickBot="1">
      <c r="B19" s="3" t="s">
        <v>242</v>
      </c>
      <c r="C19" s="3" t="s">
        <v>556</v>
      </c>
      <c r="D19" s="73">
        <v>2047</v>
      </c>
      <c r="E19" s="73">
        <v>3874</v>
      </c>
      <c r="F19" s="73">
        <v>7366</v>
      </c>
      <c r="G19" s="73">
        <v>17167</v>
      </c>
      <c r="H19" s="73">
        <v>32427</v>
      </c>
      <c r="I19" s="73">
        <v>47320</v>
      </c>
      <c r="J19" s="3"/>
      <c r="K19" s="3" t="s">
        <v>557</v>
      </c>
      <c r="L19" s="3"/>
    </row>
    <row r="20" spans="2:15">
      <c r="D20" s="11"/>
      <c r="E20" s="11"/>
      <c r="F20" s="11"/>
      <c r="G20" s="11"/>
      <c r="H20" s="11"/>
      <c r="I20" s="11"/>
      <c r="N20" s="4" t="s">
        <v>147</v>
      </c>
    </row>
    <row r="21" spans="2:15">
      <c r="D21" s="11"/>
      <c r="E21" s="11"/>
      <c r="F21" s="11"/>
      <c r="G21" s="11"/>
      <c r="H21" s="11"/>
      <c r="I21" s="11"/>
      <c r="N21" s="12" t="s">
        <v>151</v>
      </c>
      <c r="O21" s="12" t="s">
        <v>185</v>
      </c>
    </row>
    <row r="22" spans="2:15">
      <c r="B22" s="4" t="s">
        <v>214</v>
      </c>
      <c r="C22" s="4">
        <v>2030</v>
      </c>
      <c r="N22" s="12" t="s">
        <v>184</v>
      </c>
      <c r="O22" s="12" t="s">
        <v>558</v>
      </c>
    </row>
    <row r="23" spans="2:15" ht="15" thickBot="1">
      <c r="B23" s="1" t="s">
        <v>215</v>
      </c>
      <c r="C23" s="2" t="s">
        <v>216</v>
      </c>
      <c r="D23" s="1"/>
      <c r="E23" s="2"/>
      <c r="F23" s="1"/>
      <c r="G23" s="1"/>
      <c r="H23" s="1"/>
      <c r="I23" s="1"/>
      <c r="J23" s="1"/>
      <c r="K23" s="1"/>
      <c r="L23" s="1"/>
      <c r="N23" s="12" t="s">
        <v>186</v>
      </c>
      <c r="O23" s="12" t="s">
        <v>454</v>
      </c>
    </row>
    <row r="24" spans="2:15" ht="15" thickBot="1">
      <c r="B24" s="3" t="s">
        <v>539</v>
      </c>
      <c r="C24" s="30" t="s">
        <v>299</v>
      </c>
      <c r="D24" s="41">
        <v>500</v>
      </c>
      <c r="E24" s="62">
        <v>1000</v>
      </c>
      <c r="F24" s="41">
        <v>2000</v>
      </c>
      <c r="G24" s="41">
        <v>5000</v>
      </c>
      <c r="H24" s="41">
        <v>10000</v>
      </c>
      <c r="I24" s="41">
        <v>15000</v>
      </c>
      <c r="J24" s="3"/>
      <c r="K24" s="3"/>
      <c r="L24" s="3"/>
      <c r="N24" s="12" t="s">
        <v>188</v>
      </c>
      <c r="O24" s="12" t="s">
        <v>413</v>
      </c>
    </row>
    <row r="25" spans="2:15" ht="15" thickBot="1">
      <c r="B25" s="3" t="s">
        <v>540</v>
      </c>
      <c r="C25" s="30" t="s">
        <v>221</v>
      </c>
      <c r="D25" s="73">
        <v>350</v>
      </c>
      <c r="E25" s="73">
        <v>700</v>
      </c>
      <c r="F25" s="73">
        <v>1400</v>
      </c>
      <c r="G25" s="73">
        <v>3500</v>
      </c>
      <c r="H25" s="73">
        <v>7000</v>
      </c>
      <c r="I25" s="73">
        <v>10500</v>
      </c>
      <c r="J25" s="3"/>
      <c r="K25" s="3" t="s">
        <v>196</v>
      </c>
      <c r="L25" s="3"/>
      <c r="N25" s="12" t="s">
        <v>192</v>
      </c>
      <c r="O25" s="12" t="s">
        <v>559</v>
      </c>
    </row>
    <row r="26" spans="2:15" ht="15" thickBot="1">
      <c r="B26" s="3" t="s">
        <v>541</v>
      </c>
      <c r="C26" s="30" t="s">
        <v>302</v>
      </c>
      <c r="D26" s="3">
        <v>453</v>
      </c>
      <c r="E26" s="3">
        <v>451</v>
      </c>
      <c r="F26" s="3">
        <v>446</v>
      </c>
      <c r="G26" s="3">
        <v>440</v>
      </c>
      <c r="H26" s="3">
        <v>440</v>
      </c>
      <c r="I26" s="3">
        <v>441</v>
      </c>
      <c r="J26" s="3"/>
      <c r="K26" s="3" t="s">
        <v>355</v>
      </c>
      <c r="L26" s="3" t="s">
        <v>224</v>
      </c>
      <c r="N26" s="12" t="s">
        <v>172</v>
      </c>
      <c r="O26" s="12" t="s">
        <v>560</v>
      </c>
    </row>
    <row r="27" spans="2:15" ht="15" thickBot="1">
      <c r="B27" s="3" t="s">
        <v>542</v>
      </c>
      <c r="C27" s="30" t="s">
        <v>543</v>
      </c>
      <c r="D27" s="73">
        <v>227</v>
      </c>
      <c r="E27" s="73">
        <v>451</v>
      </c>
      <c r="F27" s="73">
        <v>892</v>
      </c>
      <c r="G27" s="73">
        <v>2200</v>
      </c>
      <c r="H27" s="73">
        <v>4400</v>
      </c>
      <c r="I27" s="73">
        <v>6615</v>
      </c>
      <c r="J27" s="3"/>
      <c r="K27" s="3" t="s">
        <v>355</v>
      </c>
      <c r="L27" s="3" t="s">
        <v>233</v>
      </c>
      <c r="N27" s="12" t="s">
        <v>179</v>
      </c>
      <c r="O27" s="12" t="s">
        <v>561</v>
      </c>
    </row>
    <row r="28" spans="2:15" ht="15" thickBot="1">
      <c r="B28" s="3" t="s">
        <v>544</v>
      </c>
      <c r="C28" s="30" t="s">
        <v>223</v>
      </c>
      <c r="D28" s="46">
        <v>97</v>
      </c>
      <c r="E28" s="46">
        <v>97</v>
      </c>
      <c r="F28" s="46">
        <v>97</v>
      </c>
      <c r="G28" s="46">
        <v>97</v>
      </c>
      <c r="H28" s="46">
        <v>97</v>
      </c>
      <c r="I28" s="46">
        <v>97</v>
      </c>
      <c r="J28" s="3"/>
      <c r="K28" s="3" t="s">
        <v>355</v>
      </c>
      <c r="L28" s="3" t="s">
        <v>545</v>
      </c>
      <c r="N28" s="12" t="s">
        <v>196</v>
      </c>
      <c r="O28" s="12" t="s">
        <v>562</v>
      </c>
    </row>
    <row r="29" spans="2:15" ht="15" thickBot="1">
      <c r="B29" s="3" t="s">
        <v>546</v>
      </c>
      <c r="C29" s="30" t="s">
        <v>223</v>
      </c>
      <c r="D29" s="46">
        <v>46</v>
      </c>
      <c r="E29" s="46">
        <v>46</v>
      </c>
      <c r="F29" s="46">
        <v>46</v>
      </c>
      <c r="G29" s="46">
        <v>46</v>
      </c>
      <c r="H29" s="46">
        <v>46</v>
      </c>
      <c r="I29" s="46">
        <v>46</v>
      </c>
      <c r="J29" s="3"/>
      <c r="K29" s="3" t="s">
        <v>186</v>
      </c>
      <c r="L29" s="3" t="s">
        <v>252</v>
      </c>
    </row>
    <row r="30" spans="2:15" ht="15" thickBot="1">
      <c r="B30" s="3" t="s">
        <v>226</v>
      </c>
      <c r="C30" s="5" t="s">
        <v>227</v>
      </c>
      <c r="D30" s="13">
        <v>25</v>
      </c>
      <c r="E30" s="13">
        <v>25</v>
      </c>
      <c r="F30" s="13">
        <v>25</v>
      </c>
      <c r="G30" s="13">
        <v>25</v>
      </c>
      <c r="H30" s="13">
        <v>25</v>
      </c>
      <c r="I30" s="13">
        <v>25</v>
      </c>
      <c r="J30" s="3"/>
      <c r="K30" s="3" t="s">
        <v>547</v>
      </c>
      <c r="L30" s="3" t="s">
        <v>250</v>
      </c>
    </row>
    <row r="31" spans="2:15" ht="15" thickBot="1">
      <c r="B31" s="1" t="s">
        <v>463</v>
      </c>
      <c r="C31" s="2" t="s">
        <v>216</v>
      </c>
      <c r="D31" s="1"/>
      <c r="E31" s="1"/>
      <c r="F31" s="1"/>
      <c r="G31" s="1"/>
      <c r="H31" s="1"/>
      <c r="I31" s="1"/>
      <c r="J31" s="1"/>
      <c r="K31" s="1"/>
      <c r="L31" s="1"/>
    </row>
    <row r="32" spans="2:15" ht="15" thickBot="1">
      <c r="B32" s="3" t="s">
        <v>230</v>
      </c>
      <c r="C32" s="3" t="s">
        <v>549</v>
      </c>
      <c r="D32" s="13">
        <v>326</v>
      </c>
      <c r="E32" s="13">
        <v>309</v>
      </c>
      <c r="F32" s="13">
        <v>293</v>
      </c>
      <c r="G32" s="13">
        <v>274</v>
      </c>
      <c r="H32" s="13">
        <v>258</v>
      </c>
      <c r="I32" s="13">
        <v>251</v>
      </c>
      <c r="J32" s="33">
        <v>0.25</v>
      </c>
      <c r="K32" s="3" t="s">
        <v>484</v>
      </c>
      <c r="L32" s="3"/>
    </row>
    <row r="33" spans="2:15" ht="15" thickBot="1">
      <c r="B33" s="3" t="s">
        <v>230</v>
      </c>
      <c r="C33" s="3" t="s">
        <v>318</v>
      </c>
      <c r="D33" s="13">
        <v>466</v>
      </c>
      <c r="E33" s="13">
        <v>441</v>
      </c>
      <c r="F33" s="13">
        <v>419</v>
      </c>
      <c r="G33" s="13">
        <v>391</v>
      </c>
      <c r="H33" s="13">
        <v>369</v>
      </c>
      <c r="I33" s="13">
        <v>359</v>
      </c>
      <c r="J33" s="33"/>
      <c r="K33" s="3"/>
      <c r="L33" s="3"/>
    </row>
    <row r="34" spans="2:15" ht="15" thickBot="1">
      <c r="B34" s="36" t="s">
        <v>236</v>
      </c>
      <c r="C34" s="3" t="s">
        <v>223</v>
      </c>
      <c r="D34" s="46">
        <v>85</v>
      </c>
      <c r="E34" s="46">
        <v>85</v>
      </c>
      <c r="F34" s="46">
        <v>85</v>
      </c>
      <c r="G34" s="46">
        <v>85</v>
      </c>
      <c r="H34" s="46">
        <v>85</v>
      </c>
      <c r="I34" s="46">
        <v>85</v>
      </c>
      <c r="J34" s="3"/>
      <c r="K34" s="3" t="s">
        <v>186</v>
      </c>
      <c r="L34" s="3"/>
    </row>
    <row r="35" spans="2:15" ht="15" thickBot="1">
      <c r="B35" s="36" t="s">
        <v>237</v>
      </c>
      <c r="C35" s="3" t="s">
        <v>223</v>
      </c>
      <c r="D35" s="46">
        <v>15</v>
      </c>
      <c r="E35" s="46">
        <v>15</v>
      </c>
      <c r="F35" s="46">
        <v>15</v>
      </c>
      <c r="G35" s="46">
        <v>15</v>
      </c>
      <c r="H35" s="46">
        <v>15</v>
      </c>
      <c r="I35" s="46">
        <v>15</v>
      </c>
      <c r="J35" s="3"/>
      <c r="K35" s="3" t="s">
        <v>186</v>
      </c>
      <c r="L35" s="3"/>
    </row>
    <row r="36" spans="2:15" ht="15" thickBot="1">
      <c r="B36" s="30" t="s">
        <v>263</v>
      </c>
      <c r="C36" s="3" t="s">
        <v>428</v>
      </c>
      <c r="D36" s="73">
        <v>163</v>
      </c>
      <c r="E36" s="73">
        <v>309</v>
      </c>
      <c r="F36" s="73">
        <v>587</v>
      </c>
      <c r="G36" s="73">
        <v>1368</v>
      </c>
      <c r="H36" s="73">
        <v>2583</v>
      </c>
      <c r="I36" s="73">
        <v>3769</v>
      </c>
      <c r="J36" s="33">
        <v>0.25</v>
      </c>
      <c r="K36" s="3"/>
      <c r="L36" s="3"/>
    </row>
    <row r="37" spans="2:15" ht="15" thickBot="1">
      <c r="B37" s="3" t="s">
        <v>242</v>
      </c>
      <c r="C37" s="3" t="s">
        <v>556</v>
      </c>
      <c r="D37" s="73">
        <v>1957</v>
      </c>
      <c r="E37" s="73">
        <v>3703</v>
      </c>
      <c r="F37" s="73">
        <v>7041</v>
      </c>
      <c r="G37" s="73">
        <v>16410</v>
      </c>
      <c r="H37" s="73">
        <v>30997</v>
      </c>
      <c r="I37" s="73">
        <v>45233</v>
      </c>
      <c r="J37" s="3"/>
      <c r="K37" s="3" t="s">
        <v>557</v>
      </c>
      <c r="L37" s="3"/>
    </row>
    <row r="38" spans="2:15">
      <c r="D38" s="11"/>
      <c r="E38" s="11"/>
      <c r="F38" s="11"/>
      <c r="G38" s="11"/>
      <c r="H38" s="11"/>
      <c r="I38" s="11"/>
    </row>
    <row r="39" spans="2:15">
      <c r="D39" s="11"/>
      <c r="E39" s="11"/>
      <c r="F39" s="11"/>
      <c r="G39" s="11"/>
      <c r="H39" s="11"/>
      <c r="I39" s="11"/>
    </row>
    <row r="40" spans="2:15">
      <c r="B40" s="4" t="s">
        <v>214</v>
      </c>
      <c r="C40" s="4">
        <v>2040</v>
      </c>
    </row>
    <row r="41" spans="2:15" ht="15" thickBot="1">
      <c r="B41" s="1" t="s">
        <v>215</v>
      </c>
      <c r="C41" s="2" t="s">
        <v>216</v>
      </c>
      <c r="D41" s="1"/>
      <c r="E41" s="2"/>
      <c r="F41" s="1"/>
      <c r="G41" s="1"/>
      <c r="H41" s="1"/>
      <c r="I41" s="1"/>
      <c r="J41" s="1"/>
      <c r="K41" s="1"/>
      <c r="L41" s="1"/>
    </row>
    <row r="42" spans="2:15" ht="15" thickBot="1">
      <c r="B42" s="3" t="s">
        <v>539</v>
      </c>
      <c r="C42" s="30" t="s">
        <v>299</v>
      </c>
      <c r="D42" s="41">
        <v>500</v>
      </c>
      <c r="E42" s="62">
        <v>1000</v>
      </c>
      <c r="F42" s="41">
        <v>2000</v>
      </c>
      <c r="G42" s="41">
        <v>5000</v>
      </c>
      <c r="H42" s="41">
        <v>10000</v>
      </c>
      <c r="I42" s="41">
        <v>15000</v>
      </c>
      <c r="J42" s="3"/>
      <c r="K42" s="3"/>
      <c r="L42" s="3"/>
      <c r="N42" s="4"/>
      <c r="O42" s="12"/>
    </row>
    <row r="43" spans="2:15" ht="15" thickBot="1">
      <c r="B43" s="3" t="s">
        <v>540</v>
      </c>
      <c r="C43" s="30" t="s">
        <v>221</v>
      </c>
      <c r="D43" s="73">
        <v>350</v>
      </c>
      <c r="E43" s="73">
        <v>700</v>
      </c>
      <c r="F43" s="73">
        <v>1400</v>
      </c>
      <c r="G43" s="73">
        <v>3500</v>
      </c>
      <c r="H43" s="73">
        <v>7000</v>
      </c>
      <c r="I43" s="73">
        <v>10500</v>
      </c>
      <c r="J43" s="3"/>
      <c r="K43" s="3" t="s">
        <v>196</v>
      </c>
      <c r="L43" s="3"/>
      <c r="N43" s="12"/>
      <c r="O43" s="12"/>
    </row>
    <row r="44" spans="2:15" ht="15" thickBot="1">
      <c r="B44" s="3" t="s">
        <v>541</v>
      </c>
      <c r="C44" s="30" t="s">
        <v>302</v>
      </c>
      <c r="D44" s="3">
        <v>453</v>
      </c>
      <c r="E44" s="3">
        <v>451</v>
      </c>
      <c r="F44" s="3">
        <v>446</v>
      </c>
      <c r="G44" s="3">
        <v>440</v>
      </c>
      <c r="H44" s="3">
        <v>440</v>
      </c>
      <c r="I44" s="3">
        <v>441</v>
      </c>
      <c r="J44" s="3"/>
      <c r="K44" s="3" t="s">
        <v>355</v>
      </c>
      <c r="L44" s="3" t="s">
        <v>224</v>
      </c>
      <c r="N44" s="12"/>
    </row>
    <row r="45" spans="2:15" ht="15" thickBot="1">
      <c r="B45" s="3" t="s">
        <v>542</v>
      </c>
      <c r="C45" s="30" t="s">
        <v>543</v>
      </c>
      <c r="D45" s="73">
        <v>227</v>
      </c>
      <c r="E45" s="73">
        <v>451</v>
      </c>
      <c r="F45" s="73">
        <v>892</v>
      </c>
      <c r="G45" s="73">
        <v>2200</v>
      </c>
      <c r="H45" s="73">
        <v>4400</v>
      </c>
      <c r="I45" s="73">
        <v>6615</v>
      </c>
      <c r="J45" s="3"/>
      <c r="K45" s="3" t="s">
        <v>355</v>
      </c>
      <c r="L45" s="3" t="s">
        <v>233</v>
      </c>
      <c r="N45" s="12"/>
      <c r="O45" s="12"/>
    </row>
    <row r="46" spans="2:15" ht="15" thickBot="1">
      <c r="B46" s="3" t="s">
        <v>544</v>
      </c>
      <c r="C46" s="30" t="s">
        <v>223</v>
      </c>
      <c r="D46" s="46">
        <v>97</v>
      </c>
      <c r="E46" s="46">
        <v>97</v>
      </c>
      <c r="F46" s="46">
        <v>97</v>
      </c>
      <c r="G46" s="46">
        <v>97</v>
      </c>
      <c r="H46" s="46">
        <v>97</v>
      </c>
      <c r="I46" s="46">
        <v>97</v>
      </c>
      <c r="J46" s="3"/>
      <c r="K46" s="3" t="s">
        <v>355</v>
      </c>
      <c r="L46" s="3" t="s">
        <v>545</v>
      </c>
      <c r="N46" s="12"/>
    </row>
    <row r="47" spans="2:15" ht="15" thickBot="1">
      <c r="B47" s="3" t="s">
        <v>546</v>
      </c>
      <c r="C47" s="30" t="s">
        <v>223</v>
      </c>
      <c r="D47" s="46">
        <v>50</v>
      </c>
      <c r="E47" s="46">
        <v>50</v>
      </c>
      <c r="F47" s="46">
        <v>50</v>
      </c>
      <c r="G47" s="46">
        <v>50</v>
      </c>
      <c r="H47" s="46">
        <v>50</v>
      </c>
      <c r="I47" s="46">
        <v>50</v>
      </c>
      <c r="J47" s="3"/>
      <c r="K47" s="3" t="s">
        <v>186</v>
      </c>
      <c r="L47" s="3" t="s">
        <v>252</v>
      </c>
      <c r="N47" s="12"/>
    </row>
    <row r="48" spans="2:15" ht="15" thickBot="1">
      <c r="B48" s="3" t="s">
        <v>226</v>
      </c>
      <c r="C48" s="5" t="s">
        <v>227</v>
      </c>
      <c r="D48" s="13">
        <v>25</v>
      </c>
      <c r="E48" s="13">
        <v>25</v>
      </c>
      <c r="F48" s="13">
        <v>25</v>
      </c>
      <c r="G48" s="13">
        <v>25</v>
      </c>
      <c r="H48" s="13">
        <v>25</v>
      </c>
      <c r="I48" s="13">
        <v>25</v>
      </c>
      <c r="J48" s="3"/>
      <c r="K48" s="3" t="s">
        <v>547</v>
      </c>
      <c r="L48" s="3" t="s">
        <v>250</v>
      </c>
    </row>
    <row r="49" spans="2:12" ht="15" thickBot="1">
      <c r="B49" s="1" t="s">
        <v>463</v>
      </c>
      <c r="C49" s="2" t="s">
        <v>216</v>
      </c>
      <c r="D49" s="1"/>
      <c r="E49" s="1"/>
      <c r="F49" s="1"/>
      <c r="G49" s="1"/>
      <c r="H49" s="1"/>
      <c r="I49" s="1"/>
      <c r="J49" s="1"/>
      <c r="K49" s="1"/>
      <c r="L49" s="1"/>
    </row>
    <row r="50" spans="2:12" ht="15" thickBot="1">
      <c r="B50" s="3" t="s">
        <v>230</v>
      </c>
      <c r="C50" s="3" t="s">
        <v>549</v>
      </c>
      <c r="D50" s="13">
        <v>295</v>
      </c>
      <c r="E50" s="13">
        <v>279</v>
      </c>
      <c r="F50" s="13">
        <v>265</v>
      </c>
      <c r="G50" s="13">
        <v>247</v>
      </c>
      <c r="H50" s="13">
        <v>234</v>
      </c>
      <c r="I50" s="13">
        <v>227</v>
      </c>
      <c r="J50" s="33">
        <v>0.3</v>
      </c>
      <c r="K50" s="3" t="s">
        <v>484</v>
      </c>
      <c r="L50" s="3"/>
    </row>
    <row r="51" spans="2:12" ht="15" thickBot="1">
      <c r="B51" s="3" t="s">
        <v>230</v>
      </c>
      <c r="C51" s="3" t="s">
        <v>318</v>
      </c>
      <c r="D51" s="13">
        <v>421</v>
      </c>
      <c r="E51" s="13">
        <v>399</v>
      </c>
      <c r="F51" s="13">
        <v>379</v>
      </c>
      <c r="G51" s="13">
        <v>353</v>
      </c>
      <c r="H51" s="13">
        <v>334</v>
      </c>
      <c r="I51" s="13">
        <v>325</v>
      </c>
      <c r="J51" s="33"/>
      <c r="K51" s="3"/>
      <c r="L51" s="3"/>
    </row>
    <row r="52" spans="2:12" ht="15" thickBot="1">
      <c r="B52" s="36" t="s">
        <v>236</v>
      </c>
      <c r="C52" s="3" t="s">
        <v>223</v>
      </c>
      <c r="D52" s="46">
        <v>85</v>
      </c>
      <c r="E52" s="46">
        <v>85</v>
      </c>
      <c r="F52" s="46">
        <v>85</v>
      </c>
      <c r="G52" s="46">
        <v>85</v>
      </c>
      <c r="H52" s="46">
        <v>85</v>
      </c>
      <c r="I52" s="46">
        <v>85</v>
      </c>
      <c r="J52" s="3"/>
      <c r="K52" s="3" t="s">
        <v>186</v>
      </c>
      <c r="L52" s="3"/>
    </row>
    <row r="53" spans="2:12" ht="15" thickBot="1">
      <c r="B53" s="36" t="s">
        <v>237</v>
      </c>
      <c r="C53" s="3" t="s">
        <v>223</v>
      </c>
      <c r="D53" s="46">
        <v>15</v>
      </c>
      <c r="E53" s="46">
        <v>15</v>
      </c>
      <c r="F53" s="46">
        <v>15</v>
      </c>
      <c r="G53" s="46">
        <v>15</v>
      </c>
      <c r="H53" s="46">
        <v>15</v>
      </c>
      <c r="I53" s="46">
        <v>15</v>
      </c>
      <c r="J53" s="3"/>
      <c r="K53" s="3" t="s">
        <v>186</v>
      </c>
      <c r="L53" s="3"/>
    </row>
    <row r="54" spans="2:12" ht="15" thickBot="1">
      <c r="B54" s="30" t="s">
        <v>263</v>
      </c>
      <c r="C54" s="3" t="s">
        <v>428</v>
      </c>
      <c r="D54" s="73">
        <v>147</v>
      </c>
      <c r="E54" s="73">
        <v>279</v>
      </c>
      <c r="F54" s="73">
        <v>531</v>
      </c>
      <c r="G54" s="73">
        <v>1237</v>
      </c>
      <c r="H54" s="73">
        <v>2337</v>
      </c>
      <c r="I54" s="73">
        <v>3410</v>
      </c>
      <c r="J54" s="33">
        <v>0.3</v>
      </c>
      <c r="K54" s="3"/>
      <c r="L54" s="3"/>
    </row>
    <row r="55" spans="2:12" ht="15" thickBot="1">
      <c r="B55" s="3" t="s">
        <v>242</v>
      </c>
      <c r="C55" s="3" t="s">
        <v>556</v>
      </c>
      <c r="D55" s="73">
        <v>1770</v>
      </c>
      <c r="E55" s="73">
        <v>3350</v>
      </c>
      <c r="F55" s="73">
        <v>6369</v>
      </c>
      <c r="G55" s="73">
        <v>14845</v>
      </c>
      <c r="H55" s="73">
        <v>28040</v>
      </c>
      <c r="I55" s="73">
        <v>40918</v>
      </c>
      <c r="J55" s="3"/>
      <c r="K55" s="3" t="s">
        <v>557</v>
      </c>
      <c r="L55" s="3"/>
    </row>
    <row r="56" spans="2:12">
      <c r="D56" s="11"/>
      <c r="E56" s="11"/>
      <c r="F56" s="11"/>
      <c r="G56" s="11"/>
      <c r="H56" s="11"/>
      <c r="I56" s="11"/>
    </row>
    <row r="57" spans="2:12">
      <c r="D57" s="11"/>
      <c r="E57" s="11"/>
      <c r="F57" s="11"/>
      <c r="G57" s="11"/>
      <c r="H57" s="11"/>
      <c r="I57" s="11"/>
    </row>
  </sheetData>
  <sheetProtection algorithmName="SHA-512" hashValue="w7o+4YEkCq7NaAT69DXfH3kFIghQ7KZL/RNoIbkDXLvF+l4DY0KJIre5PGSmTvjYGu86EYaNG2QUrko0e23zlA==" saltValue="xL2d8JXpAXyPPl62fF/Uxw==" spinCount="100000" sheet="1" objects="1" scenarios="1"/>
  <mergeCells count="1">
    <mergeCell ref="G2:L3"/>
  </mergeCells>
  <conditionalFormatting sqref="J14:J15 J32:J33 J50:J51 J7:J11 J25:J29 J43:J47 J18:J19 J36:J37 J54:J55">
    <cfRule type="colorScale" priority="1">
      <colorScale>
        <cfvo type="num" val="0"/>
        <cfvo type="num" val="0.5"/>
        <color theme="0"/>
        <color theme="5"/>
      </colorScale>
    </cfRule>
  </conditionalFormatting>
  <hyperlinks>
    <hyperlink ref="A1" location="Inhalt!A1" display="Zum Inhalt" xr:uid="{78825F49-99D6-414D-BD6B-6268ADDE964B}"/>
  </hyperlinks>
  <pageMargins left="0.7" right="0.7" top="0.78740157499999996" bottom="0.78740157499999996" header="0.3" footer="0.3"/>
  <pageSetup paperSize="9" orientation="portrait" verticalDpi="0"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CFEDA-7D41-4669-8C8C-2ADB449FCED9}">
  <sheetPr codeName="Tabelle39"/>
  <dimension ref="A1:Q56"/>
  <sheetViews>
    <sheetView zoomScaleNormal="100" workbookViewId="0"/>
  </sheetViews>
  <sheetFormatPr baseColWidth="10" defaultColWidth="11.44140625" defaultRowHeight="14.4"/>
  <cols>
    <col min="2" max="2" width="24.44140625" bestFit="1" customWidth="1"/>
    <col min="14" max="14" width="12.6640625" bestFit="1" customWidth="1"/>
  </cols>
  <sheetData>
    <row r="1" spans="1:17" ht="28.2" thickBot="1">
      <c r="A1" s="99" t="s">
        <v>143</v>
      </c>
    </row>
    <row r="2" spans="1:17">
      <c r="H2" s="142" t="s">
        <v>212</v>
      </c>
      <c r="I2" s="143"/>
      <c r="J2" s="143"/>
      <c r="K2" s="143"/>
      <c r="L2" s="143"/>
    </row>
    <row r="3" spans="1:17" ht="20.7" customHeight="1" thickBot="1">
      <c r="B3" s="4" t="s">
        <v>213</v>
      </c>
      <c r="C3" s="4" t="s">
        <v>138</v>
      </c>
      <c r="H3" s="145"/>
      <c r="I3" s="146"/>
      <c r="J3" s="146"/>
      <c r="K3" s="146"/>
      <c r="L3" s="146"/>
    </row>
    <row r="4" spans="1:17">
      <c r="B4" s="4" t="s">
        <v>214</v>
      </c>
      <c r="C4" s="4">
        <v>2023</v>
      </c>
    </row>
    <row r="5" spans="1:17" ht="15" thickBot="1">
      <c r="B5" s="1" t="s">
        <v>215</v>
      </c>
      <c r="C5" s="2" t="s">
        <v>216</v>
      </c>
      <c r="D5" s="1"/>
      <c r="E5" s="2"/>
      <c r="F5" s="1"/>
      <c r="G5" s="1"/>
      <c r="H5" s="1"/>
      <c r="I5" s="1"/>
      <c r="J5" s="1" t="s">
        <v>217</v>
      </c>
      <c r="K5" s="1" t="s">
        <v>147</v>
      </c>
      <c r="L5" s="1" t="s">
        <v>148</v>
      </c>
      <c r="N5" s="4" t="s">
        <v>218</v>
      </c>
      <c r="O5" s="12" t="s">
        <v>538</v>
      </c>
    </row>
    <row r="6" spans="1:17" ht="15" thickBot="1">
      <c r="B6" s="3" t="s">
        <v>539</v>
      </c>
      <c r="C6" s="30" t="s">
        <v>299</v>
      </c>
      <c r="D6" s="41">
        <v>500</v>
      </c>
      <c r="E6" s="62">
        <v>1000</v>
      </c>
      <c r="F6" s="41">
        <v>2000</v>
      </c>
      <c r="G6" s="41">
        <v>5000</v>
      </c>
      <c r="H6" s="41">
        <v>10000</v>
      </c>
      <c r="I6" s="41">
        <v>15000</v>
      </c>
      <c r="J6" s="3"/>
      <c r="K6" s="3"/>
      <c r="L6" s="3"/>
      <c r="N6" s="4" t="s">
        <v>214</v>
      </c>
      <c r="O6" s="4">
        <v>2023</v>
      </c>
      <c r="P6" s="4">
        <v>2030</v>
      </c>
      <c r="Q6" s="4">
        <v>2040</v>
      </c>
    </row>
    <row r="7" spans="1:17" ht="15" thickBot="1">
      <c r="B7" s="3" t="s">
        <v>540</v>
      </c>
      <c r="C7" s="30" t="s">
        <v>221</v>
      </c>
      <c r="D7" s="73">
        <v>250</v>
      </c>
      <c r="E7" s="73">
        <v>500</v>
      </c>
      <c r="F7" s="73">
        <v>1000</v>
      </c>
      <c r="G7" s="73">
        <v>2500</v>
      </c>
      <c r="H7" s="73">
        <v>5000</v>
      </c>
      <c r="I7" s="73">
        <v>7500</v>
      </c>
      <c r="J7" s="33"/>
      <c r="K7" s="3" t="s">
        <v>172</v>
      </c>
      <c r="L7" s="3"/>
      <c r="N7" s="12" t="s">
        <v>225</v>
      </c>
      <c r="O7" s="12">
        <v>971.83</v>
      </c>
      <c r="P7" s="12">
        <v>928.96</v>
      </c>
      <c r="Q7" s="12">
        <v>840.35</v>
      </c>
    </row>
    <row r="8" spans="1:17" ht="15" thickBot="1">
      <c r="B8" s="3" t="s">
        <v>541</v>
      </c>
      <c r="C8" s="30" t="s">
        <v>302</v>
      </c>
      <c r="D8" s="3">
        <v>500</v>
      </c>
      <c r="E8" s="3">
        <v>500</v>
      </c>
      <c r="F8" s="3">
        <v>500</v>
      </c>
      <c r="G8" s="3">
        <v>500</v>
      </c>
      <c r="H8" s="3">
        <v>500</v>
      </c>
      <c r="I8" s="3">
        <v>500</v>
      </c>
      <c r="J8" s="33"/>
      <c r="K8" s="3" t="s">
        <v>172</v>
      </c>
      <c r="L8" s="3" t="s">
        <v>224</v>
      </c>
      <c r="N8" s="12" t="s">
        <v>228</v>
      </c>
      <c r="O8" s="12">
        <v>-0.109</v>
      </c>
      <c r="P8" s="12">
        <v>-0.109</v>
      </c>
      <c r="Q8" s="12">
        <v>-0.109</v>
      </c>
    </row>
    <row r="9" spans="1:17" ht="15" thickBot="1">
      <c r="B9" s="3" t="s">
        <v>542</v>
      </c>
      <c r="C9" s="30" t="s">
        <v>543</v>
      </c>
      <c r="D9" s="73">
        <v>250</v>
      </c>
      <c r="E9" s="73">
        <v>500</v>
      </c>
      <c r="F9" s="73">
        <v>1000</v>
      </c>
      <c r="G9" s="73">
        <v>2500</v>
      </c>
      <c r="H9" s="73">
        <v>5000</v>
      </c>
      <c r="I9" s="73">
        <v>7500</v>
      </c>
      <c r="J9" s="33"/>
      <c r="K9" s="3"/>
      <c r="L9" s="3" t="s">
        <v>233</v>
      </c>
    </row>
    <row r="10" spans="1:17" ht="15" thickBot="1">
      <c r="B10" s="3" t="s">
        <v>544</v>
      </c>
      <c r="C10" s="30" t="s">
        <v>223</v>
      </c>
      <c r="D10" s="46">
        <v>97</v>
      </c>
      <c r="E10" s="46">
        <v>97</v>
      </c>
      <c r="F10" s="46">
        <v>97</v>
      </c>
      <c r="G10" s="46">
        <v>97</v>
      </c>
      <c r="H10" s="46">
        <v>97</v>
      </c>
      <c r="I10" s="46">
        <v>97</v>
      </c>
      <c r="J10" s="33"/>
      <c r="K10" s="3" t="s">
        <v>355</v>
      </c>
      <c r="L10" s="3" t="s">
        <v>545</v>
      </c>
      <c r="N10" s="4" t="s">
        <v>234</v>
      </c>
      <c r="O10" s="12" t="s">
        <v>306</v>
      </c>
    </row>
    <row r="11" spans="1:17" ht="15" thickBot="1">
      <c r="B11" s="3" t="s">
        <v>546</v>
      </c>
      <c r="C11" s="30" t="s">
        <v>223</v>
      </c>
      <c r="D11" s="46">
        <v>37</v>
      </c>
      <c r="E11" s="46">
        <v>37</v>
      </c>
      <c r="F11" s="46">
        <v>36</v>
      </c>
      <c r="G11" s="46">
        <v>36</v>
      </c>
      <c r="H11" s="46">
        <v>36</v>
      </c>
      <c r="I11" s="46">
        <v>36</v>
      </c>
      <c r="J11" s="33"/>
      <c r="K11" s="3" t="s">
        <v>192</v>
      </c>
      <c r="L11" s="3"/>
      <c r="N11" s="12"/>
    </row>
    <row r="12" spans="1:17" ht="15" thickBot="1">
      <c r="B12" s="3" t="s">
        <v>226</v>
      </c>
      <c r="C12" s="5" t="s">
        <v>227</v>
      </c>
      <c r="D12" s="13">
        <v>25</v>
      </c>
      <c r="E12" s="13">
        <v>25</v>
      </c>
      <c r="F12" s="13">
        <v>25</v>
      </c>
      <c r="G12" s="13">
        <v>25</v>
      </c>
      <c r="H12" s="13">
        <v>25</v>
      </c>
      <c r="I12" s="13">
        <v>25</v>
      </c>
      <c r="J12" s="3"/>
      <c r="K12" s="3" t="s">
        <v>547</v>
      </c>
      <c r="L12" s="3" t="s">
        <v>250</v>
      </c>
      <c r="N12" s="4" t="s">
        <v>148</v>
      </c>
    </row>
    <row r="13" spans="1:17" ht="15" thickBot="1">
      <c r="B13" s="1" t="s">
        <v>463</v>
      </c>
      <c r="C13" s="2" t="s">
        <v>216</v>
      </c>
      <c r="D13" s="1"/>
      <c r="E13" s="1"/>
      <c r="F13" s="1"/>
      <c r="G13" s="1"/>
      <c r="H13" s="1"/>
      <c r="I13" s="1"/>
      <c r="J13" s="1"/>
      <c r="K13" s="1"/>
      <c r="L13" s="1"/>
      <c r="N13" s="12" t="s">
        <v>240</v>
      </c>
      <c r="O13" s="12" t="s">
        <v>548</v>
      </c>
    </row>
    <row r="14" spans="1:17" ht="15" thickBot="1">
      <c r="B14" s="3" t="s">
        <v>230</v>
      </c>
      <c r="C14" s="3" t="s">
        <v>549</v>
      </c>
      <c r="D14" s="13">
        <v>495</v>
      </c>
      <c r="E14" s="13">
        <v>458</v>
      </c>
      <c r="F14" s="13">
        <v>425</v>
      </c>
      <c r="G14" s="13">
        <v>384</v>
      </c>
      <c r="H14" s="13">
        <v>356</v>
      </c>
      <c r="I14" s="13">
        <v>342</v>
      </c>
      <c r="J14" s="33">
        <v>0.2</v>
      </c>
      <c r="K14" s="3" t="s">
        <v>550</v>
      </c>
      <c r="L14" s="3"/>
      <c r="N14" s="12" t="s">
        <v>244</v>
      </c>
      <c r="O14" s="12" t="s">
        <v>551</v>
      </c>
    </row>
    <row r="15" spans="1:17" ht="15" thickBot="1">
      <c r="B15" s="3" t="s">
        <v>230</v>
      </c>
      <c r="C15" s="3" t="s">
        <v>318</v>
      </c>
      <c r="D15" s="13">
        <v>989</v>
      </c>
      <c r="E15" s="13">
        <v>916</v>
      </c>
      <c r="F15" s="13">
        <v>849</v>
      </c>
      <c r="G15" s="13">
        <v>768</v>
      </c>
      <c r="H15" s="13">
        <v>712</v>
      </c>
      <c r="I15" s="13">
        <v>684</v>
      </c>
      <c r="J15" s="33"/>
      <c r="K15" s="3"/>
      <c r="L15" s="3"/>
      <c r="N15" s="12" t="s">
        <v>224</v>
      </c>
      <c r="O15" s="12" t="s">
        <v>552</v>
      </c>
    </row>
    <row r="16" spans="1:17" ht="15" thickBot="1">
      <c r="B16" s="36" t="s">
        <v>236</v>
      </c>
      <c r="C16" s="3" t="s">
        <v>223</v>
      </c>
      <c r="D16" s="46">
        <v>85</v>
      </c>
      <c r="E16" s="46">
        <v>85</v>
      </c>
      <c r="F16" s="46">
        <v>85</v>
      </c>
      <c r="G16" s="46">
        <v>85</v>
      </c>
      <c r="H16" s="46">
        <v>85</v>
      </c>
      <c r="I16" s="46">
        <v>85</v>
      </c>
      <c r="J16" s="3"/>
      <c r="K16" s="3" t="s">
        <v>186</v>
      </c>
      <c r="L16" s="3"/>
      <c r="N16" s="12" t="s">
        <v>250</v>
      </c>
      <c r="O16" s="12" t="s">
        <v>553</v>
      </c>
    </row>
    <row r="17" spans="2:15" ht="15" thickBot="1">
      <c r="B17" s="36" t="s">
        <v>237</v>
      </c>
      <c r="C17" s="3" t="s">
        <v>223</v>
      </c>
      <c r="D17" s="46">
        <v>15</v>
      </c>
      <c r="E17" s="46">
        <v>15</v>
      </c>
      <c r="F17" s="46">
        <v>15</v>
      </c>
      <c r="G17" s="46">
        <v>15</v>
      </c>
      <c r="H17" s="46">
        <v>15</v>
      </c>
      <c r="I17" s="46">
        <v>15</v>
      </c>
      <c r="J17" s="3"/>
      <c r="K17" s="3" t="s">
        <v>186</v>
      </c>
      <c r="L17" s="3"/>
      <c r="N17" s="12" t="s">
        <v>252</v>
      </c>
      <c r="O17" s="12" t="s">
        <v>554</v>
      </c>
    </row>
    <row r="18" spans="2:15" ht="15" thickBot="1">
      <c r="B18" s="30" t="s">
        <v>263</v>
      </c>
      <c r="C18" s="3" t="s">
        <v>428</v>
      </c>
      <c r="D18" s="41">
        <v>247</v>
      </c>
      <c r="E18" s="41">
        <v>458</v>
      </c>
      <c r="F18" s="41">
        <v>849</v>
      </c>
      <c r="G18" s="41">
        <v>1921</v>
      </c>
      <c r="H18" s="41">
        <v>3562</v>
      </c>
      <c r="I18" s="41">
        <v>5126</v>
      </c>
      <c r="J18" s="33">
        <v>0.2</v>
      </c>
      <c r="K18" s="3"/>
      <c r="L18" s="3"/>
      <c r="N18" s="12" t="s">
        <v>249</v>
      </c>
      <c r="O18" s="12" t="s">
        <v>555</v>
      </c>
    </row>
    <row r="19" spans="2:15" ht="15" thickBot="1">
      <c r="B19" s="3" t="s">
        <v>242</v>
      </c>
      <c r="C19" s="3" t="s">
        <v>556</v>
      </c>
      <c r="D19" s="41">
        <v>2968</v>
      </c>
      <c r="E19" s="41">
        <v>5494</v>
      </c>
      <c r="F19" s="41">
        <v>10189</v>
      </c>
      <c r="G19" s="41">
        <v>23052</v>
      </c>
      <c r="H19" s="41">
        <v>42748</v>
      </c>
      <c r="I19" s="41">
        <v>61516</v>
      </c>
      <c r="J19" s="3"/>
      <c r="K19" s="3" t="s">
        <v>557</v>
      </c>
      <c r="L19" s="3"/>
    </row>
    <row r="20" spans="2:15">
      <c r="D20" s="64"/>
      <c r="E20" s="64"/>
      <c r="F20" s="64"/>
      <c r="G20" s="64"/>
      <c r="H20" s="64"/>
      <c r="I20" s="64"/>
      <c r="J20" s="64"/>
      <c r="N20" s="4" t="s">
        <v>147</v>
      </c>
    </row>
    <row r="21" spans="2:15">
      <c r="N21" s="12" t="s">
        <v>151</v>
      </c>
      <c r="O21" s="12" t="s">
        <v>185</v>
      </c>
    </row>
    <row r="22" spans="2:15">
      <c r="B22" s="4" t="s">
        <v>214</v>
      </c>
      <c r="C22" s="4">
        <v>2030</v>
      </c>
      <c r="N22" s="12" t="s">
        <v>184</v>
      </c>
      <c r="O22" s="12" t="s">
        <v>558</v>
      </c>
    </row>
    <row r="23" spans="2:15" ht="15" thickBot="1">
      <c r="B23" s="1" t="s">
        <v>215</v>
      </c>
      <c r="C23" s="2" t="s">
        <v>216</v>
      </c>
      <c r="D23" s="1"/>
      <c r="E23" s="2"/>
      <c r="F23" s="1"/>
      <c r="G23" s="1"/>
      <c r="H23" s="1"/>
      <c r="I23" s="1"/>
      <c r="J23" s="1"/>
      <c r="K23" s="1"/>
      <c r="L23" s="1"/>
      <c r="N23" s="12" t="s">
        <v>186</v>
      </c>
      <c r="O23" s="12" t="s">
        <v>454</v>
      </c>
    </row>
    <row r="24" spans="2:15" ht="15" thickBot="1">
      <c r="B24" s="3" t="s">
        <v>539</v>
      </c>
      <c r="C24" s="30" t="s">
        <v>299</v>
      </c>
      <c r="D24" s="41">
        <v>500</v>
      </c>
      <c r="E24" s="62">
        <v>1000</v>
      </c>
      <c r="F24" s="41">
        <v>2000</v>
      </c>
      <c r="G24" s="41">
        <v>5000</v>
      </c>
      <c r="H24" s="41">
        <v>10000</v>
      </c>
      <c r="I24" s="41">
        <v>15000</v>
      </c>
      <c r="J24" s="3"/>
      <c r="K24" s="3"/>
      <c r="L24" s="3"/>
      <c r="N24" s="12" t="s">
        <v>188</v>
      </c>
      <c r="O24" s="12" t="s">
        <v>413</v>
      </c>
    </row>
    <row r="25" spans="2:15" ht="15" thickBot="1">
      <c r="B25" s="3" t="s">
        <v>540</v>
      </c>
      <c r="C25" s="30" t="s">
        <v>221</v>
      </c>
      <c r="D25" s="73">
        <v>250</v>
      </c>
      <c r="E25" s="73">
        <v>500</v>
      </c>
      <c r="F25" s="73">
        <v>1000</v>
      </c>
      <c r="G25" s="73">
        <v>2500</v>
      </c>
      <c r="H25" s="73">
        <v>5000</v>
      </c>
      <c r="I25" s="73">
        <v>7500</v>
      </c>
      <c r="J25" s="3"/>
      <c r="K25" s="3" t="s">
        <v>172</v>
      </c>
      <c r="L25" s="3"/>
      <c r="N25" s="12" t="s">
        <v>192</v>
      </c>
      <c r="O25" s="12" t="s">
        <v>559</v>
      </c>
    </row>
    <row r="26" spans="2:15" ht="15" thickBot="1">
      <c r="B26" s="3" t="s">
        <v>541</v>
      </c>
      <c r="C26" s="30" t="s">
        <v>302</v>
      </c>
      <c r="D26" s="3">
        <v>500</v>
      </c>
      <c r="E26" s="3">
        <v>500</v>
      </c>
      <c r="F26" s="3">
        <v>500</v>
      </c>
      <c r="G26" s="3">
        <v>500</v>
      </c>
      <c r="H26" s="3">
        <v>500</v>
      </c>
      <c r="I26" s="3">
        <v>500</v>
      </c>
      <c r="J26" s="3"/>
      <c r="K26" s="3" t="s">
        <v>172</v>
      </c>
      <c r="L26" s="3" t="s">
        <v>224</v>
      </c>
      <c r="N26" s="12" t="s">
        <v>172</v>
      </c>
      <c r="O26" s="12" t="s">
        <v>560</v>
      </c>
    </row>
    <row r="27" spans="2:15" ht="15" thickBot="1">
      <c r="B27" s="3" t="s">
        <v>542</v>
      </c>
      <c r="C27" s="30" t="s">
        <v>543</v>
      </c>
      <c r="D27" s="73">
        <v>250</v>
      </c>
      <c r="E27" s="73">
        <v>500</v>
      </c>
      <c r="F27" s="73">
        <v>1000</v>
      </c>
      <c r="G27" s="73">
        <v>2500</v>
      </c>
      <c r="H27" s="73">
        <v>5000</v>
      </c>
      <c r="I27" s="73">
        <v>7500</v>
      </c>
      <c r="J27" s="3"/>
      <c r="K27" s="3"/>
      <c r="L27" s="3" t="s">
        <v>233</v>
      </c>
      <c r="N27" s="12" t="s">
        <v>179</v>
      </c>
      <c r="O27" s="12" t="s">
        <v>561</v>
      </c>
    </row>
    <row r="28" spans="2:15" ht="15" thickBot="1">
      <c r="B28" s="3" t="s">
        <v>544</v>
      </c>
      <c r="C28" s="30" t="s">
        <v>223</v>
      </c>
      <c r="D28" s="46">
        <v>97</v>
      </c>
      <c r="E28" s="46">
        <v>97</v>
      </c>
      <c r="F28" s="46">
        <v>97</v>
      </c>
      <c r="G28" s="46">
        <v>97</v>
      </c>
      <c r="H28" s="46">
        <v>97</v>
      </c>
      <c r="I28" s="46">
        <v>97</v>
      </c>
      <c r="J28" s="3"/>
      <c r="K28" s="3" t="s">
        <v>355</v>
      </c>
      <c r="L28" s="3" t="s">
        <v>545</v>
      </c>
      <c r="N28" s="12" t="s">
        <v>196</v>
      </c>
      <c r="O28" s="12" t="s">
        <v>562</v>
      </c>
    </row>
    <row r="29" spans="2:15" ht="15" thickBot="1">
      <c r="B29" s="3" t="s">
        <v>546</v>
      </c>
      <c r="C29" s="30" t="s">
        <v>223</v>
      </c>
      <c r="D29" s="46">
        <v>46</v>
      </c>
      <c r="E29" s="46">
        <v>46</v>
      </c>
      <c r="F29" s="46">
        <v>46</v>
      </c>
      <c r="G29" s="46">
        <v>46</v>
      </c>
      <c r="H29" s="46">
        <v>46</v>
      </c>
      <c r="I29" s="46">
        <v>46</v>
      </c>
      <c r="J29" s="3"/>
      <c r="K29" s="3" t="s">
        <v>186</v>
      </c>
      <c r="L29" s="3" t="s">
        <v>252</v>
      </c>
    </row>
    <row r="30" spans="2:15" ht="15" thickBot="1">
      <c r="B30" s="3" t="s">
        <v>226</v>
      </c>
      <c r="C30" s="5" t="s">
        <v>227</v>
      </c>
      <c r="D30" s="13">
        <v>25</v>
      </c>
      <c r="E30" s="13">
        <v>25</v>
      </c>
      <c r="F30" s="13">
        <v>25</v>
      </c>
      <c r="G30" s="13">
        <v>25</v>
      </c>
      <c r="H30" s="13">
        <v>25</v>
      </c>
      <c r="I30" s="13">
        <v>25</v>
      </c>
      <c r="J30" s="3"/>
      <c r="K30" s="3" t="s">
        <v>547</v>
      </c>
      <c r="L30" s="3" t="s">
        <v>250</v>
      </c>
    </row>
    <row r="31" spans="2:15" ht="15" thickBot="1">
      <c r="B31" s="1" t="s">
        <v>463</v>
      </c>
      <c r="C31" s="2" t="s">
        <v>216</v>
      </c>
      <c r="D31" s="1"/>
      <c r="E31" s="1"/>
      <c r="F31" s="1"/>
      <c r="G31" s="1"/>
      <c r="H31" s="1"/>
      <c r="I31" s="1"/>
      <c r="J31" s="1"/>
      <c r="K31" s="1"/>
      <c r="L31" s="1"/>
    </row>
    <row r="32" spans="2:15" ht="15" thickBot="1">
      <c r="B32" s="3" t="s">
        <v>230</v>
      </c>
      <c r="C32" s="3" t="s">
        <v>549</v>
      </c>
      <c r="D32" s="13">
        <v>473</v>
      </c>
      <c r="E32" s="13">
        <v>438</v>
      </c>
      <c r="F32" s="13">
        <v>406</v>
      </c>
      <c r="G32" s="13">
        <v>367</v>
      </c>
      <c r="H32" s="13">
        <v>341</v>
      </c>
      <c r="I32" s="13">
        <v>327</v>
      </c>
      <c r="J32" s="33">
        <v>0.25</v>
      </c>
      <c r="K32" s="3" t="s">
        <v>484</v>
      </c>
      <c r="L32" s="3"/>
    </row>
    <row r="33" spans="2:15" ht="15" thickBot="1">
      <c r="B33" s="3" t="s">
        <v>230</v>
      </c>
      <c r="C33" s="3" t="s">
        <v>318</v>
      </c>
      <c r="D33" s="13">
        <v>946</v>
      </c>
      <c r="E33" s="13">
        <v>875</v>
      </c>
      <c r="F33" s="13">
        <v>812</v>
      </c>
      <c r="G33" s="13">
        <v>734</v>
      </c>
      <c r="H33" s="13">
        <v>681</v>
      </c>
      <c r="I33" s="13">
        <v>653</v>
      </c>
      <c r="J33" s="33"/>
      <c r="K33" s="3"/>
      <c r="L33" s="3"/>
    </row>
    <row r="34" spans="2:15" ht="15" thickBot="1">
      <c r="B34" s="36" t="s">
        <v>236</v>
      </c>
      <c r="C34" s="3" t="s">
        <v>223</v>
      </c>
      <c r="D34" s="46">
        <v>85</v>
      </c>
      <c r="E34" s="46">
        <v>85</v>
      </c>
      <c r="F34" s="46">
        <v>85</v>
      </c>
      <c r="G34" s="46">
        <v>85</v>
      </c>
      <c r="H34" s="46">
        <v>85</v>
      </c>
      <c r="I34" s="46">
        <v>85</v>
      </c>
      <c r="J34" s="3"/>
      <c r="K34" s="3" t="s">
        <v>186</v>
      </c>
      <c r="L34" s="3"/>
    </row>
    <row r="35" spans="2:15" ht="15" thickBot="1">
      <c r="B35" s="36" t="s">
        <v>237</v>
      </c>
      <c r="C35" s="3" t="s">
        <v>223</v>
      </c>
      <c r="D35" s="46">
        <v>15</v>
      </c>
      <c r="E35" s="46">
        <v>15</v>
      </c>
      <c r="F35" s="46">
        <v>15</v>
      </c>
      <c r="G35" s="46">
        <v>15</v>
      </c>
      <c r="H35" s="46">
        <v>15</v>
      </c>
      <c r="I35" s="46">
        <v>15</v>
      </c>
      <c r="J35" s="3"/>
      <c r="K35" s="3" t="s">
        <v>186</v>
      </c>
      <c r="L35" s="3"/>
    </row>
    <row r="36" spans="2:15" ht="15" thickBot="1">
      <c r="B36" s="30" t="s">
        <v>263</v>
      </c>
      <c r="C36" s="3" t="s">
        <v>428</v>
      </c>
      <c r="D36" s="41">
        <v>236</v>
      </c>
      <c r="E36" s="41">
        <v>438</v>
      </c>
      <c r="F36" s="41">
        <v>812</v>
      </c>
      <c r="G36" s="41">
        <v>1836</v>
      </c>
      <c r="H36" s="41">
        <v>3405</v>
      </c>
      <c r="I36" s="41">
        <v>4900</v>
      </c>
      <c r="J36" s="33">
        <v>0.25</v>
      </c>
      <c r="K36" s="3"/>
      <c r="L36" s="3"/>
    </row>
    <row r="37" spans="2:15" ht="15" thickBot="1">
      <c r="B37" s="3" t="s">
        <v>242</v>
      </c>
      <c r="C37" s="3" t="s">
        <v>556</v>
      </c>
      <c r="D37" s="41">
        <v>2837</v>
      </c>
      <c r="E37" s="41">
        <v>5252</v>
      </c>
      <c r="F37" s="41">
        <v>9740</v>
      </c>
      <c r="G37" s="41">
        <v>22035</v>
      </c>
      <c r="H37" s="41">
        <v>40863</v>
      </c>
      <c r="I37" s="41">
        <v>58803</v>
      </c>
      <c r="J37" s="3"/>
      <c r="K37" s="3" t="s">
        <v>557</v>
      </c>
      <c r="L37" s="3"/>
    </row>
    <row r="38" spans="2:15">
      <c r="D38" s="44"/>
      <c r="E38" s="44"/>
      <c r="F38" s="44"/>
      <c r="G38" s="44"/>
      <c r="H38" s="44"/>
      <c r="I38" s="44"/>
    </row>
    <row r="40" spans="2:15">
      <c r="B40" s="4" t="s">
        <v>214</v>
      </c>
      <c r="C40" s="4">
        <v>2040</v>
      </c>
    </row>
    <row r="41" spans="2:15" ht="15" thickBot="1">
      <c r="B41" s="1" t="s">
        <v>215</v>
      </c>
      <c r="C41" s="2" t="s">
        <v>216</v>
      </c>
      <c r="D41" s="1"/>
      <c r="E41" s="2"/>
      <c r="F41" s="1"/>
      <c r="G41" s="1"/>
      <c r="H41" s="1"/>
      <c r="I41" s="1"/>
      <c r="J41" s="1"/>
      <c r="K41" s="1"/>
      <c r="L41" s="1"/>
    </row>
    <row r="42" spans="2:15" ht="15" thickBot="1">
      <c r="B42" s="3" t="s">
        <v>539</v>
      </c>
      <c r="C42" s="30" t="s">
        <v>299</v>
      </c>
      <c r="D42" s="41">
        <v>500</v>
      </c>
      <c r="E42" s="62">
        <v>1000</v>
      </c>
      <c r="F42" s="41">
        <v>2000</v>
      </c>
      <c r="G42" s="41">
        <v>5000</v>
      </c>
      <c r="H42" s="41">
        <v>10000</v>
      </c>
      <c r="I42" s="41">
        <v>15000</v>
      </c>
      <c r="J42" s="3"/>
      <c r="K42" s="3"/>
      <c r="L42" s="3"/>
      <c r="N42" s="4"/>
      <c r="O42" s="12"/>
    </row>
    <row r="43" spans="2:15" ht="15" thickBot="1">
      <c r="B43" s="3" t="s">
        <v>540</v>
      </c>
      <c r="C43" s="30" t="s">
        <v>221</v>
      </c>
      <c r="D43" s="73">
        <v>250</v>
      </c>
      <c r="E43" s="73">
        <v>500</v>
      </c>
      <c r="F43" s="73">
        <v>1000</v>
      </c>
      <c r="G43" s="73">
        <v>2500</v>
      </c>
      <c r="H43" s="73">
        <v>5000</v>
      </c>
      <c r="I43" s="73">
        <v>7500</v>
      </c>
      <c r="J43" s="3"/>
      <c r="K43" s="3" t="s">
        <v>172</v>
      </c>
      <c r="L43" s="3"/>
      <c r="N43" s="12"/>
      <c r="O43" s="12"/>
    </row>
    <row r="44" spans="2:15" ht="15" thickBot="1">
      <c r="B44" s="3" t="s">
        <v>541</v>
      </c>
      <c r="C44" s="30" t="s">
        <v>302</v>
      </c>
      <c r="D44" s="3">
        <v>500</v>
      </c>
      <c r="E44" s="3">
        <v>500</v>
      </c>
      <c r="F44" s="3">
        <v>500</v>
      </c>
      <c r="G44" s="3">
        <v>500</v>
      </c>
      <c r="H44" s="3">
        <v>500</v>
      </c>
      <c r="I44" s="3">
        <v>500</v>
      </c>
      <c r="J44" s="3"/>
      <c r="K44" s="3" t="s">
        <v>172</v>
      </c>
      <c r="L44" s="3" t="s">
        <v>224</v>
      </c>
      <c r="N44" s="12"/>
    </row>
    <row r="45" spans="2:15" ht="15" thickBot="1">
      <c r="B45" s="3" t="s">
        <v>542</v>
      </c>
      <c r="C45" s="30" t="s">
        <v>543</v>
      </c>
      <c r="D45" s="73">
        <v>250</v>
      </c>
      <c r="E45" s="73">
        <v>500</v>
      </c>
      <c r="F45" s="73">
        <v>1000</v>
      </c>
      <c r="G45" s="73">
        <v>2500</v>
      </c>
      <c r="H45" s="73">
        <v>5000</v>
      </c>
      <c r="I45" s="73">
        <v>7500</v>
      </c>
      <c r="J45" s="3"/>
      <c r="K45" s="3"/>
      <c r="L45" s="3" t="s">
        <v>233</v>
      </c>
      <c r="N45" s="12"/>
      <c r="O45" s="12"/>
    </row>
    <row r="46" spans="2:15" ht="15" thickBot="1">
      <c r="B46" s="3" t="s">
        <v>544</v>
      </c>
      <c r="C46" s="30" t="s">
        <v>223</v>
      </c>
      <c r="D46" s="46">
        <v>97</v>
      </c>
      <c r="E46" s="46">
        <v>97</v>
      </c>
      <c r="F46" s="46">
        <v>97</v>
      </c>
      <c r="G46" s="46">
        <v>97</v>
      </c>
      <c r="H46" s="46">
        <v>97</v>
      </c>
      <c r="I46" s="46">
        <v>97</v>
      </c>
      <c r="J46" s="3"/>
      <c r="K46" s="3" t="s">
        <v>355</v>
      </c>
      <c r="L46" s="3" t="s">
        <v>545</v>
      </c>
      <c r="N46" s="12"/>
    </row>
    <row r="47" spans="2:15" ht="15" thickBot="1">
      <c r="B47" s="3" t="s">
        <v>546</v>
      </c>
      <c r="C47" s="30" t="s">
        <v>223</v>
      </c>
      <c r="D47" s="46">
        <v>50</v>
      </c>
      <c r="E47" s="46">
        <v>50</v>
      </c>
      <c r="F47" s="46">
        <v>50</v>
      </c>
      <c r="G47" s="46">
        <v>50</v>
      </c>
      <c r="H47" s="46">
        <v>50</v>
      </c>
      <c r="I47" s="46">
        <v>50</v>
      </c>
      <c r="J47" s="3"/>
      <c r="K47" s="3" t="s">
        <v>186</v>
      </c>
      <c r="L47" s="3" t="s">
        <v>252</v>
      </c>
      <c r="N47" s="12"/>
    </row>
    <row r="48" spans="2:15" ht="15" thickBot="1">
      <c r="B48" s="3" t="s">
        <v>226</v>
      </c>
      <c r="C48" s="5" t="s">
        <v>227</v>
      </c>
      <c r="D48" s="13">
        <v>25</v>
      </c>
      <c r="E48" s="13">
        <v>25</v>
      </c>
      <c r="F48" s="13">
        <v>25</v>
      </c>
      <c r="G48" s="13">
        <v>25</v>
      </c>
      <c r="H48" s="13">
        <v>25</v>
      </c>
      <c r="I48" s="13">
        <v>25</v>
      </c>
      <c r="J48" s="3"/>
      <c r="K48" s="3" t="s">
        <v>547</v>
      </c>
      <c r="L48" s="3" t="s">
        <v>250</v>
      </c>
    </row>
    <row r="49" spans="2:12" ht="15" thickBot="1">
      <c r="B49" s="1" t="s">
        <v>463</v>
      </c>
      <c r="C49" s="2" t="s">
        <v>216</v>
      </c>
      <c r="D49" s="1"/>
      <c r="E49" s="1"/>
      <c r="F49" s="1"/>
      <c r="G49" s="1"/>
      <c r="H49" s="1"/>
      <c r="I49" s="1"/>
      <c r="J49" s="1"/>
      <c r="K49" s="1"/>
      <c r="L49" s="1"/>
    </row>
    <row r="50" spans="2:12" ht="15" thickBot="1">
      <c r="B50" s="3" t="s">
        <v>230</v>
      </c>
      <c r="C50" s="3" t="s">
        <v>549</v>
      </c>
      <c r="D50" s="13">
        <v>428</v>
      </c>
      <c r="E50" s="13">
        <v>396</v>
      </c>
      <c r="F50" s="13">
        <v>367</v>
      </c>
      <c r="G50" s="13">
        <v>332</v>
      </c>
      <c r="H50" s="13">
        <v>308</v>
      </c>
      <c r="I50" s="13">
        <v>296</v>
      </c>
      <c r="J50" s="33">
        <v>0.3</v>
      </c>
      <c r="K50" s="3" t="s">
        <v>484</v>
      </c>
      <c r="L50" s="3"/>
    </row>
    <row r="51" spans="2:12" ht="15" thickBot="1">
      <c r="B51" s="3" t="s">
        <v>230</v>
      </c>
      <c r="C51" s="3" t="s">
        <v>318</v>
      </c>
      <c r="D51" s="13">
        <v>855</v>
      </c>
      <c r="E51" s="13">
        <v>792</v>
      </c>
      <c r="F51" s="13">
        <v>734</v>
      </c>
      <c r="G51" s="13">
        <v>664</v>
      </c>
      <c r="H51" s="13">
        <v>616</v>
      </c>
      <c r="I51" s="13">
        <v>591</v>
      </c>
      <c r="J51" s="33"/>
      <c r="K51" s="3"/>
      <c r="L51" s="3"/>
    </row>
    <row r="52" spans="2:12" ht="15" thickBot="1">
      <c r="B52" s="36" t="s">
        <v>236</v>
      </c>
      <c r="C52" s="3" t="s">
        <v>223</v>
      </c>
      <c r="D52" s="46">
        <v>85</v>
      </c>
      <c r="E52" s="46">
        <v>85</v>
      </c>
      <c r="F52" s="46">
        <v>85</v>
      </c>
      <c r="G52" s="46">
        <v>85</v>
      </c>
      <c r="H52" s="46">
        <v>85</v>
      </c>
      <c r="I52" s="46">
        <v>85</v>
      </c>
      <c r="J52" s="3"/>
      <c r="K52" s="3" t="s">
        <v>186</v>
      </c>
      <c r="L52" s="3"/>
    </row>
    <row r="53" spans="2:12" ht="15" thickBot="1">
      <c r="B53" s="36" t="s">
        <v>237</v>
      </c>
      <c r="C53" s="3" t="s">
        <v>223</v>
      </c>
      <c r="D53" s="46">
        <v>15</v>
      </c>
      <c r="E53" s="46">
        <v>15</v>
      </c>
      <c r="F53" s="46">
        <v>15</v>
      </c>
      <c r="G53" s="46">
        <v>15</v>
      </c>
      <c r="H53" s="46">
        <v>15</v>
      </c>
      <c r="I53" s="46">
        <v>15</v>
      </c>
      <c r="J53" s="3"/>
      <c r="K53" s="3" t="s">
        <v>186</v>
      </c>
      <c r="L53" s="3"/>
    </row>
    <row r="54" spans="2:12" ht="15" thickBot="1">
      <c r="B54" s="30" t="s">
        <v>263</v>
      </c>
      <c r="C54" s="3" t="s">
        <v>428</v>
      </c>
      <c r="D54" s="41">
        <v>214</v>
      </c>
      <c r="E54" s="41">
        <v>396</v>
      </c>
      <c r="F54" s="41">
        <v>734</v>
      </c>
      <c r="G54" s="41">
        <v>1661</v>
      </c>
      <c r="H54" s="41">
        <v>3080</v>
      </c>
      <c r="I54" s="41">
        <v>4433</v>
      </c>
      <c r="J54" s="33">
        <v>0.3</v>
      </c>
      <c r="K54" s="3"/>
      <c r="L54" s="3"/>
    </row>
    <row r="55" spans="2:12" ht="15" thickBot="1">
      <c r="B55" s="3" t="s">
        <v>242</v>
      </c>
      <c r="C55" s="3" t="s">
        <v>556</v>
      </c>
      <c r="D55" s="41">
        <v>2566</v>
      </c>
      <c r="E55" s="41">
        <v>4751</v>
      </c>
      <c r="F55" s="41">
        <v>8811</v>
      </c>
      <c r="G55" s="41">
        <v>19933</v>
      </c>
      <c r="H55" s="41">
        <v>36965</v>
      </c>
      <c r="I55" s="41">
        <v>53194</v>
      </c>
      <c r="J55" s="3"/>
      <c r="K55" s="3" t="s">
        <v>557</v>
      </c>
      <c r="L55" s="3"/>
    </row>
    <row r="56" spans="2:12">
      <c r="D56" s="44"/>
      <c r="E56" s="44"/>
      <c r="F56" s="44"/>
      <c r="G56" s="44"/>
      <c r="H56" s="44"/>
      <c r="I56" s="44"/>
    </row>
  </sheetData>
  <sheetProtection algorithmName="SHA-512" hashValue="ONam2kWEUW9nLINuJucQAcz95asqrZ4Dk7sfVg1uRAP7oys0Fd3fSYml727hxj6R7qE9HbDHJRs1PtE33y2taA==" saltValue="9+1w116HXz/3poHWkyKL2Q==" spinCount="100000" sheet="1" objects="1" scenarios="1"/>
  <mergeCells count="1">
    <mergeCell ref="H2:L3"/>
  </mergeCells>
  <conditionalFormatting sqref="J14:J15 J32:J33 J50:J51 J7:J11 J25:J29 J43:J47 J18:J19 J36:J37 J54:J55">
    <cfRule type="colorScale" priority="1">
      <colorScale>
        <cfvo type="num" val="0"/>
        <cfvo type="num" val="0.5"/>
        <color theme="0"/>
        <color theme="5"/>
      </colorScale>
    </cfRule>
  </conditionalFormatting>
  <hyperlinks>
    <hyperlink ref="A1" location="Inhalt!A1" display="Zum Inhalt" xr:uid="{E210B2F1-CA02-436A-BC0A-67F2B8AA464C}"/>
  </hyperlinks>
  <pageMargins left="0.7" right="0.7" top="0.78740157499999996" bottom="0.78740157499999996" header="0.3" footer="0.3"/>
  <pageSetup paperSize="9" orientation="portrait" verticalDpi="0"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BD94-98D4-4C7B-9E29-4D44ABDC5868}">
  <sheetPr codeName="Tabelle40"/>
  <dimension ref="A1:Y40"/>
  <sheetViews>
    <sheetView zoomScaleNormal="100" workbookViewId="0">
      <selection activeCell="E13" sqref="E13"/>
    </sheetView>
  </sheetViews>
  <sheetFormatPr baseColWidth="10" defaultColWidth="11.44140625" defaultRowHeight="14.4"/>
  <cols>
    <col min="2" max="2" width="24.44140625" bestFit="1" customWidth="1"/>
    <col min="13" max="13" width="12.6640625" customWidth="1"/>
  </cols>
  <sheetData>
    <row r="1" spans="1:25" ht="28.2" thickBot="1">
      <c r="A1" s="99" t="s">
        <v>143</v>
      </c>
    </row>
    <row r="2" spans="1:25" ht="19.5" customHeight="1">
      <c r="F2" s="142" t="s">
        <v>212</v>
      </c>
      <c r="G2" s="143"/>
      <c r="H2" s="143"/>
      <c r="I2" s="143"/>
      <c r="J2" s="143"/>
      <c r="K2" s="144"/>
    </row>
    <row r="3" spans="1:25" ht="19.5" customHeight="1" thickBot="1">
      <c r="B3" s="4" t="s">
        <v>213</v>
      </c>
      <c r="C3" s="4" t="s">
        <v>140</v>
      </c>
      <c r="F3" s="145"/>
      <c r="G3" s="146"/>
      <c r="H3" s="146"/>
      <c r="I3" s="146"/>
      <c r="J3" s="146"/>
      <c r="K3" s="147"/>
    </row>
    <row r="4" spans="1:25">
      <c r="B4" s="4" t="s">
        <v>214</v>
      </c>
      <c r="C4" s="4">
        <v>2023</v>
      </c>
    </row>
    <row r="5" spans="1:25" ht="15" thickBot="1">
      <c r="B5" s="1" t="s">
        <v>215</v>
      </c>
      <c r="C5" s="2" t="s">
        <v>216</v>
      </c>
      <c r="D5" s="1"/>
      <c r="E5" s="2"/>
      <c r="F5" s="1"/>
      <c r="G5" s="1"/>
      <c r="H5" s="1"/>
      <c r="I5" s="1" t="s">
        <v>217</v>
      </c>
      <c r="J5" s="1" t="s">
        <v>147</v>
      </c>
      <c r="K5" s="1" t="s">
        <v>148</v>
      </c>
      <c r="M5" s="4" t="s">
        <v>218</v>
      </c>
      <c r="N5" s="12" t="s">
        <v>563</v>
      </c>
    </row>
    <row r="6" spans="1:25" ht="15" thickBot="1">
      <c r="B6" s="3" t="s">
        <v>220</v>
      </c>
      <c r="C6" s="30" t="s">
        <v>564</v>
      </c>
      <c r="D6" s="3">
        <v>0.5</v>
      </c>
      <c r="E6" s="31">
        <v>5</v>
      </c>
      <c r="F6" s="3">
        <v>10</v>
      </c>
      <c r="G6" s="3">
        <v>20</v>
      </c>
      <c r="H6" s="3">
        <v>50</v>
      </c>
      <c r="I6" s="3"/>
      <c r="J6" s="3"/>
      <c r="K6" s="3" t="s">
        <v>244</v>
      </c>
      <c r="M6" s="4" t="s">
        <v>214</v>
      </c>
      <c r="N6" s="4">
        <v>2023</v>
      </c>
      <c r="O6" s="4">
        <v>2030</v>
      </c>
      <c r="P6" s="4">
        <v>2040</v>
      </c>
    </row>
    <row r="7" spans="1:25" ht="15" thickBot="1">
      <c r="B7" s="3" t="s">
        <v>222</v>
      </c>
      <c r="C7" s="5" t="s">
        <v>223</v>
      </c>
      <c r="D7" s="3">
        <v>90</v>
      </c>
      <c r="E7" s="3">
        <v>90</v>
      </c>
      <c r="F7" s="3">
        <v>90</v>
      </c>
      <c r="G7" s="3">
        <v>90</v>
      </c>
      <c r="H7" s="3">
        <v>90</v>
      </c>
      <c r="I7" s="33"/>
      <c r="J7" s="3" t="s">
        <v>151</v>
      </c>
      <c r="K7" s="3" t="s">
        <v>376</v>
      </c>
      <c r="M7" s="12" t="s">
        <v>225</v>
      </c>
      <c r="N7" s="12">
        <v>4455.7</v>
      </c>
      <c r="O7" s="12">
        <v>4010.2</v>
      </c>
      <c r="P7" s="12">
        <v>3564.6</v>
      </c>
    </row>
    <row r="8" spans="1:25" ht="15" thickBot="1">
      <c r="B8" s="3" t="s">
        <v>226</v>
      </c>
      <c r="C8" s="5" t="s">
        <v>227</v>
      </c>
      <c r="D8" s="3">
        <v>30</v>
      </c>
      <c r="E8" s="3">
        <v>30</v>
      </c>
      <c r="F8" s="3">
        <v>30</v>
      </c>
      <c r="G8" s="3">
        <v>30</v>
      </c>
      <c r="H8" s="3">
        <v>30</v>
      </c>
      <c r="I8" s="3"/>
      <c r="J8" s="3" t="s">
        <v>484</v>
      </c>
      <c r="K8" s="3" t="s">
        <v>243</v>
      </c>
      <c r="M8" s="12" t="s">
        <v>228</v>
      </c>
      <c r="N8" s="12">
        <v>-8.6999999999999994E-2</v>
      </c>
      <c r="O8" s="12">
        <v>-8.6999999999999994E-2</v>
      </c>
      <c r="P8" s="12">
        <v>-8.6999999999999994E-2</v>
      </c>
      <c r="Y8" s="44"/>
    </row>
    <row r="9" spans="1:25" ht="15" thickBot="1">
      <c r="B9" s="1" t="s">
        <v>565</v>
      </c>
      <c r="C9" s="2" t="s">
        <v>216</v>
      </c>
      <c r="D9" s="1"/>
      <c r="E9" s="1"/>
      <c r="F9" s="1"/>
      <c r="G9" s="1"/>
      <c r="H9" s="1"/>
      <c r="I9" s="1"/>
      <c r="J9" s="1"/>
      <c r="K9" s="1"/>
      <c r="Y9" s="44"/>
    </row>
    <row r="10" spans="1:25" ht="15" thickBot="1">
      <c r="B10" s="3" t="s">
        <v>230</v>
      </c>
      <c r="C10" s="3" t="s">
        <v>318</v>
      </c>
      <c r="D10" s="41">
        <v>4733</v>
      </c>
      <c r="E10" s="41">
        <v>3873</v>
      </c>
      <c r="F10" s="41">
        <v>3647</v>
      </c>
      <c r="G10" s="41">
        <v>3433</v>
      </c>
      <c r="H10" s="41">
        <v>3170</v>
      </c>
      <c r="I10" s="33">
        <v>0.25</v>
      </c>
      <c r="J10" s="3" t="s">
        <v>305</v>
      </c>
      <c r="K10" s="3"/>
      <c r="M10" s="4" t="s">
        <v>234</v>
      </c>
      <c r="N10" s="12" t="s">
        <v>566</v>
      </c>
    </row>
    <row r="11" spans="1:25" ht="15" thickBot="1">
      <c r="B11" s="36" t="s">
        <v>236</v>
      </c>
      <c r="C11" s="3" t="s">
        <v>223</v>
      </c>
      <c r="D11" s="46">
        <v>30</v>
      </c>
      <c r="E11" s="46">
        <v>32</v>
      </c>
      <c r="F11" s="46">
        <v>34</v>
      </c>
      <c r="G11" s="46">
        <v>38</v>
      </c>
      <c r="H11" s="46">
        <v>50</v>
      </c>
      <c r="I11" s="3"/>
      <c r="J11" s="3" t="s">
        <v>567</v>
      </c>
      <c r="K11" s="3" t="s">
        <v>224</v>
      </c>
    </row>
    <row r="12" spans="1:25" ht="15" thickBot="1">
      <c r="B12" s="36" t="s">
        <v>237</v>
      </c>
      <c r="C12" s="3" t="s">
        <v>223</v>
      </c>
      <c r="D12" s="46">
        <v>70</v>
      </c>
      <c r="E12" s="46">
        <v>68</v>
      </c>
      <c r="F12" s="46">
        <v>66</v>
      </c>
      <c r="G12" s="46">
        <v>62</v>
      </c>
      <c r="H12" s="46">
        <v>50</v>
      </c>
      <c r="I12" s="3"/>
      <c r="J12" s="3"/>
      <c r="K12" s="3"/>
      <c r="M12" s="4" t="s">
        <v>148</v>
      </c>
    </row>
    <row r="13" spans="1:25" ht="15" thickBot="1">
      <c r="B13" s="30" t="s">
        <v>263</v>
      </c>
      <c r="C13" s="3" t="s">
        <v>428</v>
      </c>
      <c r="D13" s="41">
        <v>2366</v>
      </c>
      <c r="E13" s="41">
        <v>19367</v>
      </c>
      <c r="F13" s="41">
        <v>36467</v>
      </c>
      <c r="G13" s="41">
        <v>68666</v>
      </c>
      <c r="H13" s="41">
        <v>158513</v>
      </c>
      <c r="I13" s="33">
        <v>0.25</v>
      </c>
      <c r="J13" s="3"/>
      <c r="K13" s="3"/>
      <c r="M13" s="12" t="s">
        <v>240</v>
      </c>
      <c r="N13" s="12" t="s">
        <v>568</v>
      </c>
    </row>
    <row r="14" spans="1:25" ht="15" thickBot="1">
      <c r="B14" s="3" t="s">
        <v>242</v>
      </c>
      <c r="C14" s="3" t="s">
        <v>321</v>
      </c>
      <c r="D14" s="41">
        <v>71</v>
      </c>
      <c r="E14" s="41">
        <v>58</v>
      </c>
      <c r="F14" s="41">
        <v>55</v>
      </c>
      <c r="G14" s="41">
        <v>51</v>
      </c>
      <c r="H14" s="41">
        <v>48</v>
      </c>
      <c r="I14" s="3"/>
      <c r="J14" s="3" t="s">
        <v>196</v>
      </c>
      <c r="K14" s="3" t="s">
        <v>250</v>
      </c>
      <c r="M14" s="12" t="s">
        <v>244</v>
      </c>
      <c r="N14" s="12" t="s">
        <v>569</v>
      </c>
    </row>
    <row r="15" spans="1:25">
      <c r="D15" s="57"/>
      <c r="E15" s="57"/>
      <c r="F15" s="57"/>
      <c r="G15" s="57"/>
      <c r="H15" s="57"/>
      <c r="M15" s="12" t="s">
        <v>224</v>
      </c>
      <c r="N15" s="12" t="s">
        <v>570</v>
      </c>
    </row>
    <row r="16" spans="1:25">
      <c r="D16" s="57"/>
      <c r="E16" s="57"/>
      <c r="F16" s="57"/>
      <c r="G16" s="57"/>
      <c r="H16" s="57"/>
      <c r="M16" s="12" t="s">
        <v>250</v>
      </c>
      <c r="N16" s="12" t="s">
        <v>571</v>
      </c>
    </row>
    <row r="17" spans="2:14">
      <c r="B17" s="4" t="s">
        <v>214</v>
      </c>
      <c r="C17" s="4">
        <v>2030</v>
      </c>
      <c r="M17" s="12" t="s">
        <v>252</v>
      </c>
      <c r="N17" s="12" t="s">
        <v>572</v>
      </c>
    </row>
    <row r="18" spans="2:14" ht="15" thickBot="1">
      <c r="B18" s="1" t="s">
        <v>215</v>
      </c>
      <c r="C18" s="2" t="s">
        <v>216</v>
      </c>
      <c r="D18" s="1"/>
      <c r="E18" s="2"/>
      <c r="F18" s="1"/>
      <c r="G18" s="1"/>
      <c r="H18" s="1"/>
      <c r="I18" s="1"/>
      <c r="J18" s="1"/>
      <c r="K18" s="1"/>
      <c r="M18" s="12" t="s">
        <v>249</v>
      </c>
      <c r="N18" s="12" t="s">
        <v>573</v>
      </c>
    </row>
    <row r="19" spans="2:14" ht="15" thickBot="1">
      <c r="B19" s="3" t="s">
        <v>220</v>
      </c>
      <c r="C19" s="30" t="s">
        <v>564</v>
      </c>
      <c r="D19" s="3">
        <v>0.5</v>
      </c>
      <c r="E19" s="31">
        <v>5</v>
      </c>
      <c r="F19" s="3">
        <v>10</v>
      </c>
      <c r="G19" s="3">
        <v>20</v>
      </c>
      <c r="H19" s="3">
        <v>50</v>
      </c>
      <c r="I19" s="3"/>
      <c r="J19" s="3"/>
      <c r="K19" s="3" t="s">
        <v>304</v>
      </c>
      <c r="M19" s="12" t="s">
        <v>243</v>
      </c>
      <c r="N19" s="12" t="s">
        <v>574</v>
      </c>
    </row>
    <row r="20" spans="2:14" ht="15" thickBot="1">
      <c r="B20" s="3" t="s">
        <v>222</v>
      </c>
      <c r="C20" s="5" t="s">
        <v>223</v>
      </c>
      <c r="D20" s="3">
        <v>90</v>
      </c>
      <c r="E20" s="3">
        <v>90</v>
      </c>
      <c r="F20" s="3">
        <v>90</v>
      </c>
      <c r="G20" s="3">
        <v>90</v>
      </c>
      <c r="H20" s="3">
        <v>90</v>
      </c>
      <c r="I20" s="33"/>
      <c r="J20" s="3" t="s">
        <v>151</v>
      </c>
      <c r="K20" s="3" t="s">
        <v>376</v>
      </c>
      <c r="M20" s="12" t="s">
        <v>376</v>
      </c>
      <c r="N20" s="12" t="s">
        <v>575</v>
      </c>
    </row>
    <row r="21" spans="2:14" ht="15" thickBot="1">
      <c r="B21" s="3" t="s">
        <v>226</v>
      </c>
      <c r="C21" s="5" t="s">
        <v>227</v>
      </c>
      <c r="D21" s="3">
        <v>35</v>
      </c>
      <c r="E21" s="3">
        <v>35</v>
      </c>
      <c r="F21" s="3">
        <v>35</v>
      </c>
      <c r="G21" s="3">
        <v>35</v>
      </c>
      <c r="H21" s="3">
        <v>35</v>
      </c>
      <c r="I21" s="3"/>
      <c r="J21" s="3" t="s">
        <v>484</v>
      </c>
      <c r="K21" s="3" t="s">
        <v>243</v>
      </c>
    </row>
    <row r="22" spans="2:14" ht="15" thickBot="1">
      <c r="B22" s="1" t="s">
        <v>565</v>
      </c>
      <c r="C22" s="2" t="s">
        <v>216</v>
      </c>
      <c r="D22" s="1"/>
      <c r="E22" s="1"/>
      <c r="F22" s="1"/>
      <c r="G22" s="1"/>
      <c r="H22" s="1"/>
      <c r="I22" s="1"/>
      <c r="J22" s="1"/>
      <c r="K22" s="1"/>
      <c r="M22" s="4" t="s">
        <v>147</v>
      </c>
    </row>
    <row r="23" spans="2:14" ht="15" thickBot="1">
      <c r="B23" s="3" t="s">
        <v>230</v>
      </c>
      <c r="C23" s="3" t="s">
        <v>318</v>
      </c>
      <c r="D23" s="41">
        <v>4260</v>
      </c>
      <c r="E23" s="41">
        <v>3486</v>
      </c>
      <c r="F23" s="41">
        <v>3282</v>
      </c>
      <c r="G23" s="41">
        <v>3090</v>
      </c>
      <c r="H23" s="41">
        <v>2853</v>
      </c>
      <c r="I23" s="33">
        <v>0.35</v>
      </c>
      <c r="J23" s="3" t="s">
        <v>305</v>
      </c>
      <c r="K23" s="3" t="s">
        <v>240</v>
      </c>
      <c r="M23" s="12" t="s">
        <v>151</v>
      </c>
      <c r="N23" s="12" t="s">
        <v>185</v>
      </c>
    </row>
    <row r="24" spans="2:14" ht="15" thickBot="1">
      <c r="B24" s="36" t="s">
        <v>236</v>
      </c>
      <c r="C24" s="3" t="s">
        <v>223</v>
      </c>
      <c r="D24" s="46">
        <v>30</v>
      </c>
      <c r="E24" s="46">
        <v>32</v>
      </c>
      <c r="F24" s="46">
        <v>34</v>
      </c>
      <c r="G24" s="46">
        <v>38</v>
      </c>
      <c r="H24" s="46">
        <v>50</v>
      </c>
      <c r="I24" s="3"/>
      <c r="J24" s="3" t="s">
        <v>567</v>
      </c>
      <c r="K24" s="3" t="s">
        <v>224</v>
      </c>
      <c r="M24" s="12" t="s">
        <v>184</v>
      </c>
      <c r="N24" s="12" t="s">
        <v>265</v>
      </c>
    </row>
    <row r="25" spans="2:14" ht="15" thickBot="1">
      <c r="B25" s="36" t="s">
        <v>237</v>
      </c>
      <c r="C25" s="3" t="s">
        <v>223</v>
      </c>
      <c r="D25" s="46">
        <v>70</v>
      </c>
      <c r="E25" s="46">
        <v>68</v>
      </c>
      <c r="F25" s="46">
        <v>66</v>
      </c>
      <c r="G25" s="46">
        <v>62</v>
      </c>
      <c r="H25" s="46">
        <v>50</v>
      </c>
      <c r="I25" s="3"/>
      <c r="J25" s="3"/>
      <c r="K25" s="3"/>
      <c r="M25" s="12" t="s">
        <v>186</v>
      </c>
      <c r="N25" s="12" t="s">
        <v>576</v>
      </c>
    </row>
    <row r="26" spans="2:14" ht="15" thickBot="1">
      <c r="B26" s="30" t="s">
        <v>263</v>
      </c>
      <c r="C26" s="3" t="s">
        <v>428</v>
      </c>
      <c r="D26" s="41">
        <v>2130</v>
      </c>
      <c r="E26" s="41">
        <v>17430</v>
      </c>
      <c r="F26" s="41">
        <v>32820</v>
      </c>
      <c r="G26" s="41">
        <v>61799</v>
      </c>
      <c r="H26" s="41">
        <v>142662</v>
      </c>
      <c r="I26" s="33">
        <v>0.35</v>
      </c>
      <c r="J26" s="3"/>
      <c r="K26" s="3" t="s">
        <v>240</v>
      </c>
      <c r="M26" s="12" t="s">
        <v>188</v>
      </c>
      <c r="N26" s="12" t="s">
        <v>577</v>
      </c>
    </row>
    <row r="27" spans="2:14" ht="15" thickBot="1">
      <c r="B27" s="3" t="s">
        <v>242</v>
      </c>
      <c r="C27" s="3" t="s">
        <v>321</v>
      </c>
      <c r="D27" s="41">
        <v>64</v>
      </c>
      <c r="E27" s="41">
        <v>52</v>
      </c>
      <c r="F27" s="41">
        <v>49</v>
      </c>
      <c r="G27" s="41">
        <v>46</v>
      </c>
      <c r="H27" s="41">
        <v>43</v>
      </c>
      <c r="I27" s="3"/>
      <c r="J27" s="3" t="s">
        <v>196</v>
      </c>
      <c r="K27" s="3" t="s">
        <v>578</v>
      </c>
      <c r="M27" s="12" t="s">
        <v>172</v>
      </c>
      <c r="N27" s="12" t="s">
        <v>579</v>
      </c>
    </row>
    <row r="28" spans="2:14">
      <c r="M28" s="12" t="s">
        <v>179</v>
      </c>
      <c r="N28" s="12" t="s">
        <v>580</v>
      </c>
    </row>
    <row r="29" spans="2:14">
      <c r="M29" s="12" t="s">
        <v>196</v>
      </c>
      <c r="N29" s="12" t="s">
        <v>581</v>
      </c>
    </row>
    <row r="30" spans="2:14">
      <c r="B30" s="4" t="s">
        <v>214</v>
      </c>
      <c r="C30" s="4">
        <v>2040</v>
      </c>
      <c r="M30" s="12" t="s">
        <v>198</v>
      </c>
      <c r="N30" s="12" t="s">
        <v>582</v>
      </c>
    </row>
    <row r="31" spans="2:14" ht="15" thickBot="1">
      <c r="B31" s="1" t="s">
        <v>215</v>
      </c>
      <c r="C31" s="2" t="s">
        <v>216</v>
      </c>
      <c r="D31" s="1"/>
      <c r="E31" s="2"/>
      <c r="F31" s="1"/>
      <c r="G31" s="1"/>
      <c r="H31" s="1"/>
      <c r="I31" s="1"/>
      <c r="J31" s="1"/>
      <c r="K31" s="1"/>
    </row>
    <row r="32" spans="2:14" ht="15" thickBot="1">
      <c r="B32" s="3" t="s">
        <v>220</v>
      </c>
      <c r="C32" s="30" t="s">
        <v>564</v>
      </c>
      <c r="D32" s="3">
        <v>0.5</v>
      </c>
      <c r="E32" s="31">
        <v>5</v>
      </c>
      <c r="F32" s="3">
        <v>10</v>
      </c>
      <c r="G32" s="3">
        <v>20</v>
      </c>
      <c r="H32" s="3">
        <v>50</v>
      </c>
      <c r="I32" s="3"/>
      <c r="J32" s="3"/>
      <c r="K32" s="3" t="s">
        <v>304</v>
      </c>
    </row>
    <row r="33" spans="2:14" ht="15" thickBot="1">
      <c r="B33" s="3" t="s">
        <v>222</v>
      </c>
      <c r="C33" s="5" t="s">
        <v>223</v>
      </c>
      <c r="D33" s="3">
        <v>90</v>
      </c>
      <c r="E33" s="3">
        <v>90</v>
      </c>
      <c r="F33" s="3">
        <v>90</v>
      </c>
      <c r="G33" s="3">
        <v>90</v>
      </c>
      <c r="H33" s="3">
        <v>90</v>
      </c>
      <c r="I33" s="33"/>
      <c r="J33" s="3" t="s">
        <v>151</v>
      </c>
      <c r="K33" s="3" t="s">
        <v>376</v>
      </c>
    </row>
    <row r="34" spans="2:14" ht="15" thickBot="1">
      <c r="B34" s="3" t="s">
        <v>226</v>
      </c>
      <c r="C34" s="5" t="s">
        <v>227</v>
      </c>
      <c r="D34" s="3">
        <v>35</v>
      </c>
      <c r="E34" s="3">
        <v>35</v>
      </c>
      <c r="F34" s="3">
        <v>35</v>
      </c>
      <c r="G34" s="3">
        <v>35</v>
      </c>
      <c r="H34" s="3">
        <v>35</v>
      </c>
      <c r="I34" s="3"/>
      <c r="J34" s="3" t="s">
        <v>484</v>
      </c>
      <c r="K34" s="3" t="s">
        <v>243</v>
      </c>
      <c r="M34" s="4"/>
      <c r="N34" s="12"/>
    </row>
    <row r="35" spans="2:14" ht="15" thickBot="1">
      <c r="B35" s="1" t="s">
        <v>565</v>
      </c>
      <c r="C35" s="2" t="s">
        <v>216</v>
      </c>
      <c r="D35" s="1"/>
      <c r="E35" s="1"/>
      <c r="F35" s="1"/>
      <c r="G35" s="1"/>
      <c r="H35" s="1"/>
      <c r="I35" s="1"/>
      <c r="J35" s="1"/>
      <c r="K35" s="1"/>
      <c r="M35" s="12"/>
    </row>
    <row r="36" spans="2:14" ht="15" thickBot="1">
      <c r="B36" s="3" t="s">
        <v>230</v>
      </c>
      <c r="C36" s="3" t="s">
        <v>318</v>
      </c>
      <c r="D36" s="41">
        <v>3786</v>
      </c>
      <c r="E36" s="41">
        <v>3099</v>
      </c>
      <c r="F36" s="41">
        <v>2917</v>
      </c>
      <c r="G36" s="41">
        <v>2747</v>
      </c>
      <c r="H36" s="41">
        <v>2536</v>
      </c>
      <c r="I36" s="33">
        <v>0.45</v>
      </c>
      <c r="J36" s="3" t="s">
        <v>305</v>
      </c>
      <c r="K36" s="3" t="s">
        <v>240</v>
      </c>
      <c r="M36" s="12"/>
    </row>
    <row r="37" spans="2:14" ht="15" thickBot="1">
      <c r="B37" s="36" t="s">
        <v>236</v>
      </c>
      <c r="C37" s="3" t="s">
        <v>223</v>
      </c>
      <c r="D37" s="46">
        <v>30</v>
      </c>
      <c r="E37" s="46">
        <v>32</v>
      </c>
      <c r="F37" s="46">
        <v>34</v>
      </c>
      <c r="G37" s="46">
        <v>38</v>
      </c>
      <c r="H37" s="46">
        <v>50</v>
      </c>
      <c r="I37" s="3"/>
      <c r="J37" s="3" t="s">
        <v>567</v>
      </c>
      <c r="K37" s="3" t="s">
        <v>224</v>
      </c>
    </row>
    <row r="38" spans="2:14" ht="15" thickBot="1">
      <c r="B38" s="36" t="s">
        <v>237</v>
      </c>
      <c r="C38" s="3" t="s">
        <v>223</v>
      </c>
      <c r="D38" s="46">
        <v>70</v>
      </c>
      <c r="E38" s="46">
        <v>68</v>
      </c>
      <c r="F38" s="46">
        <v>66</v>
      </c>
      <c r="G38" s="46">
        <v>62</v>
      </c>
      <c r="H38" s="46">
        <v>50</v>
      </c>
      <c r="I38" s="3"/>
      <c r="J38" s="3"/>
      <c r="K38" s="3"/>
    </row>
    <row r="39" spans="2:14" ht="15" thickBot="1">
      <c r="B39" s="30" t="s">
        <v>263</v>
      </c>
      <c r="C39" s="3" t="s">
        <v>428</v>
      </c>
      <c r="D39" s="41">
        <v>1893</v>
      </c>
      <c r="E39" s="41">
        <v>15494</v>
      </c>
      <c r="F39" s="41">
        <v>29174</v>
      </c>
      <c r="G39" s="41">
        <v>54933</v>
      </c>
      <c r="H39" s="41">
        <v>126811</v>
      </c>
      <c r="I39" s="33">
        <v>0.45</v>
      </c>
      <c r="J39" s="3"/>
      <c r="K39" s="3" t="s">
        <v>240</v>
      </c>
    </row>
    <row r="40" spans="2:14" ht="15" thickBot="1">
      <c r="B40" s="3" t="s">
        <v>242</v>
      </c>
      <c r="C40" s="3" t="s">
        <v>321</v>
      </c>
      <c r="D40" s="41">
        <v>57</v>
      </c>
      <c r="E40" s="41">
        <v>46</v>
      </c>
      <c r="F40" s="41">
        <v>44</v>
      </c>
      <c r="G40" s="41">
        <v>41</v>
      </c>
      <c r="H40" s="41">
        <v>38</v>
      </c>
      <c r="I40" s="3"/>
      <c r="J40" s="3" t="s">
        <v>196</v>
      </c>
      <c r="K40" s="3" t="s">
        <v>578</v>
      </c>
    </row>
  </sheetData>
  <sheetProtection algorithmName="SHA-512" hashValue="PWWTGyLcGJA0e/ebntgWFZpbbIRbJS8LdvPUSk2BpTsu9BOdAHXpS+0n+ZaiH1Y1NFMrtwCu0lxpRK2ydUo4jQ==" saltValue="jzc09GBmdKsFN6JaYnCGOg==" spinCount="100000" sheet="1" objects="1" scenarios="1"/>
  <mergeCells count="1">
    <mergeCell ref="F2:K3"/>
  </mergeCells>
  <conditionalFormatting sqref="I7 I10 Y8:Y9 I23 I36 I33 I20 I13:I14 I26:I27 I39:I40">
    <cfRule type="colorScale" priority="1">
      <colorScale>
        <cfvo type="num" val="0"/>
        <cfvo type="num" val="0.5"/>
        <color theme="0"/>
        <color theme="5"/>
      </colorScale>
    </cfRule>
  </conditionalFormatting>
  <conditionalFormatting sqref="Y8:Y9">
    <cfRule type="colorScale" priority="2">
      <colorScale>
        <cfvo type="min"/>
        <cfvo type="max"/>
        <color theme="0"/>
        <color theme="5"/>
      </colorScale>
    </cfRule>
  </conditionalFormatting>
  <hyperlinks>
    <hyperlink ref="A1" location="Inhalt!A1" display="Zum Inhalt" xr:uid="{2B648E40-4D43-4032-B26C-A2225C36792E}"/>
  </hyperlinks>
  <pageMargins left="0.7" right="0.7" top="0.78740157499999996" bottom="0.78740157499999996" header="0.3" footer="0.3"/>
  <pageSetup paperSize="9" orientation="portrait" verticalDpi="0"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E350E-1E18-4489-905A-6C6B2610D2F0}">
  <sheetPr codeName="Tabelle41"/>
  <dimension ref="A1:V40"/>
  <sheetViews>
    <sheetView zoomScaleNormal="100" workbookViewId="0"/>
  </sheetViews>
  <sheetFormatPr baseColWidth="10" defaultColWidth="11.44140625" defaultRowHeight="14.4"/>
  <cols>
    <col min="2" max="2" width="44" bestFit="1" customWidth="1"/>
    <col min="4" max="4" width="11.44140625" customWidth="1"/>
    <col min="10" max="10" width="12.6640625" customWidth="1"/>
  </cols>
  <sheetData>
    <row r="1" spans="1:22" ht="28.2" thickBot="1">
      <c r="A1" s="99" t="s">
        <v>143</v>
      </c>
    </row>
    <row r="2" spans="1:22">
      <c r="F2" s="142" t="s">
        <v>212</v>
      </c>
      <c r="G2" s="143"/>
      <c r="H2" s="143"/>
      <c r="I2" s="143"/>
      <c r="J2" s="144"/>
    </row>
    <row r="3" spans="1:22" ht="15" thickBot="1">
      <c r="B3" s="4" t="s">
        <v>213</v>
      </c>
      <c r="C3" s="4" t="s">
        <v>142</v>
      </c>
      <c r="F3" s="145"/>
      <c r="G3" s="146"/>
      <c r="H3" s="146"/>
      <c r="I3" s="146"/>
      <c r="J3" s="147"/>
    </row>
    <row r="4" spans="1:22">
      <c r="B4" s="4" t="s">
        <v>214</v>
      </c>
      <c r="C4" s="4">
        <v>2023</v>
      </c>
    </row>
    <row r="5" spans="1:22" ht="15" thickBot="1">
      <c r="B5" s="1" t="s">
        <v>215</v>
      </c>
      <c r="C5" s="2" t="s">
        <v>216</v>
      </c>
      <c r="D5" s="1"/>
      <c r="E5" s="1"/>
      <c r="F5" s="1" t="s">
        <v>217</v>
      </c>
      <c r="G5" s="1" t="s">
        <v>147</v>
      </c>
      <c r="H5" s="1" t="s">
        <v>148</v>
      </c>
      <c r="J5" s="4" t="s">
        <v>218</v>
      </c>
      <c r="K5" s="12" t="s">
        <v>563</v>
      </c>
    </row>
    <row r="6" spans="1:22" ht="15" thickBot="1">
      <c r="B6" s="3" t="s">
        <v>220</v>
      </c>
      <c r="C6" s="30" t="s">
        <v>564</v>
      </c>
      <c r="D6" s="3">
        <v>10</v>
      </c>
      <c r="E6" s="3">
        <v>50</v>
      </c>
      <c r="F6" s="3"/>
      <c r="G6" s="3"/>
      <c r="H6" s="3" t="s">
        <v>244</v>
      </c>
      <c r="J6" s="4" t="s">
        <v>214</v>
      </c>
      <c r="K6" s="4">
        <v>2023</v>
      </c>
      <c r="L6" s="4">
        <v>2030</v>
      </c>
      <c r="M6" s="4">
        <v>2040</v>
      </c>
    </row>
    <row r="7" spans="1:22" ht="15" thickBot="1">
      <c r="B7" s="3" t="s">
        <v>583</v>
      </c>
      <c r="C7" s="5" t="s">
        <v>223</v>
      </c>
      <c r="D7" s="3">
        <v>8</v>
      </c>
      <c r="E7" s="3">
        <v>14</v>
      </c>
      <c r="F7" s="33"/>
      <c r="G7" s="3"/>
      <c r="H7" s="3"/>
      <c r="J7" s="12" t="s">
        <v>225</v>
      </c>
      <c r="K7" s="12">
        <v>43367</v>
      </c>
      <c r="L7" s="12">
        <v>39030</v>
      </c>
      <c r="M7" s="12">
        <v>31224</v>
      </c>
    </row>
    <row r="8" spans="1:22" ht="15" thickBot="1">
      <c r="B8" s="3" t="s">
        <v>226</v>
      </c>
      <c r="C8" s="5" t="s">
        <v>227</v>
      </c>
      <c r="D8" s="3">
        <v>30</v>
      </c>
      <c r="E8" s="3">
        <v>30</v>
      </c>
      <c r="F8" s="3"/>
      <c r="G8" s="3" t="s">
        <v>484</v>
      </c>
      <c r="H8" s="3" t="s">
        <v>243</v>
      </c>
      <c r="J8" s="12" t="s">
        <v>228</v>
      </c>
      <c r="K8" s="12">
        <v>-0.379</v>
      </c>
      <c r="L8" s="12">
        <v>-0.379</v>
      </c>
      <c r="M8" s="12">
        <v>-0.379</v>
      </c>
      <c r="V8" s="44"/>
    </row>
    <row r="9" spans="1:22" ht="15" thickBot="1">
      <c r="B9" s="1" t="s">
        <v>565</v>
      </c>
      <c r="C9" s="2" t="s">
        <v>216</v>
      </c>
      <c r="D9" s="1"/>
      <c r="E9" s="1"/>
      <c r="F9" s="1"/>
      <c r="G9" s="1"/>
      <c r="H9" s="1"/>
      <c r="V9" s="44"/>
    </row>
    <row r="10" spans="1:22" ht="15" thickBot="1">
      <c r="B10" s="3" t="s">
        <v>230</v>
      </c>
      <c r="C10" s="3" t="s">
        <v>318</v>
      </c>
      <c r="D10" s="41">
        <v>18105</v>
      </c>
      <c r="E10" s="41">
        <v>9832</v>
      </c>
      <c r="F10" s="33">
        <v>0.25</v>
      </c>
      <c r="G10" s="3" t="s">
        <v>584</v>
      </c>
      <c r="H10" s="3" t="s">
        <v>376</v>
      </c>
      <c r="J10" s="4" t="s">
        <v>234</v>
      </c>
      <c r="K10" s="12" t="s">
        <v>566</v>
      </c>
    </row>
    <row r="11" spans="1:22" ht="15" thickBot="1">
      <c r="B11" s="36" t="s">
        <v>236</v>
      </c>
      <c r="C11" s="3" t="s">
        <v>223</v>
      </c>
      <c r="D11" s="3">
        <v>30</v>
      </c>
      <c r="E11" s="3">
        <v>50</v>
      </c>
      <c r="F11" s="3"/>
      <c r="G11" s="3" t="s">
        <v>585</v>
      </c>
      <c r="H11" s="3" t="s">
        <v>224</v>
      </c>
    </row>
    <row r="12" spans="1:22" ht="15" thickBot="1">
      <c r="B12" s="36" t="s">
        <v>237</v>
      </c>
      <c r="C12" s="3" t="s">
        <v>223</v>
      </c>
      <c r="D12" s="3">
        <v>70</v>
      </c>
      <c r="E12" s="3">
        <v>50</v>
      </c>
      <c r="F12" s="3"/>
      <c r="G12" s="3" t="s">
        <v>585</v>
      </c>
      <c r="H12" s="3"/>
      <c r="J12" s="4" t="s">
        <v>148</v>
      </c>
    </row>
    <row r="13" spans="1:22" ht="15" thickBot="1">
      <c r="B13" s="30" t="s">
        <v>263</v>
      </c>
      <c r="C13" s="3" t="s">
        <v>428</v>
      </c>
      <c r="D13" s="41">
        <v>181049</v>
      </c>
      <c r="E13" s="41">
        <v>491590</v>
      </c>
      <c r="F13" s="33">
        <v>0.25</v>
      </c>
      <c r="G13" s="3"/>
      <c r="H13" s="3"/>
      <c r="J13" s="12" t="s">
        <v>240</v>
      </c>
      <c r="K13" s="12" t="s">
        <v>586</v>
      </c>
    </row>
    <row r="14" spans="1:22" ht="15" thickBot="1">
      <c r="B14" s="3" t="s">
        <v>242</v>
      </c>
      <c r="C14" s="3" t="s">
        <v>321</v>
      </c>
      <c r="D14" s="13">
        <v>272</v>
      </c>
      <c r="E14" s="13">
        <v>147</v>
      </c>
      <c r="F14" s="3"/>
      <c r="G14" s="3" t="s">
        <v>196</v>
      </c>
      <c r="H14" s="3" t="s">
        <v>587</v>
      </c>
      <c r="J14" s="12" t="s">
        <v>244</v>
      </c>
      <c r="K14" s="12" t="s">
        <v>569</v>
      </c>
    </row>
    <row r="15" spans="1:22">
      <c r="J15" s="12" t="s">
        <v>224</v>
      </c>
      <c r="K15" s="12" t="s">
        <v>570</v>
      </c>
    </row>
    <row r="16" spans="1:22">
      <c r="J16" s="12" t="s">
        <v>250</v>
      </c>
      <c r="K16" s="12" t="s">
        <v>588</v>
      </c>
    </row>
    <row r="17" spans="2:11">
      <c r="B17" s="4" t="s">
        <v>214</v>
      </c>
      <c r="C17" s="4">
        <v>2030</v>
      </c>
      <c r="J17" s="12" t="s">
        <v>252</v>
      </c>
      <c r="K17" s="12" t="s">
        <v>572</v>
      </c>
    </row>
    <row r="18" spans="2:11" ht="15" thickBot="1">
      <c r="B18" s="1" t="s">
        <v>215</v>
      </c>
      <c r="C18" s="2" t="s">
        <v>216</v>
      </c>
      <c r="D18" s="1"/>
      <c r="E18" s="1"/>
      <c r="F18" s="1"/>
      <c r="G18" s="1"/>
      <c r="H18" s="1"/>
      <c r="J18" s="12" t="s">
        <v>249</v>
      </c>
      <c r="K18" s="12" t="s">
        <v>589</v>
      </c>
    </row>
    <row r="19" spans="2:11" ht="15" thickBot="1">
      <c r="B19" s="3" t="s">
        <v>220</v>
      </c>
      <c r="C19" s="30" t="s">
        <v>564</v>
      </c>
      <c r="D19" s="3">
        <v>10</v>
      </c>
      <c r="E19" s="3">
        <v>50</v>
      </c>
      <c r="F19" s="3"/>
      <c r="G19" s="3"/>
      <c r="H19" s="3"/>
      <c r="J19" s="12" t="s">
        <v>243</v>
      </c>
      <c r="K19" s="12" t="s">
        <v>590</v>
      </c>
    </row>
    <row r="20" spans="2:11" ht="15" thickBot="1">
      <c r="B20" s="3" t="s">
        <v>222</v>
      </c>
      <c r="C20" s="5" t="s">
        <v>223</v>
      </c>
      <c r="D20" s="3">
        <v>8</v>
      </c>
      <c r="E20" s="3">
        <v>14</v>
      </c>
      <c r="F20" s="3"/>
      <c r="G20" s="3"/>
      <c r="H20" s="3"/>
      <c r="J20" s="12" t="s">
        <v>376</v>
      </c>
      <c r="K20" s="12" t="s">
        <v>591</v>
      </c>
    </row>
    <row r="21" spans="2:11" ht="15" thickBot="1">
      <c r="B21" s="3" t="s">
        <v>226</v>
      </c>
      <c r="C21" s="5" t="s">
        <v>227</v>
      </c>
      <c r="D21" s="3">
        <v>35</v>
      </c>
      <c r="E21" s="3">
        <v>35</v>
      </c>
      <c r="F21" s="3"/>
      <c r="G21" s="3" t="s">
        <v>484</v>
      </c>
      <c r="H21" s="3" t="s">
        <v>243</v>
      </c>
      <c r="J21" s="4"/>
      <c r="K21" s="12"/>
    </row>
    <row r="22" spans="2:11" ht="15" thickBot="1">
      <c r="B22" s="1" t="s">
        <v>565</v>
      </c>
      <c r="C22" s="2" t="s">
        <v>216</v>
      </c>
      <c r="D22" s="1"/>
      <c r="E22" s="1"/>
      <c r="F22" s="1"/>
      <c r="G22" s="1"/>
      <c r="H22" s="1"/>
      <c r="J22" s="4"/>
      <c r="K22" s="12"/>
    </row>
    <row r="23" spans="2:11" ht="15" thickBot="1">
      <c r="B23" s="3" t="s">
        <v>230</v>
      </c>
      <c r="C23" s="3" t="s">
        <v>318</v>
      </c>
      <c r="D23" s="41">
        <v>16294</v>
      </c>
      <c r="E23" s="41">
        <v>8849</v>
      </c>
      <c r="F23" s="33">
        <v>0.35</v>
      </c>
      <c r="G23" s="3" t="s">
        <v>584</v>
      </c>
      <c r="H23" s="3" t="s">
        <v>240</v>
      </c>
      <c r="J23" s="4"/>
      <c r="K23" s="12"/>
    </row>
    <row r="24" spans="2:11" ht="15" thickBot="1">
      <c r="B24" s="36" t="s">
        <v>236</v>
      </c>
      <c r="C24" s="3" t="s">
        <v>223</v>
      </c>
      <c r="D24" s="13">
        <v>30</v>
      </c>
      <c r="E24" s="13">
        <v>50</v>
      </c>
      <c r="F24" s="3"/>
      <c r="G24" s="3" t="s">
        <v>585</v>
      </c>
      <c r="H24" s="3" t="s">
        <v>224</v>
      </c>
      <c r="J24" s="4" t="s">
        <v>147</v>
      </c>
    </row>
    <row r="25" spans="2:11" ht="15" thickBot="1">
      <c r="B25" s="36" t="s">
        <v>237</v>
      </c>
      <c r="C25" s="3" t="s">
        <v>223</v>
      </c>
      <c r="D25" s="13">
        <v>70</v>
      </c>
      <c r="E25" s="13">
        <v>50</v>
      </c>
      <c r="F25" s="3"/>
      <c r="G25" s="3" t="s">
        <v>585</v>
      </c>
      <c r="H25" s="3"/>
      <c r="J25" s="12" t="s">
        <v>151</v>
      </c>
      <c r="K25" s="12" t="s">
        <v>185</v>
      </c>
    </row>
    <row r="26" spans="2:11" ht="15" thickBot="1">
      <c r="B26" s="30" t="s">
        <v>263</v>
      </c>
      <c r="C26" s="3" t="s">
        <v>428</v>
      </c>
      <c r="D26" s="41">
        <v>162944</v>
      </c>
      <c r="E26" s="41">
        <v>442431</v>
      </c>
      <c r="F26" s="33">
        <v>0.35</v>
      </c>
      <c r="G26" s="3"/>
      <c r="H26" s="3" t="s">
        <v>240</v>
      </c>
      <c r="J26" s="12" t="s">
        <v>184</v>
      </c>
      <c r="K26" s="12" t="s">
        <v>265</v>
      </c>
    </row>
    <row r="27" spans="2:11" ht="15" thickBot="1">
      <c r="B27" s="3" t="s">
        <v>242</v>
      </c>
      <c r="C27" s="3" t="s">
        <v>321</v>
      </c>
      <c r="D27" s="13">
        <v>244</v>
      </c>
      <c r="E27" s="13">
        <v>133</v>
      </c>
      <c r="F27" s="3"/>
      <c r="G27" s="3" t="s">
        <v>196</v>
      </c>
      <c r="H27" s="3" t="s">
        <v>587</v>
      </c>
      <c r="J27" s="12" t="s">
        <v>186</v>
      </c>
      <c r="K27" s="12" t="s">
        <v>576</v>
      </c>
    </row>
    <row r="28" spans="2:11">
      <c r="J28" s="12" t="s">
        <v>188</v>
      </c>
      <c r="K28" s="12" t="s">
        <v>577</v>
      </c>
    </row>
    <row r="29" spans="2:11">
      <c r="J29" s="12" t="s">
        <v>172</v>
      </c>
      <c r="K29" s="12" t="s">
        <v>579</v>
      </c>
    </row>
    <row r="30" spans="2:11">
      <c r="B30" s="4" t="s">
        <v>214</v>
      </c>
      <c r="C30" s="4">
        <v>2040</v>
      </c>
      <c r="J30" s="12" t="s">
        <v>179</v>
      </c>
      <c r="K30" s="12" t="s">
        <v>580</v>
      </c>
    </row>
    <row r="31" spans="2:11" ht="15" thickBot="1">
      <c r="B31" s="1" t="s">
        <v>215</v>
      </c>
      <c r="C31" s="2" t="s">
        <v>216</v>
      </c>
      <c r="D31" s="1"/>
      <c r="E31" s="1"/>
      <c r="F31" s="1"/>
      <c r="G31" s="1"/>
      <c r="H31" s="1"/>
      <c r="J31" s="12" t="s">
        <v>196</v>
      </c>
      <c r="K31" s="12" t="s">
        <v>581</v>
      </c>
    </row>
    <row r="32" spans="2:11" ht="15" thickBot="1">
      <c r="B32" s="3" t="s">
        <v>220</v>
      </c>
      <c r="C32" s="30" t="s">
        <v>564</v>
      </c>
      <c r="D32" s="3">
        <v>10</v>
      </c>
      <c r="E32" s="3">
        <v>50</v>
      </c>
      <c r="F32" s="3"/>
      <c r="G32" s="3"/>
      <c r="H32" s="3"/>
      <c r="J32" s="12" t="s">
        <v>198</v>
      </c>
      <c r="K32" s="12" t="s">
        <v>592</v>
      </c>
    </row>
    <row r="33" spans="2:11" ht="15" thickBot="1">
      <c r="B33" s="3" t="s">
        <v>222</v>
      </c>
      <c r="C33" s="5" t="s">
        <v>223</v>
      </c>
      <c r="D33" s="3">
        <v>8</v>
      </c>
      <c r="E33" s="3">
        <v>14</v>
      </c>
      <c r="F33" s="3"/>
      <c r="G33" s="3"/>
      <c r="H33" s="3"/>
      <c r="J33" s="12" t="s">
        <v>200</v>
      </c>
      <c r="K33" s="12" t="s">
        <v>593</v>
      </c>
    </row>
    <row r="34" spans="2:11" ht="15" thickBot="1">
      <c r="B34" s="3" t="s">
        <v>226</v>
      </c>
      <c r="C34" s="5" t="s">
        <v>227</v>
      </c>
      <c r="D34" s="3">
        <v>35</v>
      </c>
      <c r="E34" s="3">
        <v>35</v>
      </c>
      <c r="F34" s="3"/>
      <c r="G34" s="3" t="s">
        <v>484</v>
      </c>
      <c r="H34" s="3" t="s">
        <v>243</v>
      </c>
      <c r="J34" s="12" t="s">
        <v>364</v>
      </c>
      <c r="K34" s="12" t="s">
        <v>582</v>
      </c>
    </row>
    <row r="35" spans="2:11" ht="15" thickBot="1">
      <c r="B35" s="1" t="s">
        <v>565</v>
      </c>
      <c r="C35" s="2" t="s">
        <v>216</v>
      </c>
      <c r="D35" s="1"/>
      <c r="E35" s="1"/>
      <c r="F35" s="1"/>
      <c r="G35" s="1"/>
      <c r="H35" s="1"/>
    </row>
    <row r="36" spans="2:11" ht="15" thickBot="1">
      <c r="B36" s="3" t="s">
        <v>230</v>
      </c>
      <c r="C36" s="3" t="s">
        <v>318</v>
      </c>
      <c r="D36" s="41">
        <v>13036</v>
      </c>
      <c r="E36" s="41">
        <v>7079</v>
      </c>
      <c r="F36" s="33">
        <v>0.45</v>
      </c>
      <c r="G36" s="3" t="s">
        <v>584</v>
      </c>
      <c r="H36" s="3" t="s">
        <v>240</v>
      </c>
    </row>
    <row r="37" spans="2:11" ht="15" thickBot="1">
      <c r="B37" s="36" t="s">
        <v>236</v>
      </c>
      <c r="C37" s="3" t="s">
        <v>223</v>
      </c>
      <c r="D37" s="13">
        <v>30</v>
      </c>
      <c r="E37" s="13">
        <v>50</v>
      </c>
      <c r="F37" s="3"/>
      <c r="G37" s="3" t="s">
        <v>585</v>
      </c>
      <c r="H37" s="3" t="s">
        <v>224</v>
      </c>
      <c r="J37" s="4"/>
      <c r="K37" s="12"/>
    </row>
    <row r="38" spans="2:11" ht="15" thickBot="1">
      <c r="B38" s="36" t="s">
        <v>237</v>
      </c>
      <c r="C38" s="3" t="s">
        <v>223</v>
      </c>
      <c r="D38" s="13">
        <v>70</v>
      </c>
      <c r="E38" s="13">
        <v>50</v>
      </c>
      <c r="F38" s="3"/>
      <c r="G38" s="3" t="s">
        <v>585</v>
      </c>
      <c r="H38" s="3"/>
      <c r="J38" s="12"/>
    </row>
    <row r="39" spans="2:11" ht="15" thickBot="1">
      <c r="B39" s="30" t="s">
        <v>263</v>
      </c>
      <c r="C39" s="3" t="s">
        <v>428</v>
      </c>
      <c r="D39" s="41">
        <v>130355</v>
      </c>
      <c r="E39" s="41">
        <v>353945</v>
      </c>
      <c r="F39" s="33">
        <v>0.45</v>
      </c>
      <c r="G39" s="3"/>
      <c r="H39" s="3" t="s">
        <v>240</v>
      </c>
      <c r="J39" s="12"/>
    </row>
    <row r="40" spans="2:11" ht="15" thickBot="1">
      <c r="B40" s="3" t="s">
        <v>242</v>
      </c>
      <c r="C40" s="3" t="s">
        <v>321</v>
      </c>
      <c r="D40" s="13">
        <v>196</v>
      </c>
      <c r="E40" s="13">
        <v>106</v>
      </c>
      <c r="F40" s="3"/>
      <c r="G40" s="3" t="s">
        <v>196</v>
      </c>
      <c r="H40" s="3" t="s">
        <v>587</v>
      </c>
    </row>
  </sheetData>
  <sheetProtection algorithmName="SHA-512" hashValue="aul8gkjVPwmF8uVtNZBi8F3DRigXk/xYh/Inws3ROYQ0qWdNGERTYfwswFpsVqXMi3/cm8wyP1h088XHe/SkDw==" saltValue="GB9mlCJJozqSbOCZQXYJfg==" spinCount="100000" sheet="1" objects="1" scenarios="1"/>
  <mergeCells count="1">
    <mergeCell ref="F2:J3"/>
  </mergeCells>
  <conditionalFormatting sqref="F7 F10 F20 F33 V8:V9 F23 F36 F13:F14 F26:F27 F39:F40">
    <cfRule type="colorScale" priority="1">
      <colorScale>
        <cfvo type="num" val="0"/>
        <cfvo type="num" val="0.5"/>
        <color theme="0"/>
        <color theme="5"/>
      </colorScale>
    </cfRule>
  </conditionalFormatting>
  <conditionalFormatting sqref="V8:V9">
    <cfRule type="colorScale" priority="2">
      <colorScale>
        <cfvo type="min"/>
        <cfvo type="max"/>
        <color theme="0"/>
        <color theme="5"/>
      </colorScale>
    </cfRule>
  </conditionalFormatting>
  <hyperlinks>
    <hyperlink ref="A1" location="Inhalt!A1" display="Zum Inhalt" xr:uid="{19C70BE7-8832-42C3-84D7-8D1689CA7B40}"/>
  </hyperlinks>
  <pageMargins left="0.7" right="0.7" top="0.78740157499999996" bottom="0.78740157499999996" header="0.3" footer="0.3"/>
  <pageSetup paperSize="9" orientation="portrait" verticalDpi="0"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02EC-387D-4C61-A0F1-40CBBDAA1101}">
  <sheetPr codeName="Tabelle43"/>
  <dimension ref="A1:AC52"/>
  <sheetViews>
    <sheetView zoomScaleNormal="100" workbookViewId="0"/>
  </sheetViews>
  <sheetFormatPr baseColWidth="10" defaultColWidth="11.44140625" defaultRowHeight="14.4"/>
  <cols>
    <col min="2" max="2" width="29.88671875" bestFit="1" customWidth="1"/>
    <col min="17" max="17" width="24.44140625" bestFit="1" customWidth="1"/>
  </cols>
  <sheetData>
    <row r="1" spans="1:29" ht="28.2" thickBot="1">
      <c r="A1" s="99" t="s">
        <v>143</v>
      </c>
    </row>
    <row r="2" spans="1:29" ht="25.5" customHeight="1">
      <c r="H2" s="142" t="s">
        <v>594</v>
      </c>
      <c r="I2" s="143"/>
      <c r="J2" s="143"/>
      <c r="K2" s="143"/>
      <c r="L2" s="143"/>
      <c r="M2" s="143"/>
      <c r="N2" s="144"/>
    </row>
    <row r="3" spans="1:29" ht="25.5" customHeight="1" thickBot="1">
      <c r="B3" s="4" t="s">
        <v>213</v>
      </c>
      <c r="C3" s="4" t="s">
        <v>34</v>
      </c>
      <c r="H3" s="145"/>
      <c r="I3" s="146"/>
      <c r="J3" s="146"/>
      <c r="K3" s="146"/>
      <c r="L3" s="146"/>
      <c r="M3" s="146"/>
      <c r="N3" s="147"/>
    </row>
    <row r="4" spans="1:29">
      <c r="B4" s="4" t="s">
        <v>214</v>
      </c>
      <c r="C4" s="4">
        <v>2023</v>
      </c>
    </row>
    <row r="5" spans="1:29" ht="15" thickBot="1">
      <c r="B5" s="1" t="s">
        <v>215</v>
      </c>
      <c r="C5" s="2" t="s">
        <v>216</v>
      </c>
      <c r="D5" s="1"/>
      <c r="E5" s="1"/>
      <c r="F5" s="1"/>
      <c r="G5" s="1"/>
      <c r="H5" s="1"/>
      <c r="I5" s="1"/>
      <c r="J5" s="1"/>
      <c r="K5" s="1"/>
      <c r="L5" s="1"/>
      <c r="M5" s="1" t="s">
        <v>217</v>
      </c>
      <c r="N5" s="1" t="s">
        <v>147</v>
      </c>
      <c r="O5" s="1" t="s">
        <v>148</v>
      </c>
      <c r="Q5" s="4" t="s">
        <v>595</v>
      </c>
      <c r="R5" s="12" t="s">
        <v>596</v>
      </c>
    </row>
    <row r="6" spans="1:29" ht="15" thickBot="1">
      <c r="B6" s="3" t="s">
        <v>220</v>
      </c>
      <c r="C6" s="30" t="s">
        <v>443</v>
      </c>
      <c r="D6" s="34">
        <v>50</v>
      </c>
      <c r="E6" s="34">
        <v>200</v>
      </c>
      <c r="F6" s="34">
        <v>400</v>
      </c>
      <c r="G6" s="34">
        <v>750</v>
      </c>
      <c r="H6" s="34">
        <v>1200</v>
      </c>
      <c r="I6" s="34">
        <v>2500</v>
      </c>
      <c r="J6" s="34">
        <v>4700</v>
      </c>
      <c r="K6" s="34">
        <v>6000</v>
      </c>
      <c r="L6" s="34">
        <v>13000</v>
      </c>
      <c r="M6" s="33"/>
      <c r="N6" s="3"/>
      <c r="O6" s="3" t="s">
        <v>240</v>
      </c>
      <c r="Q6" s="4" t="s">
        <v>214</v>
      </c>
      <c r="R6" s="4">
        <v>2023</v>
      </c>
      <c r="S6" s="4">
        <v>2030</v>
      </c>
      <c r="T6" s="4">
        <v>2040</v>
      </c>
    </row>
    <row r="7" spans="1:29" ht="15" thickBot="1">
      <c r="B7" s="3" t="s">
        <v>597</v>
      </c>
      <c r="C7" s="5" t="s">
        <v>598</v>
      </c>
      <c r="D7" s="3">
        <v>10</v>
      </c>
      <c r="E7" s="3">
        <v>8.1999999999999993</v>
      </c>
      <c r="F7" s="3">
        <v>6.3</v>
      </c>
      <c r="G7" s="3">
        <v>4.5</v>
      </c>
      <c r="H7" s="3">
        <v>4.5</v>
      </c>
      <c r="I7" s="3">
        <v>2.9</v>
      </c>
      <c r="J7" s="3">
        <v>2.9</v>
      </c>
      <c r="K7" s="3">
        <v>2.2000000000000002</v>
      </c>
      <c r="L7" s="3">
        <v>1.6</v>
      </c>
      <c r="M7" s="33"/>
      <c r="N7" s="3" t="s">
        <v>151</v>
      </c>
      <c r="O7" s="3"/>
      <c r="Q7" s="12" t="s">
        <v>225</v>
      </c>
      <c r="R7" s="12">
        <v>97.161000000000001</v>
      </c>
      <c r="S7" s="12">
        <v>92.302999999999997</v>
      </c>
      <c r="T7" s="12">
        <v>87.444999999999993</v>
      </c>
    </row>
    <row r="8" spans="1:29" ht="15" thickBot="1">
      <c r="B8" s="3" t="s">
        <v>599</v>
      </c>
      <c r="C8" s="5" t="s">
        <v>223</v>
      </c>
      <c r="D8" s="3">
        <v>0.9</v>
      </c>
      <c r="E8" s="3">
        <v>0.9</v>
      </c>
      <c r="F8" s="3">
        <v>0.9</v>
      </c>
      <c r="G8" s="3">
        <v>0.9</v>
      </c>
      <c r="H8" s="3">
        <v>0.9</v>
      </c>
      <c r="I8" s="3">
        <v>0.9</v>
      </c>
      <c r="J8" s="3">
        <v>0.9</v>
      </c>
      <c r="K8" s="3">
        <v>0.9</v>
      </c>
      <c r="L8" s="3">
        <v>0.9</v>
      </c>
      <c r="M8" s="33"/>
      <c r="N8" s="3" t="s">
        <v>151</v>
      </c>
      <c r="O8" s="3"/>
      <c r="Q8" s="12" t="s">
        <v>228</v>
      </c>
      <c r="R8" s="12">
        <v>0.39579999999999999</v>
      </c>
      <c r="S8" s="12">
        <v>0.39579999999999999</v>
      </c>
      <c r="T8" s="12">
        <v>0.39579999999999999</v>
      </c>
    </row>
    <row r="9" spans="1:29" ht="15" thickBot="1">
      <c r="B9" s="3" t="s">
        <v>600</v>
      </c>
      <c r="C9" s="5" t="s">
        <v>227</v>
      </c>
      <c r="D9" s="3">
        <v>1</v>
      </c>
      <c r="E9" s="3">
        <v>1</v>
      </c>
      <c r="F9" s="3">
        <v>1</v>
      </c>
      <c r="G9" s="3">
        <v>1</v>
      </c>
      <c r="H9" s="3">
        <v>1</v>
      </c>
      <c r="I9" s="3">
        <v>1</v>
      </c>
      <c r="J9" s="3">
        <v>1</v>
      </c>
      <c r="K9" s="3">
        <v>1</v>
      </c>
      <c r="L9" s="3">
        <v>1</v>
      </c>
      <c r="M9" s="33">
        <v>0.5</v>
      </c>
      <c r="N9" s="3" t="s">
        <v>151</v>
      </c>
      <c r="O9" s="3"/>
      <c r="Q9" s="12"/>
      <c r="R9" s="12"/>
      <c r="S9" s="12"/>
      <c r="T9" s="12"/>
    </row>
    <row r="10" spans="1:29" ht="15" thickBot="1">
      <c r="B10" s="3" t="s">
        <v>601</v>
      </c>
      <c r="C10" s="5" t="s">
        <v>227</v>
      </c>
      <c r="D10" s="3">
        <v>50</v>
      </c>
      <c r="E10" s="3">
        <v>50</v>
      </c>
      <c r="F10" s="3">
        <v>50</v>
      </c>
      <c r="G10" s="3">
        <v>50</v>
      </c>
      <c r="H10" s="3">
        <v>50</v>
      </c>
      <c r="I10" s="3">
        <v>50</v>
      </c>
      <c r="J10" s="3">
        <v>50</v>
      </c>
      <c r="K10" s="3">
        <v>50</v>
      </c>
      <c r="L10" s="3">
        <v>50</v>
      </c>
      <c r="M10" s="33">
        <v>0.1</v>
      </c>
      <c r="N10" s="3" t="s">
        <v>151</v>
      </c>
      <c r="O10" s="3"/>
      <c r="Q10" s="12"/>
      <c r="R10" s="12"/>
      <c r="S10" s="12"/>
      <c r="T10" s="12"/>
    </row>
    <row r="11" spans="1:29" ht="15" thickBot="1">
      <c r="B11" s="3" t="s">
        <v>602</v>
      </c>
      <c r="C11" s="5" t="s">
        <v>227</v>
      </c>
      <c r="D11" s="3">
        <v>25</v>
      </c>
      <c r="E11" s="3">
        <v>25</v>
      </c>
      <c r="F11" s="3">
        <v>25</v>
      </c>
      <c r="G11" s="3">
        <v>25</v>
      </c>
      <c r="H11" s="3">
        <v>25</v>
      </c>
      <c r="I11" s="3">
        <v>25</v>
      </c>
      <c r="J11" s="3">
        <v>25</v>
      </c>
      <c r="K11" s="3">
        <v>25</v>
      </c>
      <c r="L11" s="3">
        <v>25</v>
      </c>
      <c r="M11" s="33"/>
      <c r="N11" s="3" t="s">
        <v>184</v>
      </c>
      <c r="O11" s="3"/>
      <c r="Q11" s="4" t="s">
        <v>234</v>
      </c>
      <c r="R11" s="12" t="s">
        <v>306</v>
      </c>
      <c r="S11" s="12"/>
      <c r="T11" s="12"/>
      <c r="AC11" s="44"/>
    </row>
    <row r="12" spans="1:29" ht="15" thickBot="1">
      <c r="B12" s="1" t="s">
        <v>603</v>
      </c>
      <c r="C12" s="2" t="s">
        <v>216</v>
      </c>
      <c r="D12" s="1"/>
      <c r="E12" s="1"/>
      <c r="F12" s="1"/>
      <c r="G12" s="1"/>
      <c r="H12" s="1"/>
      <c r="I12" s="1"/>
      <c r="J12" s="1"/>
      <c r="K12" s="1"/>
      <c r="L12" s="1"/>
      <c r="M12" s="1"/>
      <c r="N12" s="1"/>
      <c r="O12" s="74"/>
      <c r="Q12" s="4"/>
      <c r="R12" s="12"/>
      <c r="S12" s="12"/>
      <c r="T12" s="12"/>
      <c r="AC12" s="44"/>
    </row>
    <row r="13" spans="1:29" ht="15" thickBot="1">
      <c r="B13" s="3" t="s">
        <v>604</v>
      </c>
      <c r="C13" s="3" t="s">
        <v>605</v>
      </c>
      <c r="D13" s="34">
        <v>452</v>
      </c>
      <c r="E13" s="34">
        <v>801</v>
      </c>
      <c r="F13" s="34">
        <v>1007</v>
      </c>
      <c r="G13" s="34">
        <v>1280</v>
      </c>
      <c r="H13" s="34">
        <v>1612</v>
      </c>
      <c r="I13" s="34">
        <v>2420</v>
      </c>
      <c r="J13" s="34">
        <v>2747</v>
      </c>
      <c r="K13" s="34">
        <v>3227</v>
      </c>
      <c r="L13" s="34">
        <v>3728</v>
      </c>
      <c r="M13" s="33">
        <v>0.2</v>
      </c>
      <c r="N13" s="3" t="s">
        <v>305</v>
      </c>
      <c r="O13" s="3"/>
      <c r="Q13" s="4" t="s">
        <v>147</v>
      </c>
    </row>
    <row r="14" spans="1:29" ht="15" thickBot="1">
      <c r="B14" s="3" t="s">
        <v>606</v>
      </c>
      <c r="C14" s="3" t="s">
        <v>223</v>
      </c>
      <c r="D14" s="3">
        <v>75</v>
      </c>
      <c r="E14" s="3">
        <v>75</v>
      </c>
      <c r="F14" s="3">
        <v>75</v>
      </c>
      <c r="G14" s="3">
        <v>75</v>
      </c>
      <c r="H14" s="3">
        <v>75</v>
      </c>
      <c r="I14" s="3">
        <v>75</v>
      </c>
      <c r="J14" s="3">
        <v>75</v>
      </c>
      <c r="K14" s="3">
        <v>75</v>
      </c>
      <c r="L14" s="3">
        <v>75</v>
      </c>
      <c r="M14" s="33">
        <v>0.1</v>
      </c>
      <c r="N14" s="3" t="s">
        <v>151</v>
      </c>
      <c r="O14" s="3"/>
      <c r="Q14" s="12" t="s">
        <v>151</v>
      </c>
      <c r="R14" s="12" t="s">
        <v>607</v>
      </c>
    </row>
    <row r="15" spans="1:29" ht="15" thickBot="1">
      <c r="B15" s="3" t="s">
        <v>608</v>
      </c>
      <c r="C15" s="3" t="s">
        <v>223</v>
      </c>
      <c r="D15" s="3">
        <v>25</v>
      </c>
      <c r="E15" s="3">
        <v>25</v>
      </c>
      <c r="F15" s="3">
        <v>25</v>
      </c>
      <c r="G15" s="3">
        <v>25</v>
      </c>
      <c r="H15" s="3">
        <v>25</v>
      </c>
      <c r="I15" s="3">
        <v>25</v>
      </c>
      <c r="J15" s="3">
        <v>25</v>
      </c>
      <c r="K15" s="3">
        <v>25</v>
      </c>
      <c r="L15" s="3">
        <v>25</v>
      </c>
      <c r="M15" s="33">
        <v>0.1</v>
      </c>
      <c r="N15" s="3" t="s">
        <v>151</v>
      </c>
      <c r="O15" s="3"/>
      <c r="Q15" s="12" t="s">
        <v>184</v>
      </c>
      <c r="R15" s="12" t="s">
        <v>609</v>
      </c>
    </row>
    <row r="16" spans="1:29" ht="15" thickBot="1">
      <c r="B16" s="3" t="s">
        <v>610</v>
      </c>
      <c r="C16" s="3" t="s">
        <v>611</v>
      </c>
      <c r="D16" s="13">
        <v>4</v>
      </c>
      <c r="E16" s="13">
        <v>4</v>
      </c>
      <c r="F16" s="13">
        <v>4</v>
      </c>
      <c r="G16" s="13">
        <v>4</v>
      </c>
      <c r="H16" s="13">
        <v>4</v>
      </c>
      <c r="I16" s="13">
        <v>4</v>
      </c>
      <c r="J16" s="13">
        <v>4</v>
      </c>
      <c r="K16" s="13">
        <v>4</v>
      </c>
      <c r="L16" s="13">
        <v>4</v>
      </c>
      <c r="M16" s="33">
        <v>0.5</v>
      </c>
      <c r="N16" s="3" t="s">
        <v>151</v>
      </c>
      <c r="O16" s="3"/>
    </row>
    <row r="17" spans="2:18" ht="15" thickBot="1">
      <c r="B17" s="1" t="s">
        <v>246</v>
      </c>
      <c r="C17" s="2" t="s">
        <v>216</v>
      </c>
      <c r="D17" s="1"/>
      <c r="E17" s="1"/>
      <c r="F17" s="1"/>
      <c r="G17" s="1"/>
      <c r="H17" s="1"/>
      <c r="I17" s="1"/>
      <c r="J17" s="1"/>
      <c r="K17" s="1"/>
      <c r="L17" s="1"/>
      <c r="M17" s="1"/>
      <c r="N17" s="1"/>
      <c r="O17" s="1"/>
      <c r="Q17" s="4" t="s">
        <v>148</v>
      </c>
      <c r="R17" s="12"/>
    </row>
    <row r="18" spans="2:18" ht="15" thickBot="1">
      <c r="B18" s="3" t="s">
        <v>612</v>
      </c>
      <c r="C18" s="3" t="s">
        <v>613</v>
      </c>
      <c r="D18" s="37">
        <v>3.7</v>
      </c>
      <c r="E18" s="37">
        <v>3.7</v>
      </c>
      <c r="F18" s="37">
        <v>3.7</v>
      </c>
      <c r="G18" s="37">
        <v>3.7</v>
      </c>
      <c r="H18" s="37">
        <v>3.7</v>
      </c>
      <c r="I18" s="37">
        <v>3.7</v>
      </c>
      <c r="J18" s="37">
        <v>3.7</v>
      </c>
      <c r="K18" s="37">
        <v>3.7</v>
      </c>
      <c r="L18" s="37">
        <v>3.7</v>
      </c>
      <c r="M18" s="33">
        <v>0.5</v>
      </c>
      <c r="N18" s="3" t="s">
        <v>184</v>
      </c>
      <c r="O18" s="3"/>
      <c r="Q18" s="12" t="s">
        <v>240</v>
      </c>
      <c r="R18" s="12" t="s">
        <v>614</v>
      </c>
    </row>
    <row r="19" spans="2:18" ht="15.6">
      <c r="B19" s="12"/>
      <c r="C19" s="12"/>
      <c r="D19" s="10"/>
      <c r="E19" s="10"/>
      <c r="F19" s="10"/>
      <c r="G19" s="10"/>
      <c r="H19" s="10"/>
      <c r="I19" s="10"/>
      <c r="J19" s="10"/>
      <c r="K19" s="10"/>
      <c r="L19" s="10"/>
      <c r="M19" s="48"/>
      <c r="N19" s="12"/>
      <c r="O19" s="12"/>
      <c r="Q19" s="12"/>
      <c r="R19" s="77"/>
    </row>
    <row r="20" spans="2:18" ht="15.6">
      <c r="C20" s="12"/>
      <c r="D20" s="45"/>
      <c r="E20" s="45"/>
      <c r="F20" s="45"/>
      <c r="G20" s="45"/>
      <c r="H20" s="45"/>
      <c r="I20" s="45"/>
      <c r="J20" s="45"/>
      <c r="K20" s="45"/>
      <c r="L20" s="45"/>
      <c r="Q20" s="12"/>
      <c r="R20" s="77"/>
    </row>
    <row r="21" spans="2:18">
      <c r="B21" s="4" t="s">
        <v>214</v>
      </c>
      <c r="C21" s="4">
        <v>2030</v>
      </c>
      <c r="Q21" s="12"/>
      <c r="R21" s="12"/>
    </row>
    <row r="22" spans="2:18" ht="15" thickBot="1">
      <c r="B22" s="1" t="s">
        <v>215</v>
      </c>
      <c r="C22" s="2" t="s">
        <v>216</v>
      </c>
      <c r="D22" s="1"/>
      <c r="E22" s="1"/>
      <c r="F22" s="1"/>
      <c r="G22" s="1"/>
      <c r="H22" s="1"/>
      <c r="I22" s="1"/>
      <c r="J22" s="1"/>
      <c r="K22" s="1"/>
      <c r="L22" s="1"/>
      <c r="M22" s="1" t="s">
        <v>217</v>
      </c>
      <c r="N22" s="1" t="s">
        <v>147</v>
      </c>
      <c r="O22" s="1" t="s">
        <v>148</v>
      </c>
      <c r="Q22" s="12"/>
      <c r="R22" s="12"/>
    </row>
    <row r="23" spans="2:18" ht="15" thickBot="1">
      <c r="B23" s="3" t="s">
        <v>220</v>
      </c>
      <c r="C23" s="30" t="s">
        <v>443</v>
      </c>
      <c r="D23" s="34">
        <v>50</v>
      </c>
      <c r="E23" s="34">
        <v>200</v>
      </c>
      <c r="F23" s="34">
        <v>400</v>
      </c>
      <c r="G23" s="34">
        <v>750</v>
      </c>
      <c r="H23" s="34">
        <v>1200</v>
      </c>
      <c r="I23" s="34">
        <v>2500</v>
      </c>
      <c r="J23" s="34">
        <v>4700</v>
      </c>
      <c r="K23" s="34">
        <v>6000</v>
      </c>
      <c r="L23" s="34">
        <v>13000</v>
      </c>
      <c r="M23" s="33"/>
      <c r="N23" s="3"/>
      <c r="O23" s="3" t="s">
        <v>240</v>
      </c>
      <c r="Q23" s="12"/>
      <c r="R23" s="12"/>
    </row>
    <row r="24" spans="2:18" ht="15" thickBot="1">
      <c r="B24" s="3" t="s">
        <v>597</v>
      </c>
      <c r="C24" s="5" t="s">
        <v>598</v>
      </c>
      <c r="D24" s="3">
        <v>9.1999999999999993</v>
      </c>
      <c r="E24" s="3">
        <v>7.5439999999999996</v>
      </c>
      <c r="F24" s="3">
        <v>5.7960000000000003</v>
      </c>
      <c r="G24" s="3">
        <v>4.1399999999999997</v>
      </c>
      <c r="H24" s="3">
        <v>4.1399999999999997</v>
      </c>
      <c r="I24" s="3">
        <v>2.6680000000000001</v>
      </c>
      <c r="J24" s="3">
        <v>2.6680000000000001</v>
      </c>
      <c r="K24" s="3">
        <v>2.024</v>
      </c>
      <c r="L24" s="3">
        <v>1.472</v>
      </c>
      <c r="M24" s="33"/>
      <c r="N24" s="3" t="s">
        <v>151</v>
      </c>
      <c r="O24" s="3"/>
      <c r="Q24" s="12"/>
      <c r="R24" s="12"/>
    </row>
    <row r="25" spans="2:18" ht="15" thickBot="1">
      <c r="B25" s="3" t="s">
        <v>599</v>
      </c>
      <c r="C25" s="5" t="s">
        <v>223</v>
      </c>
      <c r="D25" s="37">
        <v>0.8</v>
      </c>
      <c r="E25" s="37">
        <v>0.8</v>
      </c>
      <c r="F25" s="37">
        <v>0.8</v>
      </c>
      <c r="G25" s="37">
        <v>0.8</v>
      </c>
      <c r="H25" s="37">
        <v>0.8</v>
      </c>
      <c r="I25" s="37">
        <v>0.8</v>
      </c>
      <c r="J25" s="37">
        <v>0.8</v>
      </c>
      <c r="K25" s="37">
        <v>0.8</v>
      </c>
      <c r="L25" s="37">
        <v>0.8</v>
      </c>
      <c r="M25" s="33"/>
      <c r="N25" s="3" t="s">
        <v>151</v>
      </c>
      <c r="O25" s="3"/>
      <c r="Q25" s="12"/>
      <c r="R25" s="12"/>
    </row>
    <row r="26" spans="2:18" ht="15" thickBot="1">
      <c r="B26" s="3" t="s">
        <v>600</v>
      </c>
      <c r="C26" s="5" t="s">
        <v>227</v>
      </c>
      <c r="D26" s="3">
        <v>1</v>
      </c>
      <c r="E26" s="3">
        <v>1</v>
      </c>
      <c r="F26" s="3">
        <v>1</v>
      </c>
      <c r="G26" s="3">
        <v>1</v>
      </c>
      <c r="H26" s="3">
        <v>1</v>
      </c>
      <c r="I26" s="3">
        <v>1</v>
      </c>
      <c r="J26" s="3">
        <v>1</v>
      </c>
      <c r="K26" s="3">
        <v>1</v>
      </c>
      <c r="L26" s="3">
        <v>1</v>
      </c>
      <c r="M26" s="33">
        <v>0.5</v>
      </c>
      <c r="N26" s="3" t="s">
        <v>151</v>
      </c>
      <c r="O26" s="3"/>
      <c r="Q26" s="12"/>
      <c r="R26" s="12"/>
    </row>
    <row r="27" spans="2:18" ht="15" thickBot="1">
      <c r="B27" s="3" t="s">
        <v>601</v>
      </c>
      <c r="C27" s="5" t="s">
        <v>227</v>
      </c>
      <c r="D27" s="3">
        <v>50</v>
      </c>
      <c r="E27" s="3">
        <v>50</v>
      </c>
      <c r="F27" s="3">
        <v>50</v>
      </c>
      <c r="G27" s="3">
        <v>50</v>
      </c>
      <c r="H27" s="3">
        <v>50</v>
      </c>
      <c r="I27" s="3">
        <v>50</v>
      </c>
      <c r="J27" s="3">
        <v>50</v>
      </c>
      <c r="K27" s="3">
        <v>50</v>
      </c>
      <c r="L27" s="3">
        <v>50</v>
      </c>
      <c r="M27" s="33">
        <v>0.1</v>
      </c>
      <c r="N27" s="3" t="s">
        <v>151</v>
      </c>
      <c r="O27" s="3"/>
      <c r="Q27" s="12"/>
      <c r="R27" s="12"/>
    </row>
    <row r="28" spans="2:18" ht="15" thickBot="1">
      <c r="B28" s="3" t="s">
        <v>602</v>
      </c>
      <c r="C28" s="5" t="s">
        <v>227</v>
      </c>
      <c r="D28" s="3">
        <v>25</v>
      </c>
      <c r="E28" s="3">
        <v>25</v>
      </c>
      <c r="F28" s="3">
        <v>25</v>
      </c>
      <c r="G28" s="3">
        <v>25</v>
      </c>
      <c r="H28" s="3">
        <v>25</v>
      </c>
      <c r="I28" s="3">
        <v>25</v>
      </c>
      <c r="J28" s="3">
        <v>25</v>
      </c>
      <c r="K28" s="3">
        <v>25</v>
      </c>
      <c r="L28" s="3">
        <v>25</v>
      </c>
      <c r="M28" s="33"/>
      <c r="N28" s="3" t="s">
        <v>184</v>
      </c>
      <c r="O28" s="3"/>
    </row>
    <row r="29" spans="2:18" ht="15" thickBot="1">
      <c r="B29" s="1" t="s">
        <v>603</v>
      </c>
      <c r="C29" s="2" t="s">
        <v>216</v>
      </c>
      <c r="D29" s="1"/>
      <c r="E29" s="1"/>
      <c r="F29" s="1"/>
      <c r="G29" s="1"/>
      <c r="H29" s="1"/>
      <c r="I29" s="1"/>
      <c r="J29" s="1"/>
      <c r="K29" s="1"/>
      <c r="L29" s="1"/>
      <c r="M29" s="1"/>
      <c r="N29" s="1"/>
      <c r="O29" s="74"/>
      <c r="Q29" s="4"/>
    </row>
    <row r="30" spans="2:18" ht="15" thickBot="1">
      <c r="B30" s="3" t="s">
        <v>604</v>
      </c>
      <c r="C30" s="3" t="s">
        <v>605</v>
      </c>
      <c r="D30" s="34">
        <v>430</v>
      </c>
      <c r="E30" s="34">
        <v>761</v>
      </c>
      <c r="F30" s="34">
        <v>957</v>
      </c>
      <c r="G30" s="34">
        <v>1216</v>
      </c>
      <c r="H30" s="34">
        <v>1531</v>
      </c>
      <c r="I30" s="34">
        <v>2299</v>
      </c>
      <c r="J30" s="34">
        <v>2609</v>
      </c>
      <c r="K30" s="34">
        <v>3065</v>
      </c>
      <c r="L30" s="34">
        <v>3541</v>
      </c>
      <c r="M30" s="33">
        <v>0.3</v>
      </c>
      <c r="N30" s="3" t="s">
        <v>305</v>
      </c>
      <c r="O30" s="3"/>
      <c r="Q30" s="12"/>
      <c r="R30" s="12"/>
    </row>
    <row r="31" spans="2:18" ht="15" thickBot="1">
      <c r="B31" s="3" t="s">
        <v>606</v>
      </c>
      <c r="C31" s="3" t="s">
        <v>223</v>
      </c>
      <c r="D31" s="3">
        <v>75</v>
      </c>
      <c r="E31" s="3">
        <v>75</v>
      </c>
      <c r="F31" s="3">
        <v>75</v>
      </c>
      <c r="G31" s="3">
        <v>75</v>
      </c>
      <c r="H31" s="3">
        <v>75</v>
      </c>
      <c r="I31" s="3">
        <v>75</v>
      </c>
      <c r="J31" s="3">
        <v>75</v>
      </c>
      <c r="K31" s="3">
        <v>75</v>
      </c>
      <c r="L31" s="3">
        <v>75</v>
      </c>
      <c r="M31" s="33">
        <v>0.1</v>
      </c>
      <c r="N31" s="3" t="s">
        <v>151</v>
      </c>
      <c r="O31" s="3"/>
      <c r="Q31" s="12"/>
      <c r="R31" s="12"/>
    </row>
    <row r="32" spans="2:18" ht="15" thickBot="1">
      <c r="B32" s="3" t="s">
        <v>608</v>
      </c>
      <c r="C32" s="3" t="s">
        <v>223</v>
      </c>
      <c r="D32" s="3">
        <v>25</v>
      </c>
      <c r="E32" s="3">
        <v>25</v>
      </c>
      <c r="F32" s="3">
        <v>25</v>
      </c>
      <c r="G32" s="3">
        <v>25</v>
      </c>
      <c r="H32" s="3">
        <v>25</v>
      </c>
      <c r="I32" s="3">
        <v>25</v>
      </c>
      <c r="J32" s="3">
        <v>25</v>
      </c>
      <c r="K32" s="3">
        <v>25</v>
      </c>
      <c r="L32" s="3">
        <v>25</v>
      </c>
      <c r="M32" s="33">
        <v>0.1</v>
      </c>
      <c r="N32" s="3" t="s">
        <v>151</v>
      </c>
      <c r="O32" s="3"/>
      <c r="Q32" s="12"/>
      <c r="R32" s="12"/>
    </row>
    <row r="33" spans="2:18" ht="15" thickBot="1">
      <c r="B33" s="3" t="s">
        <v>610</v>
      </c>
      <c r="C33" s="3" t="s">
        <v>611</v>
      </c>
      <c r="D33" s="13">
        <v>2</v>
      </c>
      <c r="E33" s="13">
        <v>2</v>
      </c>
      <c r="F33" s="13">
        <v>2</v>
      </c>
      <c r="G33" s="13">
        <v>2</v>
      </c>
      <c r="H33" s="13">
        <v>2</v>
      </c>
      <c r="I33" s="13">
        <v>2</v>
      </c>
      <c r="J33" s="13">
        <v>2</v>
      </c>
      <c r="K33" s="13">
        <v>2</v>
      </c>
      <c r="L33" s="13">
        <v>2</v>
      </c>
      <c r="M33" s="33">
        <v>0.5</v>
      </c>
      <c r="N33" s="3" t="s">
        <v>151</v>
      </c>
      <c r="O33" s="3"/>
      <c r="Q33" s="12"/>
      <c r="R33" s="12"/>
    </row>
    <row r="34" spans="2:18" ht="15" thickBot="1">
      <c r="B34" s="1" t="s">
        <v>246</v>
      </c>
      <c r="C34" s="2" t="s">
        <v>216</v>
      </c>
      <c r="D34" s="1"/>
      <c r="E34" s="1"/>
      <c r="F34" s="1"/>
      <c r="G34" s="1"/>
      <c r="H34" s="1"/>
      <c r="I34" s="1"/>
      <c r="J34" s="1"/>
      <c r="K34" s="1"/>
      <c r="L34" s="1"/>
      <c r="M34" s="1"/>
      <c r="N34" s="1"/>
      <c r="O34" s="1"/>
      <c r="Q34" s="12"/>
      <c r="R34" s="12"/>
    </row>
    <row r="35" spans="2:18" ht="15" thickBot="1">
      <c r="B35" s="3" t="s">
        <v>612</v>
      </c>
      <c r="C35" s="3" t="s">
        <v>613</v>
      </c>
      <c r="D35" s="37">
        <v>3.5</v>
      </c>
      <c r="E35" s="37">
        <v>3.5</v>
      </c>
      <c r="F35" s="37">
        <v>3.5</v>
      </c>
      <c r="G35" s="37">
        <v>3.5</v>
      </c>
      <c r="H35" s="37">
        <v>3.5</v>
      </c>
      <c r="I35" s="37">
        <v>3.5</v>
      </c>
      <c r="J35" s="37">
        <v>3.5</v>
      </c>
      <c r="K35" s="37">
        <v>3.5</v>
      </c>
      <c r="L35" s="37">
        <v>3.5</v>
      </c>
      <c r="M35" s="33">
        <v>0.5</v>
      </c>
      <c r="N35" s="3" t="s">
        <v>184</v>
      </c>
      <c r="O35" s="3"/>
      <c r="Q35" s="12"/>
      <c r="R35" s="12"/>
    </row>
    <row r="36" spans="2:18">
      <c r="Q36" s="12"/>
      <c r="R36" s="12"/>
    </row>
    <row r="38" spans="2:18">
      <c r="B38" s="4" t="s">
        <v>214</v>
      </c>
      <c r="C38" s="4">
        <v>2040</v>
      </c>
    </row>
    <row r="39" spans="2:18" ht="15" thickBot="1">
      <c r="B39" s="1" t="s">
        <v>215</v>
      </c>
      <c r="C39" s="2" t="s">
        <v>216</v>
      </c>
      <c r="D39" s="1"/>
      <c r="E39" s="1"/>
      <c r="F39" s="1"/>
      <c r="G39" s="1"/>
      <c r="H39" s="1"/>
      <c r="I39" s="1"/>
      <c r="J39" s="1"/>
      <c r="K39" s="1"/>
      <c r="L39" s="1"/>
      <c r="M39" s="1" t="s">
        <v>217</v>
      </c>
      <c r="N39" s="1" t="s">
        <v>147</v>
      </c>
      <c r="O39" s="1" t="s">
        <v>148</v>
      </c>
    </row>
    <row r="40" spans="2:18" ht="15" thickBot="1">
      <c r="B40" s="3" t="s">
        <v>220</v>
      </c>
      <c r="C40" s="30" t="s">
        <v>443</v>
      </c>
      <c r="D40" s="34">
        <v>50</v>
      </c>
      <c r="E40" s="34">
        <v>200</v>
      </c>
      <c r="F40" s="34">
        <v>400</v>
      </c>
      <c r="G40" s="34">
        <v>750</v>
      </c>
      <c r="H40" s="34">
        <v>1200</v>
      </c>
      <c r="I40" s="34">
        <v>2500</v>
      </c>
      <c r="J40" s="34">
        <v>4700</v>
      </c>
      <c r="K40" s="34">
        <v>6000</v>
      </c>
      <c r="L40" s="34">
        <v>13000</v>
      </c>
      <c r="M40" s="33"/>
      <c r="N40" s="3"/>
      <c r="O40" s="3" t="s">
        <v>240</v>
      </c>
    </row>
    <row r="41" spans="2:18" ht="15" thickBot="1">
      <c r="B41" s="3" t="s">
        <v>597</v>
      </c>
      <c r="C41" s="5" t="s">
        <v>598</v>
      </c>
      <c r="D41" s="37">
        <v>8.6999999999999993</v>
      </c>
      <c r="E41" s="37">
        <v>7.1</v>
      </c>
      <c r="F41" s="37">
        <v>5.5</v>
      </c>
      <c r="G41" s="37">
        <v>3.9</v>
      </c>
      <c r="H41" s="37">
        <v>3.9</v>
      </c>
      <c r="I41" s="37">
        <v>2.5</v>
      </c>
      <c r="J41" s="37">
        <v>2.5</v>
      </c>
      <c r="K41" s="37">
        <v>1.9</v>
      </c>
      <c r="L41" s="37">
        <v>1.4</v>
      </c>
      <c r="M41" s="33"/>
      <c r="N41" s="3" t="s">
        <v>151</v>
      </c>
      <c r="O41" s="3"/>
      <c r="Q41" s="12"/>
    </row>
    <row r="42" spans="2:18" ht="15" thickBot="1">
      <c r="B42" s="3" t="s">
        <v>599</v>
      </c>
      <c r="C42" s="5" t="s">
        <v>223</v>
      </c>
      <c r="D42" s="37">
        <v>0.8</v>
      </c>
      <c r="E42" s="37">
        <v>0.8</v>
      </c>
      <c r="F42" s="37">
        <v>0.8</v>
      </c>
      <c r="G42" s="37">
        <v>0.8</v>
      </c>
      <c r="H42" s="37">
        <v>0.8</v>
      </c>
      <c r="I42" s="37">
        <v>0.8</v>
      </c>
      <c r="J42" s="37">
        <v>0.8</v>
      </c>
      <c r="K42" s="37">
        <v>0.8</v>
      </c>
      <c r="L42" s="37">
        <v>0.8</v>
      </c>
      <c r="M42" s="33"/>
      <c r="N42" s="3" t="s">
        <v>151</v>
      </c>
      <c r="O42" s="3"/>
    </row>
    <row r="43" spans="2:18" ht="15" thickBot="1">
      <c r="B43" s="3" t="s">
        <v>600</v>
      </c>
      <c r="C43" s="5" t="s">
        <v>227</v>
      </c>
      <c r="D43" s="3">
        <v>1</v>
      </c>
      <c r="E43" s="3">
        <v>1</v>
      </c>
      <c r="F43" s="3">
        <v>1</v>
      </c>
      <c r="G43" s="3">
        <v>1</v>
      </c>
      <c r="H43" s="3">
        <v>1</v>
      </c>
      <c r="I43" s="3">
        <v>1</v>
      </c>
      <c r="J43" s="3">
        <v>1</v>
      </c>
      <c r="K43" s="3">
        <v>1</v>
      </c>
      <c r="L43" s="3">
        <v>1</v>
      </c>
      <c r="M43" s="33">
        <v>0.5</v>
      </c>
      <c r="N43" s="3" t="s">
        <v>151</v>
      </c>
      <c r="O43" s="3"/>
      <c r="Q43" s="4"/>
      <c r="R43" s="12"/>
    </row>
    <row r="44" spans="2:18" ht="15" thickBot="1">
      <c r="B44" s="3" t="s">
        <v>601</v>
      </c>
      <c r="C44" s="5" t="s">
        <v>227</v>
      </c>
      <c r="D44" s="3">
        <v>50</v>
      </c>
      <c r="E44" s="3">
        <v>50</v>
      </c>
      <c r="F44" s="3">
        <v>50</v>
      </c>
      <c r="G44" s="3">
        <v>50</v>
      </c>
      <c r="H44" s="3">
        <v>50</v>
      </c>
      <c r="I44" s="3">
        <v>50</v>
      </c>
      <c r="J44" s="3">
        <v>50</v>
      </c>
      <c r="K44" s="3">
        <v>50</v>
      </c>
      <c r="L44" s="3">
        <v>50</v>
      </c>
      <c r="M44" s="33">
        <v>0.1</v>
      </c>
      <c r="N44" s="3" t="s">
        <v>151</v>
      </c>
      <c r="O44" s="3"/>
      <c r="Q44" s="12"/>
    </row>
    <row r="45" spans="2:18" ht="15" thickBot="1">
      <c r="B45" s="3" t="s">
        <v>602</v>
      </c>
      <c r="C45" s="5" t="s">
        <v>227</v>
      </c>
      <c r="D45" s="3">
        <v>25</v>
      </c>
      <c r="E45" s="3">
        <v>25</v>
      </c>
      <c r="F45" s="3">
        <v>25</v>
      </c>
      <c r="G45" s="3">
        <v>25</v>
      </c>
      <c r="H45" s="3">
        <v>25</v>
      </c>
      <c r="I45" s="3">
        <v>25</v>
      </c>
      <c r="J45" s="3">
        <v>25</v>
      </c>
      <c r="K45" s="3">
        <v>25</v>
      </c>
      <c r="L45" s="3">
        <v>25</v>
      </c>
      <c r="M45" s="33"/>
      <c r="N45" s="3" t="s">
        <v>184</v>
      </c>
      <c r="O45" s="3"/>
      <c r="Q45" s="12"/>
    </row>
    <row r="46" spans="2:18" ht="15" thickBot="1">
      <c r="B46" s="1" t="s">
        <v>603</v>
      </c>
      <c r="C46" s="2" t="s">
        <v>216</v>
      </c>
      <c r="D46" s="1"/>
      <c r="E46" s="1"/>
      <c r="F46" s="1"/>
      <c r="G46" s="1"/>
      <c r="H46" s="1"/>
      <c r="I46" s="1"/>
      <c r="J46" s="1"/>
      <c r="K46" s="1"/>
      <c r="L46" s="1"/>
      <c r="M46" s="1"/>
      <c r="N46" s="1"/>
      <c r="O46" s="74"/>
    </row>
    <row r="47" spans="2:18" ht="15" thickBot="1">
      <c r="B47" s="3" t="s">
        <v>604</v>
      </c>
      <c r="C47" s="3" t="s">
        <v>605</v>
      </c>
      <c r="D47" s="34">
        <v>407</v>
      </c>
      <c r="E47" s="34">
        <v>721</v>
      </c>
      <c r="F47" s="34">
        <v>906</v>
      </c>
      <c r="G47" s="34">
        <v>1152</v>
      </c>
      <c r="H47" s="34">
        <v>1450</v>
      </c>
      <c r="I47" s="34">
        <v>2178</v>
      </c>
      <c r="J47" s="34">
        <v>2472</v>
      </c>
      <c r="K47" s="34">
        <v>2904</v>
      </c>
      <c r="L47" s="34">
        <v>3355</v>
      </c>
      <c r="M47" s="33">
        <v>0.4</v>
      </c>
      <c r="N47" s="3" t="s">
        <v>305</v>
      </c>
      <c r="O47" s="3"/>
    </row>
    <row r="48" spans="2:18" ht="15" thickBot="1">
      <c r="B48" s="3" t="s">
        <v>606</v>
      </c>
      <c r="C48" s="3" t="s">
        <v>223</v>
      </c>
      <c r="D48" s="3">
        <v>75</v>
      </c>
      <c r="E48" s="3">
        <v>75</v>
      </c>
      <c r="F48" s="3">
        <v>75</v>
      </c>
      <c r="G48" s="3">
        <v>75</v>
      </c>
      <c r="H48" s="3">
        <v>75</v>
      </c>
      <c r="I48" s="3">
        <v>75</v>
      </c>
      <c r="J48" s="3">
        <v>75</v>
      </c>
      <c r="K48" s="3">
        <v>75</v>
      </c>
      <c r="L48" s="3">
        <v>75</v>
      </c>
      <c r="M48" s="33">
        <v>0.1</v>
      </c>
      <c r="N48" s="3" t="s">
        <v>151</v>
      </c>
      <c r="O48" s="3"/>
    </row>
    <row r="49" spans="2:15" ht="15" thickBot="1">
      <c r="B49" s="3" t="s">
        <v>608</v>
      </c>
      <c r="C49" s="3" t="s">
        <v>223</v>
      </c>
      <c r="D49" s="3">
        <v>25</v>
      </c>
      <c r="E49" s="3">
        <v>25</v>
      </c>
      <c r="F49" s="3">
        <v>25</v>
      </c>
      <c r="G49" s="3">
        <v>25</v>
      </c>
      <c r="H49" s="3">
        <v>25</v>
      </c>
      <c r="I49" s="3">
        <v>25</v>
      </c>
      <c r="J49" s="3">
        <v>25</v>
      </c>
      <c r="K49" s="3">
        <v>25</v>
      </c>
      <c r="L49" s="3">
        <v>25</v>
      </c>
      <c r="M49" s="33">
        <v>0.1</v>
      </c>
      <c r="N49" s="3" t="s">
        <v>151</v>
      </c>
      <c r="O49" s="3"/>
    </row>
    <row r="50" spans="2:15" ht="15" thickBot="1">
      <c r="B50" s="3" t="s">
        <v>610</v>
      </c>
      <c r="C50" s="3" t="s">
        <v>611</v>
      </c>
      <c r="D50" s="13">
        <v>2</v>
      </c>
      <c r="E50" s="13">
        <v>2</v>
      </c>
      <c r="F50" s="13">
        <v>2</v>
      </c>
      <c r="G50" s="13">
        <v>2</v>
      </c>
      <c r="H50" s="13">
        <v>2</v>
      </c>
      <c r="I50" s="13">
        <v>2</v>
      </c>
      <c r="J50" s="13">
        <v>2</v>
      </c>
      <c r="K50" s="13">
        <v>2</v>
      </c>
      <c r="L50" s="13">
        <v>2</v>
      </c>
      <c r="M50" s="33">
        <v>0.5</v>
      </c>
      <c r="N50" s="3" t="s">
        <v>151</v>
      </c>
      <c r="O50" s="3"/>
    </row>
    <row r="51" spans="2:15" ht="15" thickBot="1">
      <c r="B51" s="1" t="s">
        <v>246</v>
      </c>
      <c r="C51" s="2" t="s">
        <v>216</v>
      </c>
      <c r="D51" s="1"/>
      <c r="E51" s="1"/>
      <c r="F51" s="1"/>
      <c r="G51" s="1"/>
      <c r="H51" s="1"/>
      <c r="I51" s="1"/>
      <c r="J51" s="1"/>
      <c r="K51" s="1"/>
      <c r="L51" s="1"/>
      <c r="M51" s="1"/>
      <c r="N51" s="1"/>
      <c r="O51" s="1"/>
    </row>
    <row r="52" spans="2:15" ht="15" thickBot="1">
      <c r="B52" s="3" t="s">
        <v>612</v>
      </c>
      <c r="C52" s="3" t="s">
        <v>613</v>
      </c>
      <c r="D52" s="37">
        <v>3.3</v>
      </c>
      <c r="E52" s="37">
        <v>3.7</v>
      </c>
      <c r="F52" s="37">
        <v>3.7</v>
      </c>
      <c r="G52" s="37">
        <v>3.7</v>
      </c>
      <c r="H52" s="37">
        <v>3.7</v>
      </c>
      <c r="I52" s="37">
        <v>3.7</v>
      </c>
      <c r="J52" s="37">
        <v>3.7</v>
      </c>
      <c r="K52" s="37">
        <v>3.7</v>
      </c>
      <c r="L52" s="37">
        <v>3.7</v>
      </c>
      <c r="M52" s="33">
        <v>0.5</v>
      </c>
      <c r="N52" s="3" t="s">
        <v>184</v>
      </c>
      <c r="O52" s="3"/>
    </row>
  </sheetData>
  <sheetProtection algorithmName="SHA-512" hashValue="IJWZ6VFXY+6ds6KX9cL92c9aVOc4igmTWhryq9wXN5xVBmctWfn5ED7dd9pl0HSj2j4ejHsc+h7zCuGi251zXQ==" saltValue="nA6PFGNwAHQ54i6slG8nTw==" spinCount="100000" sheet="1" objects="1" scenarios="1"/>
  <mergeCells count="1">
    <mergeCell ref="H2:N3"/>
  </mergeCells>
  <conditionalFormatting sqref="M30:M33 M24:M28 M35">
    <cfRule type="colorScale" priority="2">
      <colorScale>
        <cfvo type="num" val="0"/>
        <cfvo type="num" val="0.5"/>
        <color theme="0"/>
        <color theme="5"/>
      </colorScale>
    </cfRule>
  </conditionalFormatting>
  <conditionalFormatting sqref="M47:M50 M41:M45 M52">
    <cfRule type="colorScale" priority="1">
      <colorScale>
        <cfvo type="num" val="0"/>
        <cfvo type="num" val="0.5"/>
        <color theme="0"/>
        <color theme="5"/>
      </colorScale>
    </cfRule>
  </conditionalFormatting>
  <conditionalFormatting sqref="AC11:AC12 M13:M16 M7:M11 M18:M19">
    <cfRule type="colorScale" priority="3">
      <colorScale>
        <cfvo type="num" val="0"/>
        <cfvo type="num" val="0.5"/>
        <color theme="0"/>
        <color theme="5"/>
      </colorScale>
    </cfRule>
  </conditionalFormatting>
  <conditionalFormatting sqref="AC11:AC12">
    <cfRule type="colorScale" priority="4">
      <colorScale>
        <cfvo type="min"/>
        <cfvo type="max"/>
        <color theme="0"/>
        <color theme="5"/>
      </colorScale>
    </cfRule>
  </conditionalFormatting>
  <hyperlinks>
    <hyperlink ref="A1" location="Inhalt!A1" display="Zum Inhalt" xr:uid="{8EB73CFA-89D3-48F7-B926-26E2C102B587}"/>
  </hyperlinks>
  <pageMargins left="0.7" right="0.7" top="0.78740157499999996" bottom="0.78740157499999996" header="0.3" footer="0.3"/>
  <pageSetup paperSize="9" orientation="portrait" verticalDpi="0"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9DE8-D80B-4117-BAB5-C368B583CC40}">
  <sheetPr codeName="Tabelle42"/>
  <dimension ref="A1:AB73"/>
  <sheetViews>
    <sheetView zoomScaleNormal="100" workbookViewId="0"/>
  </sheetViews>
  <sheetFormatPr baseColWidth="10" defaultColWidth="11.44140625" defaultRowHeight="14.4"/>
  <cols>
    <col min="2" max="2" width="29.88671875" bestFit="1" customWidth="1"/>
    <col min="16" max="16" width="24.44140625" bestFit="1" customWidth="1"/>
  </cols>
  <sheetData>
    <row r="1" spans="1:28" ht="28.2" thickBot="1">
      <c r="A1" s="99" t="s">
        <v>143</v>
      </c>
    </row>
    <row r="2" spans="1:28" ht="23.4" customHeight="1">
      <c r="H2" s="142" t="s">
        <v>594</v>
      </c>
      <c r="I2" s="143"/>
      <c r="J2" s="143"/>
      <c r="K2" s="143"/>
      <c r="L2" s="143"/>
      <c r="M2" s="143"/>
      <c r="N2" s="144"/>
    </row>
    <row r="3" spans="1:28" ht="23.4" customHeight="1" thickBot="1">
      <c r="B3" s="4" t="s">
        <v>213</v>
      </c>
      <c r="C3" s="4" t="s">
        <v>31</v>
      </c>
      <c r="H3" s="145"/>
      <c r="I3" s="146"/>
      <c r="J3" s="146"/>
      <c r="K3" s="146"/>
      <c r="L3" s="146"/>
      <c r="M3" s="146"/>
      <c r="N3" s="147"/>
    </row>
    <row r="4" spans="1:28">
      <c r="B4" s="4" t="s">
        <v>214</v>
      </c>
      <c r="C4" s="4">
        <v>2023</v>
      </c>
    </row>
    <row r="5" spans="1:28" ht="15" thickBot="1">
      <c r="B5" s="1" t="s">
        <v>215</v>
      </c>
      <c r="C5" s="2" t="s">
        <v>216</v>
      </c>
      <c r="D5" s="1"/>
      <c r="E5" s="1"/>
      <c r="F5" s="1"/>
      <c r="G5" s="1"/>
      <c r="H5" s="1"/>
      <c r="I5" s="1"/>
      <c r="J5" s="1"/>
      <c r="K5" s="1"/>
      <c r="L5" s="1" t="s">
        <v>217</v>
      </c>
      <c r="M5" s="1" t="s">
        <v>147</v>
      </c>
      <c r="N5" s="1" t="s">
        <v>148</v>
      </c>
      <c r="P5" s="4" t="s">
        <v>595</v>
      </c>
      <c r="Q5" s="12" t="s">
        <v>442</v>
      </c>
    </row>
    <row r="6" spans="1:28" ht="15" thickBot="1">
      <c r="B6" s="3" t="s">
        <v>220</v>
      </c>
      <c r="C6" s="30" t="s">
        <v>221</v>
      </c>
      <c r="D6" s="34">
        <v>10</v>
      </c>
      <c r="E6" s="34">
        <v>50</v>
      </c>
      <c r="F6" s="34">
        <v>100</v>
      </c>
      <c r="G6" s="34">
        <v>250</v>
      </c>
      <c r="H6" s="34">
        <v>1000</v>
      </c>
      <c r="I6" s="34">
        <v>5000</v>
      </c>
      <c r="J6" s="34">
        <v>25000</v>
      </c>
      <c r="K6" s="34">
        <v>100000</v>
      </c>
      <c r="L6" s="33"/>
      <c r="M6" s="3"/>
      <c r="N6" s="3" t="s">
        <v>300</v>
      </c>
      <c r="P6" s="4"/>
      <c r="Q6" s="4"/>
      <c r="R6" s="4"/>
      <c r="S6" s="4"/>
    </row>
    <row r="7" spans="1:28" ht="15" thickBot="1">
      <c r="B7" s="3" t="s">
        <v>615</v>
      </c>
      <c r="C7" s="5" t="s">
        <v>223</v>
      </c>
      <c r="D7" s="3">
        <v>0.18</v>
      </c>
      <c r="E7" s="3">
        <v>0.18</v>
      </c>
      <c r="F7" s="3">
        <v>0.18</v>
      </c>
      <c r="G7" s="3">
        <v>0.18</v>
      </c>
      <c r="H7" s="3">
        <v>0.18</v>
      </c>
      <c r="I7" s="3">
        <v>0.18</v>
      </c>
      <c r="J7" s="3">
        <v>0.18</v>
      </c>
      <c r="K7" s="3">
        <v>0.18</v>
      </c>
      <c r="L7" s="33">
        <v>0.7</v>
      </c>
      <c r="M7" s="3" t="s">
        <v>616</v>
      </c>
      <c r="N7" s="3"/>
      <c r="P7" s="4" t="s">
        <v>234</v>
      </c>
      <c r="Q7" s="12" t="s">
        <v>617</v>
      </c>
      <c r="R7" s="12"/>
      <c r="S7" s="12"/>
    </row>
    <row r="8" spans="1:28" ht="15" thickBot="1">
      <c r="B8" s="3" t="s">
        <v>600</v>
      </c>
      <c r="C8" s="5" t="s">
        <v>227</v>
      </c>
      <c r="D8" s="3">
        <v>0.4</v>
      </c>
      <c r="E8" s="3">
        <v>0.4</v>
      </c>
      <c r="F8" s="3">
        <v>0.4</v>
      </c>
      <c r="G8" s="3">
        <v>0.4</v>
      </c>
      <c r="H8" s="3">
        <v>0.4</v>
      </c>
      <c r="I8" s="3">
        <v>0.4</v>
      </c>
      <c r="J8" s="3">
        <v>0.4</v>
      </c>
      <c r="K8" s="3">
        <v>0.4</v>
      </c>
      <c r="L8" s="33">
        <v>0.25</v>
      </c>
      <c r="M8" s="3" t="s">
        <v>355</v>
      </c>
      <c r="N8" s="3"/>
      <c r="P8" s="4"/>
      <c r="Q8" s="12"/>
      <c r="R8" s="12"/>
      <c r="S8" s="12"/>
    </row>
    <row r="9" spans="1:28" ht="15" thickBot="1">
      <c r="B9" s="3" t="s">
        <v>618</v>
      </c>
      <c r="C9" s="5" t="s">
        <v>227</v>
      </c>
      <c r="D9" s="3">
        <v>65</v>
      </c>
      <c r="E9" s="3">
        <v>65</v>
      </c>
      <c r="F9" s="3">
        <v>65</v>
      </c>
      <c r="G9" s="3">
        <v>65</v>
      </c>
      <c r="H9" s="3">
        <v>65</v>
      </c>
      <c r="I9" s="3">
        <v>65</v>
      </c>
      <c r="J9" s="3">
        <v>65</v>
      </c>
      <c r="K9" s="3">
        <v>65</v>
      </c>
      <c r="L9" s="33">
        <v>0.25</v>
      </c>
      <c r="M9" s="3" t="s">
        <v>355</v>
      </c>
      <c r="N9" s="3"/>
      <c r="P9" s="4" t="s">
        <v>148</v>
      </c>
      <c r="R9" s="12"/>
      <c r="S9" s="12"/>
    </row>
    <row r="10" spans="1:28" ht="15" thickBot="1">
      <c r="B10" s="1" t="s">
        <v>229</v>
      </c>
      <c r="C10" s="2" t="s">
        <v>216</v>
      </c>
      <c r="D10" s="1"/>
      <c r="E10" s="1"/>
      <c r="F10" s="1"/>
      <c r="G10" s="1"/>
      <c r="H10" s="1"/>
      <c r="I10" s="1"/>
      <c r="J10" s="1"/>
      <c r="K10" s="1"/>
      <c r="L10" s="1"/>
      <c r="M10" s="1"/>
      <c r="N10" s="74" t="s">
        <v>244</v>
      </c>
      <c r="P10" s="12" t="s">
        <v>240</v>
      </c>
      <c r="Q10" s="12" t="s">
        <v>619</v>
      </c>
      <c r="R10" s="12"/>
      <c r="S10" s="12"/>
    </row>
    <row r="11" spans="1:28" ht="15" thickBot="1">
      <c r="B11" s="3" t="s">
        <v>620</v>
      </c>
      <c r="C11" s="3"/>
      <c r="D11" s="13"/>
      <c r="E11" s="13"/>
      <c r="F11" s="13"/>
      <c r="G11" s="13"/>
      <c r="H11" s="13"/>
      <c r="I11" s="13"/>
      <c r="J11" s="13"/>
      <c r="K11" s="13"/>
      <c r="L11" s="33"/>
      <c r="M11" s="3" t="s">
        <v>355</v>
      </c>
      <c r="N11" s="3"/>
      <c r="P11" s="12" t="s">
        <v>244</v>
      </c>
      <c r="Q11" s="12" t="s">
        <v>621</v>
      </c>
      <c r="R11" s="12"/>
      <c r="S11" s="12"/>
      <c r="AB11" s="44"/>
    </row>
    <row r="12" spans="1:28" ht="15" thickBot="1">
      <c r="B12" s="36" t="s">
        <v>622</v>
      </c>
      <c r="C12" s="3" t="s">
        <v>623</v>
      </c>
      <c r="D12" s="13">
        <v>137</v>
      </c>
      <c r="E12" s="13">
        <v>137</v>
      </c>
      <c r="F12" s="13">
        <v>137</v>
      </c>
      <c r="G12" s="13">
        <v>137</v>
      </c>
      <c r="H12" s="13">
        <v>137</v>
      </c>
      <c r="I12" s="13">
        <v>137</v>
      </c>
      <c r="J12" s="13">
        <v>137</v>
      </c>
      <c r="K12" s="13">
        <v>137</v>
      </c>
      <c r="L12" s="33">
        <v>0.1</v>
      </c>
      <c r="M12" s="3"/>
      <c r="N12" s="3"/>
      <c r="P12" s="12" t="s">
        <v>224</v>
      </c>
      <c r="Q12" s="12" t="s">
        <v>624</v>
      </c>
      <c r="R12" s="12"/>
      <c r="S12" s="12"/>
      <c r="AB12" s="44"/>
    </row>
    <row r="13" spans="1:28" ht="15" thickBot="1">
      <c r="B13" s="36" t="s">
        <v>625</v>
      </c>
      <c r="C13" s="3" t="s">
        <v>623</v>
      </c>
      <c r="D13" s="13">
        <v>152</v>
      </c>
      <c r="E13" s="13">
        <v>152</v>
      </c>
      <c r="F13" s="13">
        <v>152</v>
      </c>
      <c r="G13" s="13">
        <v>152</v>
      </c>
      <c r="H13" s="13">
        <v>152</v>
      </c>
      <c r="I13" s="13">
        <v>152</v>
      </c>
      <c r="J13" s="13">
        <v>152</v>
      </c>
      <c r="K13" s="13">
        <v>152</v>
      </c>
      <c r="L13" s="33">
        <v>0.1</v>
      </c>
      <c r="M13" s="3"/>
      <c r="N13" s="3"/>
      <c r="P13" s="12" t="s">
        <v>250</v>
      </c>
      <c r="Q13" s="12" t="s">
        <v>626</v>
      </c>
    </row>
    <row r="14" spans="1:28" ht="15" thickBot="1">
      <c r="B14" s="36" t="s">
        <v>627</v>
      </c>
      <c r="C14" s="3" t="s">
        <v>623</v>
      </c>
      <c r="D14" s="13">
        <v>264</v>
      </c>
      <c r="E14" s="13">
        <v>264</v>
      </c>
      <c r="F14" s="13">
        <v>264</v>
      </c>
      <c r="G14" s="13">
        <v>264</v>
      </c>
      <c r="H14" s="13">
        <v>264</v>
      </c>
      <c r="I14" s="13">
        <v>264</v>
      </c>
      <c r="J14" s="13">
        <v>264</v>
      </c>
      <c r="K14" s="13">
        <v>264</v>
      </c>
      <c r="L14" s="33">
        <v>0.1</v>
      </c>
      <c r="M14" s="3"/>
      <c r="N14" s="3"/>
      <c r="P14" s="12" t="s">
        <v>252</v>
      </c>
      <c r="Q14" s="12" t="s">
        <v>628</v>
      </c>
    </row>
    <row r="15" spans="1:28" ht="15" thickBot="1">
      <c r="B15" s="3" t="s">
        <v>629</v>
      </c>
      <c r="C15" s="3" t="s">
        <v>630</v>
      </c>
      <c r="D15" s="34">
        <v>1565</v>
      </c>
      <c r="E15" s="13"/>
      <c r="F15" s="13"/>
      <c r="G15" s="13"/>
      <c r="H15" s="13"/>
      <c r="I15" s="13"/>
      <c r="J15" s="13"/>
      <c r="K15" s="13"/>
      <c r="L15" s="33">
        <v>0.15</v>
      </c>
      <c r="M15" s="3" t="s">
        <v>355</v>
      </c>
      <c r="N15" s="3" t="s">
        <v>224</v>
      </c>
      <c r="P15" s="12" t="s">
        <v>249</v>
      </c>
      <c r="Q15" s="12" t="s">
        <v>631</v>
      </c>
    </row>
    <row r="16" spans="1:28" ht="15" thickBot="1">
      <c r="B16" s="3" t="s">
        <v>604</v>
      </c>
      <c r="C16" s="3"/>
      <c r="D16" s="13"/>
      <c r="E16" s="13"/>
      <c r="F16" s="13"/>
      <c r="G16" s="13"/>
      <c r="H16" s="13"/>
      <c r="I16" s="13"/>
      <c r="J16" s="13"/>
      <c r="K16" s="13"/>
      <c r="L16" s="33"/>
      <c r="M16" s="3" t="s">
        <v>151</v>
      </c>
      <c r="N16" s="3" t="s">
        <v>250</v>
      </c>
      <c r="P16" s="12"/>
      <c r="Q16" s="12"/>
    </row>
    <row r="17" spans="2:17" ht="15" thickBot="1">
      <c r="B17" s="36" t="s">
        <v>622</v>
      </c>
      <c r="C17" s="3" t="s">
        <v>605</v>
      </c>
      <c r="D17" s="13"/>
      <c r="E17" s="13">
        <v>49</v>
      </c>
      <c r="F17" s="13">
        <v>49</v>
      </c>
      <c r="G17" s="13">
        <v>49</v>
      </c>
      <c r="H17" s="13">
        <v>49</v>
      </c>
      <c r="I17" s="13">
        <v>52</v>
      </c>
      <c r="J17" s="13">
        <v>67</v>
      </c>
      <c r="K17" s="13"/>
      <c r="L17" s="33">
        <v>0.1</v>
      </c>
      <c r="M17" s="3"/>
      <c r="N17" s="3"/>
      <c r="P17" s="4" t="s">
        <v>147</v>
      </c>
    </row>
    <row r="18" spans="2:17" ht="15" thickBot="1">
      <c r="B18" s="36" t="s">
        <v>625</v>
      </c>
      <c r="C18" s="3" t="s">
        <v>605</v>
      </c>
      <c r="D18" s="13"/>
      <c r="E18" s="13">
        <v>52</v>
      </c>
      <c r="F18" s="13">
        <v>52</v>
      </c>
      <c r="G18" s="13">
        <v>52</v>
      </c>
      <c r="H18" s="13">
        <v>52</v>
      </c>
      <c r="I18" s="13">
        <v>59</v>
      </c>
      <c r="J18" s="13">
        <v>85</v>
      </c>
      <c r="K18" s="13"/>
      <c r="L18" s="33">
        <v>0.1</v>
      </c>
      <c r="M18" s="3"/>
      <c r="N18" s="3"/>
      <c r="P18" s="12" t="s">
        <v>151</v>
      </c>
      <c r="Q18" s="12" t="s">
        <v>185</v>
      </c>
    </row>
    <row r="19" spans="2:17" ht="15" thickBot="1">
      <c r="B19" s="36" t="s">
        <v>627</v>
      </c>
      <c r="C19" s="3" t="s">
        <v>605</v>
      </c>
      <c r="D19" s="13"/>
      <c r="E19" s="13">
        <v>46</v>
      </c>
      <c r="F19" s="13">
        <v>46</v>
      </c>
      <c r="G19" s="13">
        <v>46</v>
      </c>
      <c r="H19" s="13">
        <v>46</v>
      </c>
      <c r="I19" s="13">
        <v>49</v>
      </c>
      <c r="J19" s="13">
        <v>62</v>
      </c>
      <c r="K19" s="13"/>
      <c r="L19" s="33">
        <v>0.1</v>
      </c>
      <c r="M19" s="3"/>
      <c r="N19" s="3"/>
      <c r="P19" s="12" t="s">
        <v>184</v>
      </c>
      <c r="Q19" s="12" t="s">
        <v>607</v>
      </c>
    </row>
    <row r="20" spans="2:17" ht="15" thickBot="1">
      <c r="B20" s="30" t="s">
        <v>632</v>
      </c>
      <c r="C20" s="3" t="s">
        <v>223</v>
      </c>
      <c r="D20" s="46">
        <v>80</v>
      </c>
      <c r="E20" s="46">
        <v>80</v>
      </c>
      <c r="F20" s="46">
        <v>80</v>
      </c>
      <c r="G20" s="46">
        <v>80</v>
      </c>
      <c r="H20" s="46">
        <v>80</v>
      </c>
      <c r="I20" s="46">
        <v>80</v>
      </c>
      <c r="J20" s="46">
        <v>80</v>
      </c>
      <c r="K20" s="46">
        <v>80</v>
      </c>
      <c r="L20" s="33"/>
      <c r="M20" s="3" t="s">
        <v>616</v>
      </c>
      <c r="N20" s="3"/>
      <c r="P20" s="12" t="s">
        <v>186</v>
      </c>
      <c r="Q20" s="12" t="s">
        <v>633</v>
      </c>
    </row>
    <row r="21" spans="2:17" ht="15" thickBot="1">
      <c r="B21" s="30" t="s">
        <v>634</v>
      </c>
      <c r="C21" s="3" t="s">
        <v>223</v>
      </c>
      <c r="D21" s="46">
        <v>20</v>
      </c>
      <c r="E21" s="46">
        <v>20</v>
      </c>
      <c r="F21" s="46">
        <v>20</v>
      </c>
      <c r="G21" s="46">
        <v>20</v>
      </c>
      <c r="H21" s="46">
        <v>20</v>
      </c>
      <c r="I21" s="46">
        <v>20</v>
      </c>
      <c r="J21" s="46">
        <v>20</v>
      </c>
      <c r="K21" s="46">
        <v>20</v>
      </c>
      <c r="L21" s="33"/>
      <c r="M21" s="3" t="s">
        <v>616</v>
      </c>
      <c r="N21" s="3"/>
      <c r="P21" s="12" t="s">
        <v>188</v>
      </c>
      <c r="Q21" s="12" t="s">
        <v>635</v>
      </c>
    </row>
    <row r="22" spans="2:17" ht="15" thickBot="1">
      <c r="B22" s="30" t="s">
        <v>610</v>
      </c>
      <c r="C22" s="3"/>
      <c r="D22" s="13"/>
      <c r="E22" s="13"/>
      <c r="F22" s="13"/>
      <c r="G22" s="13"/>
      <c r="H22" s="13"/>
      <c r="I22" s="13"/>
      <c r="J22" s="13"/>
      <c r="K22" s="13"/>
      <c r="L22" s="33"/>
      <c r="M22" s="3" t="s">
        <v>616</v>
      </c>
      <c r="N22" s="3"/>
      <c r="P22" s="12" t="s">
        <v>192</v>
      </c>
      <c r="Q22" s="12" t="s">
        <v>636</v>
      </c>
    </row>
    <row r="23" spans="2:17" ht="15" thickBot="1">
      <c r="B23" s="36" t="s">
        <v>622</v>
      </c>
      <c r="C23" s="3" t="s">
        <v>452</v>
      </c>
      <c r="D23" s="13">
        <v>734</v>
      </c>
      <c r="E23" s="13">
        <v>734</v>
      </c>
      <c r="F23" s="13">
        <v>734</v>
      </c>
      <c r="G23" s="13">
        <v>734</v>
      </c>
      <c r="H23" s="13">
        <v>734</v>
      </c>
      <c r="I23" s="13">
        <v>734</v>
      </c>
      <c r="J23" s="13">
        <v>734</v>
      </c>
      <c r="K23" s="13">
        <v>734</v>
      </c>
      <c r="L23" s="33">
        <v>0.2</v>
      </c>
      <c r="M23" s="3"/>
      <c r="N23" s="3"/>
    </row>
    <row r="24" spans="2:17" ht="15" thickBot="1">
      <c r="B24" s="36" t="s">
        <v>625</v>
      </c>
      <c r="C24" s="3" t="s">
        <v>452</v>
      </c>
      <c r="D24" s="13">
        <v>303</v>
      </c>
      <c r="E24" s="13">
        <v>303</v>
      </c>
      <c r="F24" s="13">
        <v>303</v>
      </c>
      <c r="G24" s="13">
        <v>303</v>
      </c>
      <c r="H24" s="13">
        <v>303</v>
      </c>
      <c r="I24" s="13">
        <v>303</v>
      </c>
      <c r="J24" s="13">
        <v>303</v>
      </c>
      <c r="K24" s="13">
        <v>303</v>
      </c>
      <c r="L24" s="33">
        <v>0.2</v>
      </c>
      <c r="M24" s="3"/>
      <c r="N24" s="3"/>
    </row>
    <row r="25" spans="2:17" ht="15" thickBot="1">
      <c r="B25" s="36" t="s">
        <v>627</v>
      </c>
      <c r="C25" s="3" t="s">
        <v>452</v>
      </c>
      <c r="D25" s="13">
        <v>900</v>
      </c>
      <c r="E25" s="13">
        <v>900</v>
      </c>
      <c r="F25" s="13">
        <v>900</v>
      </c>
      <c r="G25" s="13">
        <v>900</v>
      </c>
      <c r="H25" s="13">
        <v>900</v>
      </c>
      <c r="I25" s="13">
        <v>900</v>
      </c>
      <c r="J25" s="13">
        <v>900</v>
      </c>
      <c r="K25" s="13">
        <v>900</v>
      </c>
      <c r="L25" s="33">
        <v>0.2</v>
      </c>
      <c r="M25" s="3"/>
      <c r="N25" s="3"/>
    </row>
    <row r="26" spans="2:17">
      <c r="B26" s="12"/>
      <c r="C26" s="12"/>
      <c r="D26" s="75"/>
      <c r="E26" s="75"/>
      <c r="F26" s="75"/>
      <c r="G26" s="75"/>
      <c r="H26" s="75"/>
      <c r="I26" s="75"/>
      <c r="J26" s="76"/>
      <c r="K26" s="75"/>
      <c r="L26" s="48"/>
      <c r="M26" s="12"/>
      <c r="N26" s="12"/>
    </row>
    <row r="28" spans="2:17">
      <c r="B28" s="4" t="s">
        <v>214</v>
      </c>
      <c r="C28" s="4">
        <v>2030</v>
      </c>
    </row>
    <row r="29" spans="2:17" ht="15" thickBot="1">
      <c r="B29" s="1" t="s">
        <v>215</v>
      </c>
      <c r="C29" s="2" t="s">
        <v>216</v>
      </c>
      <c r="D29" s="1"/>
      <c r="E29" s="1"/>
      <c r="F29" s="1"/>
      <c r="G29" s="1"/>
      <c r="H29" s="1"/>
      <c r="I29" s="1"/>
      <c r="J29" s="1"/>
      <c r="K29" s="1"/>
      <c r="L29" s="1" t="s">
        <v>217</v>
      </c>
      <c r="M29" s="1" t="s">
        <v>147</v>
      </c>
      <c r="N29" s="1" t="s">
        <v>148</v>
      </c>
    </row>
    <row r="30" spans="2:17" ht="15" thickBot="1">
      <c r="B30" s="3" t="s">
        <v>220</v>
      </c>
      <c r="C30" s="30" t="s">
        <v>221</v>
      </c>
      <c r="D30" s="34">
        <v>10</v>
      </c>
      <c r="E30" s="34">
        <v>50</v>
      </c>
      <c r="F30" s="34">
        <v>100</v>
      </c>
      <c r="G30" s="34">
        <v>250</v>
      </c>
      <c r="H30" s="34">
        <v>1000</v>
      </c>
      <c r="I30" s="34">
        <v>5000</v>
      </c>
      <c r="J30" s="34">
        <v>25000</v>
      </c>
      <c r="K30" s="34">
        <v>100000</v>
      </c>
      <c r="L30" s="33"/>
      <c r="M30" s="3"/>
      <c r="N30" s="3" t="s">
        <v>300</v>
      </c>
    </row>
    <row r="31" spans="2:17" ht="15" thickBot="1">
      <c r="B31" s="3" t="s">
        <v>615</v>
      </c>
      <c r="C31" s="5" t="s">
        <v>223</v>
      </c>
      <c r="D31" s="3">
        <v>0.18</v>
      </c>
      <c r="E31" s="3">
        <v>0.18</v>
      </c>
      <c r="F31" s="3">
        <v>0.18</v>
      </c>
      <c r="G31" s="3">
        <v>0.18</v>
      </c>
      <c r="H31" s="3">
        <v>0.18</v>
      </c>
      <c r="I31" s="3">
        <v>0.18</v>
      </c>
      <c r="J31" s="3">
        <v>0.18</v>
      </c>
      <c r="K31" s="3">
        <v>0.18</v>
      </c>
      <c r="L31" s="33">
        <v>0.7</v>
      </c>
      <c r="M31" s="3" t="s">
        <v>616</v>
      </c>
      <c r="N31" s="3"/>
    </row>
    <row r="32" spans="2:17" ht="15" thickBot="1">
      <c r="B32" s="3" t="s">
        <v>600</v>
      </c>
      <c r="C32" s="5" t="s">
        <v>227</v>
      </c>
      <c r="D32" s="3">
        <v>0.4</v>
      </c>
      <c r="E32" s="3">
        <v>0.4</v>
      </c>
      <c r="F32" s="3">
        <v>0.4</v>
      </c>
      <c r="G32" s="3">
        <v>0.4</v>
      </c>
      <c r="H32" s="3">
        <v>0.4</v>
      </c>
      <c r="I32" s="3">
        <v>0.4</v>
      </c>
      <c r="J32" s="3">
        <v>0.4</v>
      </c>
      <c r="K32" s="3">
        <v>0.4</v>
      </c>
      <c r="L32" s="33">
        <v>0.25</v>
      </c>
      <c r="M32" s="3" t="s">
        <v>355</v>
      </c>
      <c r="N32" s="3"/>
    </row>
    <row r="33" spans="2:17" ht="15" thickBot="1">
      <c r="B33" s="3" t="s">
        <v>618</v>
      </c>
      <c r="C33" s="5" t="s">
        <v>227</v>
      </c>
      <c r="D33" s="3">
        <v>65</v>
      </c>
      <c r="E33" s="3">
        <v>65</v>
      </c>
      <c r="F33" s="3">
        <v>65</v>
      </c>
      <c r="G33" s="3">
        <v>65</v>
      </c>
      <c r="H33" s="3">
        <v>65</v>
      </c>
      <c r="I33" s="3">
        <v>65</v>
      </c>
      <c r="J33" s="3">
        <v>65</v>
      </c>
      <c r="K33" s="3">
        <v>65</v>
      </c>
      <c r="L33" s="33">
        <v>0.25</v>
      </c>
      <c r="M33" s="3" t="s">
        <v>355</v>
      </c>
      <c r="N33" s="3"/>
      <c r="P33" s="12"/>
      <c r="Q33" s="12"/>
    </row>
    <row r="34" spans="2:17" ht="15" thickBot="1">
      <c r="B34" s="1" t="s">
        <v>229</v>
      </c>
      <c r="C34" s="2" t="s">
        <v>216</v>
      </c>
      <c r="D34" s="1"/>
      <c r="E34" s="1"/>
      <c r="F34" s="1"/>
      <c r="G34" s="1"/>
      <c r="H34" s="1"/>
      <c r="I34" s="1"/>
      <c r="J34" s="1"/>
      <c r="K34" s="1"/>
      <c r="L34" s="1"/>
      <c r="M34" s="1"/>
      <c r="N34" s="74" t="s">
        <v>244</v>
      </c>
      <c r="P34" s="12"/>
      <c r="Q34" s="12"/>
    </row>
    <row r="35" spans="2:17" ht="15" thickBot="1">
      <c r="B35" s="3" t="s">
        <v>620</v>
      </c>
      <c r="C35" s="3"/>
      <c r="D35" s="13"/>
      <c r="E35" s="13"/>
      <c r="F35" s="13"/>
      <c r="G35" s="13"/>
      <c r="H35" s="13"/>
      <c r="I35" s="13"/>
      <c r="J35" s="13"/>
      <c r="K35" s="13"/>
      <c r="L35" s="33"/>
      <c r="M35" s="3" t="s">
        <v>355</v>
      </c>
      <c r="N35" s="3"/>
    </row>
    <row r="36" spans="2:17" ht="15" thickBot="1">
      <c r="B36" s="36" t="s">
        <v>622</v>
      </c>
      <c r="C36" s="3" t="s">
        <v>623</v>
      </c>
      <c r="D36" s="13">
        <v>137</v>
      </c>
      <c r="E36" s="13">
        <v>137</v>
      </c>
      <c r="F36" s="13">
        <v>137</v>
      </c>
      <c r="G36" s="13">
        <v>137</v>
      </c>
      <c r="H36" s="13">
        <v>137</v>
      </c>
      <c r="I36" s="13">
        <v>137</v>
      </c>
      <c r="J36" s="13">
        <v>137</v>
      </c>
      <c r="K36" s="13">
        <v>137</v>
      </c>
      <c r="L36" s="33">
        <v>0.15</v>
      </c>
      <c r="M36" s="3"/>
      <c r="N36" s="3"/>
    </row>
    <row r="37" spans="2:17" ht="15" thickBot="1">
      <c r="B37" s="36" t="s">
        <v>625</v>
      </c>
      <c r="C37" s="3" t="s">
        <v>623</v>
      </c>
      <c r="D37" s="13">
        <v>152</v>
      </c>
      <c r="E37" s="13">
        <v>152</v>
      </c>
      <c r="F37" s="13">
        <v>152</v>
      </c>
      <c r="G37" s="13">
        <v>152</v>
      </c>
      <c r="H37" s="13">
        <v>152</v>
      </c>
      <c r="I37" s="13">
        <v>152</v>
      </c>
      <c r="J37" s="13">
        <v>152</v>
      </c>
      <c r="K37" s="13">
        <v>152</v>
      </c>
      <c r="L37" s="33">
        <v>0.15</v>
      </c>
      <c r="M37" s="3"/>
      <c r="N37" s="3"/>
    </row>
    <row r="38" spans="2:17" ht="15" thickBot="1">
      <c r="B38" s="36" t="s">
        <v>627</v>
      </c>
      <c r="C38" s="3" t="s">
        <v>623</v>
      </c>
      <c r="D38" s="13">
        <v>264</v>
      </c>
      <c r="E38" s="13">
        <v>264</v>
      </c>
      <c r="F38" s="13">
        <v>264</v>
      </c>
      <c r="G38" s="13">
        <v>264</v>
      </c>
      <c r="H38" s="13">
        <v>264</v>
      </c>
      <c r="I38" s="13">
        <v>264</v>
      </c>
      <c r="J38" s="13">
        <v>264</v>
      </c>
      <c r="K38" s="13">
        <v>264</v>
      </c>
      <c r="L38" s="33">
        <v>0.15</v>
      </c>
      <c r="M38" s="3"/>
      <c r="N38" s="3"/>
    </row>
    <row r="39" spans="2:17" ht="15" thickBot="1">
      <c r="B39" s="3" t="s">
        <v>629</v>
      </c>
      <c r="C39" s="3" t="s">
        <v>630</v>
      </c>
      <c r="D39" s="34">
        <v>1565</v>
      </c>
      <c r="E39" s="13"/>
      <c r="F39" s="13"/>
      <c r="G39" s="13"/>
      <c r="H39" s="13"/>
      <c r="I39" s="13"/>
      <c r="J39" s="13"/>
      <c r="K39" s="13"/>
      <c r="L39" s="33">
        <v>0.2</v>
      </c>
      <c r="M39" s="3" t="s">
        <v>355</v>
      </c>
      <c r="N39" s="3" t="s">
        <v>224</v>
      </c>
      <c r="P39" s="12"/>
    </row>
    <row r="40" spans="2:17" ht="15" thickBot="1">
      <c r="B40" s="3" t="s">
        <v>604</v>
      </c>
      <c r="C40" s="3"/>
      <c r="D40" s="13"/>
      <c r="E40" s="13"/>
      <c r="F40" s="13"/>
      <c r="G40" s="13"/>
      <c r="H40" s="13"/>
      <c r="I40" s="13"/>
      <c r="J40" s="13"/>
      <c r="K40" s="3"/>
      <c r="L40" s="33"/>
      <c r="M40" s="3" t="s">
        <v>151</v>
      </c>
      <c r="N40" s="3" t="s">
        <v>250</v>
      </c>
    </row>
    <row r="41" spans="2:17" ht="15" thickBot="1">
      <c r="B41" s="36" t="s">
        <v>622</v>
      </c>
      <c r="C41" s="3" t="s">
        <v>605</v>
      </c>
      <c r="D41" s="13"/>
      <c r="E41" s="13">
        <v>49</v>
      </c>
      <c r="F41" s="13">
        <v>49</v>
      </c>
      <c r="G41" s="13">
        <v>49</v>
      </c>
      <c r="H41" s="13">
        <v>49</v>
      </c>
      <c r="I41" s="13">
        <v>52</v>
      </c>
      <c r="J41" s="13">
        <v>67</v>
      </c>
      <c r="K41" s="3"/>
      <c r="L41" s="33">
        <v>0.15</v>
      </c>
      <c r="M41" s="3"/>
      <c r="N41" s="3"/>
      <c r="P41" s="4"/>
      <c r="Q41" s="12"/>
    </row>
    <row r="42" spans="2:17" ht="15" thickBot="1">
      <c r="B42" s="36" t="s">
        <v>625</v>
      </c>
      <c r="C42" s="3" t="s">
        <v>605</v>
      </c>
      <c r="D42" s="13"/>
      <c r="E42" s="13">
        <v>52</v>
      </c>
      <c r="F42" s="13">
        <v>52</v>
      </c>
      <c r="G42" s="13">
        <v>52</v>
      </c>
      <c r="H42" s="13">
        <v>52</v>
      </c>
      <c r="I42" s="13">
        <v>59</v>
      </c>
      <c r="J42" s="13">
        <v>85</v>
      </c>
      <c r="K42" s="3"/>
      <c r="L42" s="33">
        <v>0.15</v>
      </c>
      <c r="M42" s="3"/>
      <c r="N42" s="3"/>
      <c r="P42" s="12"/>
    </row>
    <row r="43" spans="2:17" ht="15" thickBot="1">
      <c r="B43" s="36" t="s">
        <v>627</v>
      </c>
      <c r="C43" s="3" t="s">
        <v>605</v>
      </c>
      <c r="D43" s="13"/>
      <c r="E43" s="13">
        <v>46</v>
      </c>
      <c r="F43" s="13">
        <v>46</v>
      </c>
      <c r="G43" s="13">
        <v>46</v>
      </c>
      <c r="H43" s="13">
        <v>46</v>
      </c>
      <c r="I43" s="13">
        <v>49</v>
      </c>
      <c r="J43" s="13">
        <v>62</v>
      </c>
      <c r="K43" s="3"/>
      <c r="L43" s="33">
        <v>0.15</v>
      </c>
      <c r="M43" s="3"/>
      <c r="N43" s="3"/>
      <c r="P43" s="12"/>
    </row>
    <row r="44" spans="2:17" ht="15" thickBot="1">
      <c r="B44" s="30" t="s">
        <v>632</v>
      </c>
      <c r="C44" s="3" t="s">
        <v>223</v>
      </c>
      <c r="D44" s="46">
        <v>80</v>
      </c>
      <c r="E44" s="46">
        <v>80</v>
      </c>
      <c r="F44" s="46">
        <v>80</v>
      </c>
      <c r="G44" s="46">
        <v>80</v>
      </c>
      <c r="H44" s="46">
        <v>80</v>
      </c>
      <c r="I44" s="46">
        <v>80</v>
      </c>
      <c r="J44" s="46">
        <v>80</v>
      </c>
      <c r="K44" s="46">
        <v>80</v>
      </c>
      <c r="L44" s="33"/>
      <c r="M44" s="3" t="s">
        <v>616</v>
      </c>
      <c r="N44" s="3"/>
    </row>
    <row r="45" spans="2:17" ht="15" thickBot="1">
      <c r="B45" s="30" t="s">
        <v>634</v>
      </c>
      <c r="C45" s="3" t="s">
        <v>223</v>
      </c>
      <c r="D45" s="46">
        <v>20</v>
      </c>
      <c r="E45" s="46">
        <v>20</v>
      </c>
      <c r="F45" s="46">
        <v>20</v>
      </c>
      <c r="G45" s="46">
        <v>20</v>
      </c>
      <c r="H45" s="46">
        <v>20</v>
      </c>
      <c r="I45" s="46">
        <v>20</v>
      </c>
      <c r="J45" s="46">
        <v>20</v>
      </c>
      <c r="K45" s="46">
        <v>20</v>
      </c>
      <c r="L45" s="33"/>
      <c r="M45" s="3" t="s">
        <v>616</v>
      </c>
      <c r="N45" s="3"/>
    </row>
    <row r="46" spans="2:17" ht="15" thickBot="1">
      <c r="B46" s="30" t="s">
        <v>610</v>
      </c>
      <c r="C46" s="3" t="s">
        <v>637</v>
      </c>
      <c r="D46" s="13"/>
      <c r="E46" s="13"/>
      <c r="F46" s="13"/>
      <c r="G46" s="13"/>
      <c r="H46" s="13"/>
      <c r="I46" s="13"/>
      <c r="J46" s="13"/>
      <c r="K46" s="13"/>
      <c r="L46" s="33"/>
      <c r="M46" s="3" t="s">
        <v>616</v>
      </c>
      <c r="N46" s="3"/>
    </row>
    <row r="47" spans="2:17" ht="15" thickBot="1">
      <c r="B47" s="36" t="s">
        <v>622</v>
      </c>
      <c r="C47" s="3"/>
      <c r="D47" s="13">
        <v>734</v>
      </c>
      <c r="E47" s="13">
        <v>734</v>
      </c>
      <c r="F47" s="13">
        <v>734</v>
      </c>
      <c r="G47" s="13">
        <v>734</v>
      </c>
      <c r="H47" s="13">
        <v>734</v>
      </c>
      <c r="I47" s="13">
        <v>734</v>
      </c>
      <c r="J47" s="13">
        <v>734</v>
      </c>
      <c r="K47" s="13">
        <v>734</v>
      </c>
      <c r="L47" s="33">
        <v>0.25</v>
      </c>
      <c r="M47" s="3"/>
      <c r="N47" s="3"/>
    </row>
    <row r="48" spans="2:17" ht="15" thickBot="1">
      <c r="B48" s="36" t="s">
        <v>625</v>
      </c>
      <c r="C48" s="3"/>
      <c r="D48" s="13">
        <v>303</v>
      </c>
      <c r="E48" s="13">
        <v>303</v>
      </c>
      <c r="F48" s="13">
        <v>303</v>
      </c>
      <c r="G48" s="13">
        <v>303</v>
      </c>
      <c r="H48" s="13">
        <v>303</v>
      </c>
      <c r="I48" s="13">
        <v>303</v>
      </c>
      <c r="J48" s="13">
        <v>303</v>
      </c>
      <c r="K48" s="13">
        <v>303</v>
      </c>
      <c r="L48" s="33">
        <v>0.25</v>
      </c>
      <c r="M48" s="3"/>
      <c r="N48" s="3"/>
    </row>
    <row r="49" spans="2:14" ht="15" thickBot="1">
      <c r="B49" s="36" t="s">
        <v>627</v>
      </c>
      <c r="C49" s="3"/>
      <c r="D49" s="13">
        <v>900</v>
      </c>
      <c r="E49" s="13">
        <v>900</v>
      </c>
      <c r="F49" s="13">
        <v>900</v>
      </c>
      <c r="G49" s="13">
        <v>900</v>
      </c>
      <c r="H49" s="13">
        <v>900</v>
      </c>
      <c r="I49" s="13">
        <v>900</v>
      </c>
      <c r="J49" s="13">
        <v>900</v>
      </c>
      <c r="K49" s="13">
        <v>900</v>
      </c>
      <c r="L49" s="33">
        <v>0.25</v>
      </c>
      <c r="M49" s="3"/>
      <c r="N49" s="3"/>
    </row>
    <row r="52" spans="2:14">
      <c r="B52" s="4" t="s">
        <v>214</v>
      </c>
      <c r="C52" s="4">
        <v>2040</v>
      </c>
    </row>
    <row r="53" spans="2:14" ht="15" thickBot="1">
      <c r="B53" s="1" t="s">
        <v>215</v>
      </c>
      <c r="C53" s="2" t="s">
        <v>216</v>
      </c>
      <c r="D53" s="1"/>
      <c r="E53" s="1"/>
      <c r="F53" s="1"/>
      <c r="G53" s="1"/>
      <c r="H53" s="1"/>
      <c r="I53" s="1"/>
      <c r="J53" s="1"/>
      <c r="K53" s="1"/>
      <c r="L53" s="1" t="s">
        <v>217</v>
      </c>
      <c r="M53" s="1" t="s">
        <v>147</v>
      </c>
      <c r="N53" s="1" t="s">
        <v>148</v>
      </c>
    </row>
    <row r="54" spans="2:14" ht="15" thickBot="1">
      <c r="B54" s="3" t="s">
        <v>220</v>
      </c>
      <c r="C54" s="30" t="s">
        <v>221</v>
      </c>
      <c r="D54" s="34">
        <v>10</v>
      </c>
      <c r="E54" s="34">
        <v>50</v>
      </c>
      <c r="F54" s="34">
        <v>100</v>
      </c>
      <c r="G54" s="34">
        <v>250</v>
      </c>
      <c r="H54" s="34">
        <v>1000</v>
      </c>
      <c r="I54" s="34">
        <v>5000</v>
      </c>
      <c r="J54" s="34">
        <v>25000</v>
      </c>
      <c r="K54" s="34">
        <v>100000</v>
      </c>
      <c r="L54" s="33"/>
      <c r="M54" s="3"/>
      <c r="N54" s="3" t="s">
        <v>300</v>
      </c>
    </row>
    <row r="55" spans="2:14" ht="15" thickBot="1">
      <c r="B55" s="3" t="s">
        <v>615</v>
      </c>
      <c r="C55" s="5" t="s">
        <v>223</v>
      </c>
      <c r="D55" s="3">
        <v>0.18</v>
      </c>
      <c r="E55" s="3">
        <v>0.18</v>
      </c>
      <c r="F55" s="3">
        <v>0.18</v>
      </c>
      <c r="G55" s="3">
        <v>0.18</v>
      </c>
      <c r="H55" s="3">
        <v>0.18</v>
      </c>
      <c r="I55" s="3">
        <v>0.18</v>
      </c>
      <c r="J55" s="3">
        <v>0.18</v>
      </c>
      <c r="K55" s="3">
        <v>0.18</v>
      </c>
      <c r="L55" s="33">
        <v>0.7</v>
      </c>
      <c r="M55" s="3" t="s">
        <v>616</v>
      </c>
      <c r="N55" s="3"/>
    </row>
    <row r="56" spans="2:14" ht="15" thickBot="1">
      <c r="B56" s="3" t="s">
        <v>600</v>
      </c>
      <c r="C56" s="5" t="s">
        <v>227</v>
      </c>
      <c r="D56" s="3">
        <v>0.4</v>
      </c>
      <c r="E56" s="3">
        <v>0.4</v>
      </c>
      <c r="F56" s="3">
        <v>0.4</v>
      </c>
      <c r="G56" s="3">
        <v>0.4</v>
      </c>
      <c r="H56" s="3">
        <v>0.4</v>
      </c>
      <c r="I56" s="3">
        <v>0.4</v>
      </c>
      <c r="J56" s="3">
        <v>0.4</v>
      </c>
      <c r="K56" s="3">
        <v>0.4</v>
      </c>
      <c r="L56" s="33">
        <v>0.25</v>
      </c>
      <c r="M56" s="3" t="s">
        <v>355</v>
      </c>
      <c r="N56" s="3"/>
    </row>
    <row r="57" spans="2:14" ht="15" thickBot="1">
      <c r="B57" s="3" t="s">
        <v>618</v>
      </c>
      <c r="C57" s="5" t="s">
        <v>227</v>
      </c>
      <c r="D57" s="3">
        <v>65</v>
      </c>
      <c r="E57" s="3">
        <v>65</v>
      </c>
      <c r="F57" s="3">
        <v>65</v>
      </c>
      <c r="G57" s="3">
        <v>65</v>
      </c>
      <c r="H57" s="3">
        <v>65</v>
      </c>
      <c r="I57" s="3">
        <v>65</v>
      </c>
      <c r="J57" s="3">
        <v>65</v>
      </c>
      <c r="K57" s="3">
        <v>65</v>
      </c>
      <c r="L57" s="33">
        <v>0.25</v>
      </c>
      <c r="M57" s="3" t="s">
        <v>355</v>
      </c>
      <c r="N57" s="3"/>
    </row>
    <row r="58" spans="2:14" ht="15" thickBot="1">
      <c r="B58" s="1" t="s">
        <v>229</v>
      </c>
      <c r="C58" s="2" t="s">
        <v>216</v>
      </c>
      <c r="D58" s="1"/>
      <c r="E58" s="1"/>
      <c r="F58" s="1"/>
      <c r="G58" s="1"/>
      <c r="H58" s="1"/>
      <c r="I58" s="1"/>
      <c r="J58" s="1"/>
      <c r="K58" s="1"/>
      <c r="L58" s="1"/>
      <c r="M58" s="1"/>
      <c r="N58" s="74" t="s">
        <v>244</v>
      </c>
    </row>
    <row r="59" spans="2:14" ht="15" thickBot="1">
      <c r="B59" s="3" t="s">
        <v>620</v>
      </c>
      <c r="C59" s="3"/>
      <c r="D59" s="13"/>
      <c r="E59" s="13"/>
      <c r="F59" s="13"/>
      <c r="G59" s="13"/>
      <c r="H59" s="13"/>
      <c r="I59" s="13"/>
      <c r="J59" s="13"/>
      <c r="K59" s="13"/>
      <c r="L59" s="33"/>
      <c r="M59" s="3" t="s">
        <v>355</v>
      </c>
      <c r="N59" s="3"/>
    </row>
    <row r="60" spans="2:14" ht="15" thickBot="1">
      <c r="B60" s="36" t="s">
        <v>622</v>
      </c>
      <c r="C60" s="3" t="s">
        <v>623</v>
      </c>
      <c r="D60" s="13">
        <v>137</v>
      </c>
      <c r="E60" s="13">
        <v>137</v>
      </c>
      <c r="F60" s="13">
        <v>137</v>
      </c>
      <c r="G60" s="13">
        <v>137</v>
      </c>
      <c r="H60" s="13">
        <v>137</v>
      </c>
      <c r="I60" s="13">
        <v>137</v>
      </c>
      <c r="J60" s="13">
        <v>137</v>
      </c>
      <c r="K60" s="13">
        <v>137</v>
      </c>
      <c r="L60" s="33">
        <v>0.2</v>
      </c>
      <c r="M60" s="3"/>
      <c r="N60" s="3"/>
    </row>
    <row r="61" spans="2:14" ht="15" thickBot="1">
      <c r="B61" s="36" t="s">
        <v>625</v>
      </c>
      <c r="C61" s="3" t="s">
        <v>623</v>
      </c>
      <c r="D61" s="13">
        <v>152</v>
      </c>
      <c r="E61" s="13">
        <v>152</v>
      </c>
      <c r="F61" s="13">
        <v>152</v>
      </c>
      <c r="G61" s="13">
        <v>152</v>
      </c>
      <c r="H61" s="13">
        <v>152</v>
      </c>
      <c r="I61" s="13">
        <v>152</v>
      </c>
      <c r="J61" s="13">
        <v>152</v>
      </c>
      <c r="K61" s="13">
        <v>152</v>
      </c>
      <c r="L61" s="33">
        <v>0.2</v>
      </c>
      <c r="M61" s="3"/>
      <c r="N61" s="3"/>
    </row>
    <row r="62" spans="2:14" ht="15" thickBot="1">
      <c r="B62" s="36" t="s">
        <v>627</v>
      </c>
      <c r="C62" s="3" t="s">
        <v>623</v>
      </c>
      <c r="D62" s="13">
        <v>264</v>
      </c>
      <c r="E62" s="13">
        <v>264</v>
      </c>
      <c r="F62" s="13">
        <v>264</v>
      </c>
      <c r="G62" s="13">
        <v>264</v>
      </c>
      <c r="H62" s="13">
        <v>264</v>
      </c>
      <c r="I62" s="13">
        <v>264</v>
      </c>
      <c r="J62" s="13">
        <v>264</v>
      </c>
      <c r="K62" s="13">
        <v>264</v>
      </c>
      <c r="L62" s="33">
        <v>0.2</v>
      </c>
      <c r="M62" s="3"/>
      <c r="N62" s="3"/>
    </row>
    <row r="63" spans="2:14" ht="15" thickBot="1">
      <c r="B63" s="3" t="s">
        <v>629</v>
      </c>
      <c r="C63" s="3" t="s">
        <v>630</v>
      </c>
      <c r="D63" s="34">
        <v>1565</v>
      </c>
      <c r="E63" s="13"/>
      <c r="F63" s="13"/>
      <c r="G63" s="13"/>
      <c r="H63" s="13"/>
      <c r="I63" s="13"/>
      <c r="J63" s="13"/>
      <c r="K63" s="13"/>
      <c r="L63" s="33">
        <v>0.25</v>
      </c>
      <c r="M63" s="3" t="s">
        <v>355</v>
      </c>
      <c r="N63" s="3" t="s">
        <v>224</v>
      </c>
    </row>
    <row r="64" spans="2:14" ht="15" thickBot="1">
      <c r="B64" s="3" t="s">
        <v>604</v>
      </c>
      <c r="C64" s="3"/>
      <c r="D64" s="13"/>
      <c r="E64" s="13"/>
      <c r="F64" s="13"/>
      <c r="G64" s="13"/>
      <c r="H64" s="13"/>
      <c r="I64" s="13"/>
      <c r="J64" s="13"/>
      <c r="K64" s="13"/>
      <c r="L64" s="33"/>
      <c r="M64" s="3" t="s">
        <v>151</v>
      </c>
      <c r="N64" s="3" t="s">
        <v>250</v>
      </c>
    </row>
    <row r="65" spans="2:14" ht="15" thickBot="1">
      <c r="B65" s="36" t="s">
        <v>622</v>
      </c>
      <c r="C65" s="3" t="s">
        <v>605</v>
      </c>
      <c r="D65" s="13"/>
      <c r="E65" s="13">
        <v>49</v>
      </c>
      <c r="F65" s="13">
        <v>49</v>
      </c>
      <c r="G65" s="13">
        <v>49</v>
      </c>
      <c r="H65" s="13">
        <v>49</v>
      </c>
      <c r="I65" s="13">
        <v>52</v>
      </c>
      <c r="J65" s="13">
        <v>67</v>
      </c>
      <c r="K65" s="13"/>
      <c r="L65" s="33">
        <v>0.2</v>
      </c>
      <c r="M65" s="3"/>
      <c r="N65" s="3"/>
    </row>
    <row r="66" spans="2:14" ht="15" thickBot="1">
      <c r="B66" s="36" t="s">
        <v>625</v>
      </c>
      <c r="C66" s="3" t="s">
        <v>605</v>
      </c>
      <c r="D66" s="13"/>
      <c r="E66" s="13">
        <v>52</v>
      </c>
      <c r="F66" s="13">
        <v>52</v>
      </c>
      <c r="G66" s="13">
        <v>52</v>
      </c>
      <c r="H66" s="13">
        <v>52</v>
      </c>
      <c r="I66" s="13">
        <v>59</v>
      </c>
      <c r="J66" s="13">
        <v>85</v>
      </c>
      <c r="K66" s="13"/>
      <c r="L66" s="33">
        <v>0.2</v>
      </c>
      <c r="M66" s="3"/>
      <c r="N66" s="3"/>
    </row>
    <row r="67" spans="2:14" ht="15" thickBot="1">
      <c r="B67" s="36" t="s">
        <v>627</v>
      </c>
      <c r="C67" s="3" t="s">
        <v>605</v>
      </c>
      <c r="D67" s="13"/>
      <c r="E67" s="13">
        <v>46</v>
      </c>
      <c r="F67" s="13">
        <v>46</v>
      </c>
      <c r="G67" s="13">
        <v>46</v>
      </c>
      <c r="H67" s="13">
        <v>46</v>
      </c>
      <c r="I67" s="13">
        <v>49</v>
      </c>
      <c r="J67" s="13">
        <v>62</v>
      </c>
      <c r="K67" s="13"/>
      <c r="L67" s="33">
        <v>0.2</v>
      </c>
      <c r="M67" s="3"/>
      <c r="N67" s="3"/>
    </row>
    <row r="68" spans="2:14" ht="15" thickBot="1">
      <c r="B68" s="30" t="s">
        <v>632</v>
      </c>
      <c r="C68" s="3" t="s">
        <v>223</v>
      </c>
      <c r="D68" s="46">
        <v>80</v>
      </c>
      <c r="E68" s="46">
        <v>80</v>
      </c>
      <c r="F68" s="46">
        <v>80</v>
      </c>
      <c r="G68" s="46">
        <v>80</v>
      </c>
      <c r="H68" s="46">
        <v>80</v>
      </c>
      <c r="I68" s="46">
        <v>80</v>
      </c>
      <c r="J68" s="46">
        <v>80</v>
      </c>
      <c r="K68" s="46">
        <v>80</v>
      </c>
      <c r="L68" s="33"/>
      <c r="M68" s="3" t="s">
        <v>616</v>
      </c>
      <c r="N68" s="3"/>
    </row>
    <row r="69" spans="2:14" ht="15" thickBot="1">
      <c r="B69" s="30" t="s">
        <v>634</v>
      </c>
      <c r="C69" s="3" t="s">
        <v>223</v>
      </c>
      <c r="D69" s="46">
        <v>20</v>
      </c>
      <c r="E69" s="46">
        <v>20</v>
      </c>
      <c r="F69" s="46">
        <v>20</v>
      </c>
      <c r="G69" s="46">
        <v>20</v>
      </c>
      <c r="H69" s="46">
        <v>20</v>
      </c>
      <c r="I69" s="46">
        <v>20</v>
      </c>
      <c r="J69" s="46">
        <v>20</v>
      </c>
      <c r="K69" s="46">
        <v>20</v>
      </c>
      <c r="L69" s="33"/>
      <c r="M69" s="3" t="s">
        <v>616</v>
      </c>
      <c r="N69" s="3"/>
    </row>
    <row r="70" spans="2:14" ht="15" thickBot="1">
      <c r="B70" s="30" t="s">
        <v>610</v>
      </c>
      <c r="C70" s="3" t="s">
        <v>637</v>
      </c>
      <c r="D70" s="13"/>
      <c r="E70" s="13"/>
      <c r="F70" s="13"/>
      <c r="G70" s="13"/>
      <c r="H70" s="13"/>
      <c r="I70" s="13"/>
      <c r="J70" s="13"/>
      <c r="K70" s="13"/>
      <c r="L70" s="33"/>
      <c r="M70" s="3" t="s">
        <v>616</v>
      </c>
      <c r="N70" s="3"/>
    </row>
    <row r="71" spans="2:14" ht="15" thickBot="1">
      <c r="B71" s="36" t="s">
        <v>622</v>
      </c>
      <c r="C71" s="3"/>
      <c r="D71" s="13">
        <v>734</v>
      </c>
      <c r="E71" s="13">
        <v>734</v>
      </c>
      <c r="F71" s="13">
        <v>734</v>
      </c>
      <c r="G71" s="13">
        <v>734</v>
      </c>
      <c r="H71" s="13">
        <v>734</v>
      </c>
      <c r="I71" s="13">
        <v>734</v>
      </c>
      <c r="J71" s="13">
        <v>734</v>
      </c>
      <c r="K71" s="13">
        <v>734</v>
      </c>
      <c r="L71" s="33">
        <v>0.3</v>
      </c>
      <c r="M71" s="3"/>
      <c r="N71" s="3"/>
    </row>
    <row r="72" spans="2:14" ht="15" thickBot="1">
      <c r="B72" s="36" t="s">
        <v>625</v>
      </c>
      <c r="C72" s="3"/>
      <c r="D72" s="13">
        <v>303</v>
      </c>
      <c r="E72" s="13">
        <v>303</v>
      </c>
      <c r="F72" s="13">
        <v>303</v>
      </c>
      <c r="G72" s="13">
        <v>303</v>
      </c>
      <c r="H72" s="13">
        <v>303</v>
      </c>
      <c r="I72" s="13">
        <v>303</v>
      </c>
      <c r="J72" s="13">
        <v>303</v>
      </c>
      <c r="K72" s="13">
        <v>303</v>
      </c>
      <c r="L72" s="33">
        <v>0.3</v>
      </c>
      <c r="M72" s="3"/>
      <c r="N72" s="3"/>
    </row>
    <row r="73" spans="2:14" ht="15" thickBot="1">
      <c r="B73" s="36" t="s">
        <v>627</v>
      </c>
      <c r="C73" s="3"/>
      <c r="D73" s="13">
        <v>900</v>
      </c>
      <c r="E73" s="13">
        <v>900</v>
      </c>
      <c r="F73" s="13">
        <v>900</v>
      </c>
      <c r="G73" s="13">
        <v>900</v>
      </c>
      <c r="H73" s="13">
        <v>900</v>
      </c>
      <c r="I73" s="13">
        <v>900</v>
      </c>
      <c r="J73" s="13">
        <v>900</v>
      </c>
      <c r="K73" s="13">
        <v>900</v>
      </c>
      <c r="L73" s="33">
        <v>0.3</v>
      </c>
      <c r="M73" s="3"/>
      <c r="N73" s="3"/>
    </row>
  </sheetData>
  <sheetProtection algorithmName="SHA-512" hashValue="a4r4tuUYj3+1EQBVxy8uu4EMKWmn3kbOPDxjbVEdr32RORO5YI3ffN+w6ZyXPE03e5ypRbPa0suK/lG4G+Mhig==" saltValue="1GDCoxe9WUG9YTB/caF0KA==" spinCount="100000" sheet="1" objects="1" scenarios="1"/>
  <mergeCells count="1">
    <mergeCell ref="H2:N3"/>
  </mergeCells>
  <conditionalFormatting sqref="L7:L9 L31:L33 L55:L57 L26 L35:L49">
    <cfRule type="colorScale" priority="2">
      <colorScale>
        <cfvo type="num" val="0"/>
        <cfvo type="num" val="0.5"/>
        <color theme="0"/>
        <color theme="5"/>
      </colorScale>
    </cfRule>
  </conditionalFormatting>
  <conditionalFormatting sqref="L59:L73">
    <cfRule type="colorScale" priority="1">
      <colorScale>
        <cfvo type="num" val="0"/>
        <cfvo type="num" val="0.5"/>
        <color theme="0"/>
        <color theme="5"/>
      </colorScale>
    </cfRule>
  </conditionalFormatting>
  <conditionalFormatting sqref="AB11:AB12 L11:L25">
    <cfRule type="colorScale" priority="3">
      <colorScale>
        <cfvo type="num" val="0"/>
        <cfvo type="num" val="0.5"/>
        <color theme="0"/>
        <color theme="5"/>
      </colorScale>
    </cfRule>
  </conditionalFormatting>
  <conditionalFormatting sqref="AB11:AB12">
    <cfRule type="colorScale" priority="4">
      <colorScale>
        <cfvo type="min"/>
        <cfvo type="max"/>
        <color theme="0"/>
        <color theme="5"/>
      </colorScale>
    </cfRule>
  </conditionalFormatting>
  <hyperlinks>
    <hyperlink ref="A1" location="Inhalt!A1" display="Zum Inhalt" xr:uid="{5DEE65CD-E699-4162-AD36-8B2B6D3DE80D}"/>
  </hyperlinks>
  <pageMargins left="0.7" right="0.7" top="0.78740157499999996" bottom="0.78740157499999996" header="0.3" footer="0.3"/>
  <pageSetup paperSize="9" orientation="portrait" verticalDpi="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D336-930A-43BF-8136-D7B56E09B039}">
  <sheetPr codeName="Tabelle44"/>
  <dimension ref="A1:AB97"/>
  <sheetViews>
    <sheetView zoomScaleNormal="100" workbookViewId="0"/>
  </sheetViews>
  <sheetFormatPr baseColWidth="10" defaultColWidth="11.44140625" defaultRowHeight="14.4"/>
  <cols>
    <col min="2" max="2" width="29.6640625" bestFit="1" customWidth="1"/>
    <col min="9" max="9" width="10.6640625" customWidth="1"/>
    <col min="16" max="16" width="24.44140625" bestFit="1" customWidth="1"/>
  </cols>
  <sheetData>
    <row r="1" spans="1:28" ht="28.2" thickBot="1">
      <c r="A1" s="99" t="s">
        <v>143</v>
      </c>
    </row>
    <row r="2" spans="1:28" ht="23.7" customHeight="1">
      <c r="H2" s="142" t="s">
        <v>638</v>
      </c>
      <c r="I2" s="143"/>
      <c r="J2" s="143"/>
      <c r="K2" s="143"/>
      <c r="L2" s="143"/>
      <c r="M2" s="143"/>
      <c r="N2" s="144"/>
    </row>
    <row r="3" spans="1:28" ht="29.7" customHeight="1" thickBot="1">
      <c r="B3" s="4" t="s">
        <v>213</v>
      </c>
      <c r="C3" s="4" t="s">
        <v>38</v>
      </c>
      <c r="H3" s="145"/>
      <c r="I3" s="146"/>
      <c r="J3" s="146"/>
      <c r="K3" s="146"/>
      <c r="L3" s="146"/>
      <c r="M3" s="146"/>
      <c r="N3" s="147"/>
    </row>
    <row r="4" spans="1:28">
      <c r="B4" s="4" t="s">
        <v>214</v>
      </c>
      <c r="C4" s="4">
        <v>2023</v>
      </c>
    </row>
    <row r="5" spans="1:28" ht="15" thickBot="1">
      <c r="B5" s="1" t="s">
        <v>215</v>
      </c>
      <c r="C5" s="2" t="s">
        <v>216</v>
      </c>
      <c r="D5" s="1"/>
      <c r="E5" s="1"/>
      <c r="F5" s="1"/>
      <c r="G5" s="1"/>
      <c r="H5" s="1"/>
      <c r="I5" s="1"/>
      <c r="J5" s="1"/>
      <c r="K5" s="1"/>
      <c r="L5" s="1" t="s">
        <v>217</v>
      </c>
      <c r="M5" s="1" t="s">
        <v>147</v>
      </c>
      <c r="N5" s="1" t="s">
        <v>148</v>
      </c>
      <c r="P5" s="4" t="s">
        <v>595</v>
      </c>
    </row>
    <row r="6" spans="1:28" ht="15" thickBot="1">
      <c r="B6" s="3" t="s">
        <v>220</v>
      </c>
      <c r="C6" s="30" t="s">
        <v>221</v>
      </c>
      <c r="D6" s="34">
        <v>10</v>
      </c>
      <c r="E6" s="34">
        <v>50</v>
      </c>
      <c r="F6" s="34">
        <v>100</v>
      </c>
      <c r="G6" s="34">
        <v>250</v>
      </c>
      <c r="H6" s="34">
        <v>1000</v>
      </c>
      <c r="I6" s="34">
        <v>5000</v>
      </c>
      <c r="J6" s="34">
        <v>25000</v>
      </c>
      <c r="K6" s="34">
        <v>100000</v>
      </c>
      <c r="L6" s="3"/>
      <c r="M6" s="3"/>
      <c r="N6" s="3" t="s">
        <v>381</v>
      </c>
      <c r="P6" s="4" t="s">
        <v>639</v>
      </c>
      <c r="Q6" s="4" t="s">
        <v>640</v>
      </c>
      <c r="R6" s="4" t="s">
        <v>641</v>
      </c>
      <c r="S6" s="4" t="s">
        <v>642</v>
      </c>
    </row>
    <row r="7" spans="1:28" ht="15" thickBot="1">
      <c r="B7" s="3" t="s">
        <v>643</v>
      </c>
      <c r="C7" s="5" t="s">
        <v>223</v>
      </c>
      <c r="D7" s="3"/>
      <c r="E7" s="3"/>
      <c r="F7" s="3"/>
      <c r="G7" s="3"/>
      <c r="H7" s="3"/>
      <c r="I7" s="3"/>
      <c r="J7" s="3"/>
      <c r="K7" s="3"/>
      <c r="L7" s="33"/>
      <c r="M7" s="3"/>
      <c r="N7" s="3"/>
      <c r="P7" s="4" t="s">
        <v>629</v>
      </c>
      <c r="Q7" s="12" t="s">
        <v>644</v>
      </c>
      <c r="R7" s="12"/>
      <c r="S7" s="12"/>
    </row>
    <row r="8" spans="1:28" ht="15" thickBot="1">
      <c r="B8" s="78" t="s">
        <v>645</v>
      </c>
      <c r="C8" s="5" t="s">
        <v>223</v>
      </c>
      <c r="D8" s="37">
        <v>12.3</v>
      </c>
      <c r="E8" s="37">
        <v>12.3</v>
      </c>
      <c r="F8" s="37">
        <v>12.3</v>
      </c>
      <c r="G8" s="37">
        <v>12.3</v>
      </c>
      <c r="H8" s="37">
        <v>12.3</v>
      </c>
      <c r="I8" s="37">
        <v>12.3</v>
      </c>
      <c r="J8" s="37">
        <v>12.3</v>
      </c>
      <c r="K8" s="37">
        <v>12.3</v>
      </c>
      <c r="L8" s="33">
        <v>0.45</v>
      </c>
      <c r="M8" s="3" t="s">
        <v>522</v>
      </c>
      <c r="N8" s="3" t="s">
        <v>444</v>
      </c>
      <c r="P8" s="12" t="s">
        <v>225</v>
      </c>
      <c r="Q8" s="12">
        <v>7.7024999999999997</v>
      </c>
      <c r="R8" s="12">
        <v>13.161</v>
      </c>
      <c r="S8" s="12">
        <v>13.411</v>
      </c>
    </row>
    <row r="9" spans="1:28" ht="15" thickBot="1">
      <c r="B9" s="36" t="s">
        <v>625</v>
      </c>
      <c r="C9" s="5" t="s">
        <v>223</v>
      </c>
      <c r="D9" s="37">
        <v>11.3</v>
      </c>
      <c r="E9" s="37">
        <v>11.3</v>
      </c>
      <c r="F9" s="37">
        <v>11.3</v>
      </c>
      <c r="G9" s="37">
        <v>11.3</v>
      </c>
      <c r="H9" s="37">
        <v>11.3</v>
      </c>
      <c r="I9" s="37">
        <v>11.3</v>
      </c>
      <c r="J9" s="37">
        <v>11.3</v>
      </c>
      <c r="K9" s="37">
        <v>11.3</v>
      </c>
      <c r="L9" s="33">
        <v>0.45</v>
      </c>
      <c r="M9" s="3" t="s">
        <v>522</v>
      </c>
      <c r="N9" s="3" t="s">
        <v>444</v>
      </c>
      <c r="P9" s="12" t="s">
        <v>228</v>
      </c>
      <c r="Q9" s="12">
        <v>4747.5</v>
      </c>
      <c r="R9" s="12">
        <v>9240.7000000000007</v>
      </c>
      <c r="S9" s="12">
        <v>13976</v>
      </c>
    </row>
    <row r="10" spans="1:28" ht="15" thickBot="1">
      <c r="B10" s="36" t="s">
        <v>646</v>
      </c>
      <c r="C10" s="5" t="s">
        <v>223</v>
      </c>
      <c r="D10" s="3">
        <v>10</v>
      </c>
      <c r="E10" s="3">
        <v>10</v>
      </c>
      <c r="F10" s="3">
        <v>10</v>
      </c>
      <c r="G10" s="3">
        <v>10</v>
      </c>
      <c r="H10" s="3">
        <v>10</v>
      </c>
      <c r="I10" s="3">
        <v>10</v>
      </c>
      <c r="J10" s="3">
        <v>10</v>
      </c>
      <c r="K10" s="3">
        <v>10</v>
      </c>
      <c r="L10" s="33">
        <v>0.45</v>
      </c>
      <c r="M10" s="3" t="s">
        <v>522</v>
      </c>
      <c r="N10" s="3" t="s">
        <v>444</v>
      </c>
      <c r="P10" s="4" t="s">
        <v>604</v>
      </c>
      <c r="Q10" s="12" t="s">
        <v>647</v>
      </c>
      <c r="R10" s="12"/>
      <c r="S10" s="12"/>
    </row>
    <row r="11" spans="1:28" ht="15" thickBot="1">
      <c r="B11" s="3" t="s">
        <v>648</v>
      </c>
      <c r="C11" s="5" t="s">
        <v>223</v>
      </c>
      <c r="D11" s="3">
        <v>4.5</v>
      </c>
      <c r="E11" s="3">
        <v>4.5</v>
      </c>
      <c r="F11" s="3">
        <v>4.5</v>
      </c>
      <c r="G11" s="3">
        <v>4.5</v>
      </c>
      <c r="H11" s="3">
        <v>4.5</v>
      </c>
      <c r="I11" s="3">
        <v>4.5</v>
      </c>
      <c r="J11" s="3">
        <v>4.5</v>
      </c>
      <c r="K11" s="3">
        <v>4.5</v>
      </c>
      <c r="L11" s="33">
        <v>0.55000000000000004</v>
      </c>
      <c r="M11" s="3" t="s">
        <v>305</v>
      </c>
      <c r="N11" s="3" t="s">
        <v>224</v>
      </c>
      <c r="P11" s="12" t="s">
        <v>225</v>
      </c>
      <c r="Q11" s="12">
        <v>284.93</v>
      </c>
      <c r="R11" s="12">
        <v>358.76</v>
      </c>
      <c r="S11" s="12">
        <v>432.63</v>
      </c>
      <c r="AB11" s="44"/>
    </row>
    <row r="12" spans="1:28" ht="15" thickBot="1">
      <c r="B12" s="3" t="s">
        <v>649</v>
      </c>
      <c r="C12" s="5" t="s">
        <v>223</v>
      </c>
      <c r="D12" s="3">
        <v>0.5</v>
      </c>
      <c r="E12" s="3">
        <v>0.5</v>
      </c>
      <c r="F12" s="3">
        <v>0.5</v>
      </c>
      <c r="G12" s="3">
        <v>0.5</v>
      </c>
      <c r="H12" s="3">
        <v>0.5</v>
      </c>
      <c r="I12" s="3">
        <v>0.5</v>
      </c>
      <c r="J12" s="3">
        <v>0.5</v>
      </c>
      <c r="K12" s="12">
        <v>0.5</v>
      </c>
      <c r="L12" s="33">
        <v>0.7</v>
      </c>
      <c r="M12" s="3" t="s">
        <v>305</v>
      </c>
      <c r="N12" s="3"/>
      <c r="P12" s="12" t="s">
        <v>228</v>
      </c>
      <c r="Q12" s="12">
        <v>0.2001</v>
      </c>
      <c r="R12" s="12">
        <v>0.2009</v>
      </c>
      <c r="S12" s="12">
        <v>0.2029</v>
      </c>
      <c r="AB12" s="44"/>
    </row>
    <row r="13" spans="1:28" ht="15" thickBot="1">
      <c r="B13" s="3" t="s">
        <v>600</v>
      </c>
      <c r="C13" s="5" t="s">
        <v>227</v>
      </c>
      <c r="D13" s="3">
        <v>1</v>
      </c>
      <c r="E13" s="3">
        <v>1</v>
      </c>
      <c r="F13" s="3">
        <v>1</v>
      </c>
      <c r="G13" s="3">
        <v>1</v>
      </c>
      <c r="H13" s="3">
        <v>1</v>
      </c>
      <c r="I13" s="3">
        <v>1</v>
      </c>
      <c r="J13" s="3">
        <v>1</v>
      </c>
      <c r="K13" s="79">
        <v>1</v>
      </c>
      <c r="L13" s="33">
        <v>0.5</v>
      </c>
      <c r="M13" s="3" t="s">
        <v>305</v>
      </c>
      <c r="N13" s="3"/>
    </row>
    <row r="14" spans="1:28" ht="15" thickBot="1">
      <c r="B14" s="3" t="s">
        <v>618</v>
      </c>
      <c r="C14" s="5" t="s">
        <v>227</v>
      </c>
      <c r="D14" s="3">
        <v>40</v>
      </c>
      <c r="E14" s="3">
        <v>40</v>
      </c>
      <c r="F14" s="3">
        <v>40</v>
      </c>
      <c r="G14" s="3">
        <v>40</v>
      </c>
      <c r="H14" s="3">
        <v>40</v>
      </c>
      <c r="I14" s="3">
        <v>40</v>
      </c>
      <c r="J14" s="3">
        <v>40</v>
      </c>
      <c r="K14" s="3">
        <v>40</v>
      </c>
      <c r="L14" s="33">
        <v>0.25</v>
      </c>
      <c r="M14" s="3" t="s">
        <v>151</v>
      </c>
      <c r="N14" s="3" t="s">
        <v>250</v>
      </c>
      <c r="P14" s="4" t="s">
        <v>234</v>
      </c>
      <c r="Q14" s="12" t="s">
        <v>306</v>
      </c>
    </row>
    <row r="15" spans="1:28" ht="15" thickBot="1">
      <c r="B15" s="1" t="s">
        <v>229</v>
      </c>
      <c r="C15" s="2" t="s">
        <v>216</v>
      </c>
      <c r="D15" s="1"/>
      <c r="E15" s="1"/>
      <c r="F15" s="1"/>
      <c r="G15" s="1"/>
      <c r="H15" s="1"/>
      <c r="I15" s="1"/>
      <c r="J15" s="1"/>
      <c r="K15" s="1"/>
      <c r="L15" s="1"/>
      <c r="M15" s="1"/>
      <c r="N15" s="1"/>
      <c r="P15" s="4"/>
      <c r="Q15" s="12"/>
    </row>
    <row r="16" spans="1:28" ht="15" thickBot="1">
      <c r="B16" s="3" t="s">
        <v>620</v>
      </c>
      <c r="C16" s="3"/>
      <c r="D16" s="13"/>
      <c r="E16" s="13"/>
      <c r="F16" s="13"/>
      <c r="G16" s="13"/>
      <c r="H16" s="13"/>
      <c r="I16" s="13"/>
      <c r="J16" s="13"/>
      <c r="K16" s="13"/>
      <c r="L16" s="33"/>
      <c r="M16" s="3" t="s">
        <v>650</v>
      </c>
      <c r="N16" s="3" t="s">
        <v>651</v>
      </c>
      <c r="P16" s="4" t="s">
        <v>148</v>
      </c>
    </row>
    <row r="17" spans="2:17" ht="15" thickBot="1">
      <c r="B17" s="36" t="s">
        <v>622</v>
      </c>
      <c r="C17" s="3" t="s">
        <v>623</v>
      </c>
      <c r="D17" s="34">
        <v>739</v>
      </c>
      <c r="E17" s="34">
        <v>739</v>
      </c>
      <c r="F17" s="34">
        <v>739</v>
      </c>
      <c r="G17" s="34">
        <v>739</v>
      </c>
      <c r="H17" s="34">
        <v>739</v>
      </c>
      <c r="I17" s="34">
        <v>739</v>
      </c>
      <c r="J17" s="34">
        <v>739</v>
      </c>
      <c r="K17" s="34">
        <v>739</v>
      </c>
      <c r="L17" s="33">
        <v>0.4</v>
      </c>
      <c r="M17" s="3"/>
      <c r="N17" s="3"/>
      <c r="P17" s="12" t="s">
        <v>240</v>
      </c>
      <c r="Q17" s="12" t="s">
        <v>652</v>
      </c>
    </row>
    <row r="18" spans="2:17" ht="15" thickBot="1">
      <c r="B18" s="36" t="s">
        <v>625</v>
      </c>
      <c r="C18" s="3" t="s">
        <v>623</v>
      </c>
      <c r="D18" s="34">
        <v>1045</v>
      </c>
      <c r="E18" s="34">
        <v>1045</v>
      </c>
      <c r="F18" s="34">
        <v>1045</v>
      </c>
      <c r="G18" s="34">
        <v>1045</v>
      </c>
      <c r="H18" s="34">
        <v>1045</v>
      </c>
      <c r="I18" s="34">
        <v>1045</v>
      </c>
      <c r="J18" s="34">
        <v>1045</v>
      </c>
      <c r="K18" s="34">
        <v>1045</v>
      </c>
      <c r="L18" s="33">
        <v>0.4</v>
      </c>
      <c r="M18" s="3"/>
      <c r="N18" s="3"/>
      <c r="P18" s="12" t="s">
        <v>244</v>
      </c>
      <c r="Q18" s="12" t="s">
        <v>653</v>
      </c>
    </row>
    <row r="19" spans="2:17" ht="15" thickBot="1">
      <c r="B19" s="36" t="s">
        <v>654</v>
      </c>
      <c r="C19" s="3" t="s">
        <v>623</v>
      </c>
      <c r="D19" s="34">
        <v>1351</v>
      </c>
      <c r="E19" s="34">
        <v>1351</v>
      </c>
      <c r="F19" s="34">
        <v>1351</v>
      </c>
      <c r="G19" s="34">
        <v>1351</v>
      </c>
      <c r="H19" s="34">
        <v>1351</v>
      </c>
      <c r="I19" s="34">
        <v>1351</v>
      </c>
      <c r="J19" s="34">
        <v>1351</v>
      </c>
      <c r="K19" s="34">
        <v>1351</v>
      </c>
      <c r="L19" s="33">
        <v>0.4</v>
      </c>
      <c r="M19" s="3"/>
      <c r="N19" s="3"/>
      <c r="P19" s="12" t="s">
        <v>224</v>
      </c>
      <c r="Q19" s="12" t="s">
        <v>655</v>
      </c>
    </row>
    <row r="20" spans="2:17" ht="15" thickBot="1">
      <c r="B20" s="3" t="s">
        <v>629</v>
      </c>
      <c r="C20" s="3"/>
      <c r="D20" s="34"/>
      <c r="E20" s="34"/>
      <c r="F20" s="34"/>
      <c r="G20" s="34"/>
      <c r="H20" s="34"/>
      <c r="I20" s="34"/>
      <c r="J20" s="34"/>
      <c r="K20" s="34"/>
      <c r="L20" s="33"/>
      <c r="M20" s="3" t="s">
        <v>656</v>
      </c>
      <c r="N20" s="3" t="s">
        <v>657</v>
      </c>
      <c r="P20" s="12" t="s">
        <v>250</v>
      </c>
      <c r="Q20" s="12" t="s">
        <v>658</v>
      </c>
    </row>
    <row r="21" spans="2:17" ht="15" thickBot="1">
      <c r="B21" s="36" t="s">
        <v>622</v>
      </c>
      <c r="C21" s="3" t="s">
        <v>630</v>
      </c>
      <c r="D21" s="34">
        <v>4815</v>
      </c>
      <c r="E21" s="34">
        <v>5150</v>
      </c>
      <c r="F21" s="34">
        <v>5510</v>
      </c>
      <c r="G21" s="34"/>
      <c r="H21" s="34"/>
      <c r="I21" s="34"/>
      <c r="J21" s="34"/>
      <c r="K21" s="34"/>
      <c r="L21" s="33">
        <v>0.4</v>
      </c>
      <c r="M21" s="3"/>
      <c r="N21" s="3"/>
      <c r="P21" s="12" t="s">
        <v>252</v>
      </c>
      <c r="Q21" s="12" t="s">
        <v>659</v>
      </c>
    </row>
    <row r="22" spans="2:17" ht="15" thickBot="1">
      <c r="B22" s="36" t="s">
        <v>625</v>
      </c>
      <c r="C22" s="3" t="s">
        <v>630</v>
      </c>
      <c r="D22" s="34">
        <v>9356</v>
      </c>
      <c r="E22" s="34">
        <v>9929</v>
      </c>
      <c r="F22" s="34">
        <v>10544</v>
      </c>
      <c r="G22" s="34"/>
      <c r="H22" s="34"/>
      <c r="I22" s="34"/>
      <c r="J22" s="34"/>
      <c r="K22" s="34"/>
      <c r="L22" s="33">
        <v>0.4</v>
      </c>
      <c r="M22" s="3"/>
      <c r="N22" s="3"/>
      <c r="P22" s="12" t="s">
        <v>249</v>
      </c>
      <c r="Q22" s="12" t="s">
        <v>660</v>
      </c>
    </row>
    <row r="23" spans="2:17" ht="15" thickBot="1">
      <c r="B23" s="36" t="s">
        <v>654</v>
      </c>
      <c r="C23" s="3" t="s">
        <v>630</v>
      </c>
      <c r="D23" s="34">
        <v>13897</v>
      </c>
      <c r="E23" s="34">
        <v>14707</v>
      </c>
      <c r="F23" s="34">
        <v>15577</v>
      </c>
      <c r="G23" s="34">
        <v>17221</v>
      </c>
      <c r="H23" s="34"/>
      <c r="I23" s="34"/>
      <c r="J23" s="34"/>
      <c r="K23" s="34"/>
      <c r="L23" s="33">
        <v>0.4</v>
      </c>
      <c r="M23" s="3"/>
      <c r="N23" s="3"/>
      <c r="P23" s="12" t="s">
        <v>243</v>
      </c>
      <c r="Q23" s="12" t="s">
        <v>661</v>
      </c>
    </row>
    <row r="24" spans="2:17" ht="36" customHeight="1" thickBot="1">
      <c r="B24" s="3" t="s">
        <v>604</v>
      </c>
      <c r="C24" s="3"/>
      <c r="D24" s="13"/>
      <c r="E24" s="13"/>
      <c r="F24" s="13"/>
      <c r="G24" s="13"/>
      <c r="H24" s="13"/>
      <c r="I24" s="13"/>
      <c r="J24" s="13"/>
      <c r="K24" s="13"/>
      <c r="L24" s="33"/>
      <c r="M24" s="3" t="s">
        <v>656</v>
      </c>
      <c r="N24" s="3" t="s">
        <v>662</v>
      </c>
      <c r="P24" s="12" t="s">
        <v>376</v>
      </c>
      <c r="Q24" s="12" t="s">
        <v>663</v>
      </c>
    </row>
    <row r="25" spans="2:17" ht="15" thickBot="1">
      <c r="B25" s="36" t="s">
        <v>622</v>
      </c>
      <c r="C25" s="3" t="s">
        <v>605</v>
      </c>
      <c r="D25" s="13"/>
      <c r="E25" s="34">
        <v>692</v>
      </c>
      <c r="F25" s="34">
        <v>733</v>
      </c>
      <c r="G25" s="34">
        <v>811</v>
      </c>
      <c r="H25" s="34">
        <v>1006</v>
      </c>
      <c r="I25" s="34">
        <v>1448</v>
      </c>
      <c r="J25" s="34">
        <v>2459</v>
      </c>
      <c r="K25" s="13"/>
      <c r="L25" s="33">
        <v>0.4</v>
      </c>
      <c r="M25" s="3"/>
      <c r="N25" s="3"/>
      <c r="P25" s="12" t="s">
        <v>381</v>
      </c>
      <c r="Q25" s="12" t="s">
        <v>631</v>
      </c>
    </row>
    <row r="26" spans="2:17" ht="15" thickBot="1">
      <c r="B26" s="36" t="s">
        <v>625</v>
      </c>
      <c r="C26" s="3" t="s">
        <v>605</v>
      </c>
      <c r="D26" s="13"/>
      <c r="E26" s="34">
        <v>878</v>
      </c>
      <c r="F26" s="34">
        <v>931</v>
      </c>
      <c r="G26" s="34">
        <v>1030</v>
      </c>
      <c r="H26" s="34">
        <v>1282</v>
      </c>
      <c r="I26" s="34">
        <v>1850</v>
      </c>
      <c r="J26" s="34">
        <v>3151</v>
      </c>
      <c r="K26" s="13"/>
      <c r="L26" s="33">
        <v>0.4</v>
      </c>
      <c r="M26" s="3"/>
      <c r="N26" s="3"/>
      <c r="P26" s="12" t="s">
        <v>378</v>
      </c>
      <c r="Q26" s="12" t="s">
        <v>664</v>
      </c>
    </row>
    <row r="27" spans="2:17" ht="15" thickBot="1">
      <c r="B27" s="36" t="s">
        <v>654</v>
      </c>
      <c r="C27" s="3" t="s">
        <v>605</v>
      </c>
      <c r="D27" s="13"/>
      <c r="E27" s="34">
        <v>1063</v>
      </c>
      <c r="F27" s="34">
        <v>1129</v>
      </c>
      <c r="G27" s="34">
        <v>1250</v>
      </c>
      <c r="H27" s="34">
        <v>1557</v>
      </c>
      <c r="I27" s="34">
        <v>2251</v>
      </c>
      <c r="J27" s="34">
        <v>3843</v>
      </c>
      <c r="K27" s="13"/>
      <c r="L27" s="33">
        <v>0.4</v>
      </c>
      <c r="M27" s="3"/>
      <c r="N27" s="3"/>
    </row>
    <row r="28" spans="2:17" ht="15" thickBot="1">
      <c r="B28" s="1" t="s">
        <v>246</v>
      </c>
      <c r="C28" s="2" t="s">
        <v>216</v>
      </c>
      <c r="D28" s="1"/>
      <c r="E28" s="1"/>
      <c r="F28" s="1"/>
      <c r="G28" s="1"/>
      <c r="H28" s="1"/>
      <c r="I28" s="1"/>
      <c r="J28" s="1"/>
      <c r="K28" s="1"/>
      <c r="L28" s="1"/>
      <c r="M28" s="1"/>
      <c r="N28" s="1"/>
      <c r="P28" s="4" t="s">
        <v>147</v>
      </c>
    </row>
    <row r="29" spans="2:17" ht="15" thickBot="1">
      <c r="B29" s="3" t="s">
        <v>665</v>
      </c>
      <c r="C29" s="3" t="s">
        <v>666</v>
      </c>
      <c r="D29" s="41">
        <v>277296</v>
      </c>
      <c r="E29" s="41">
        <v>277296</v>
      </c>
      <c r="F29" s="41">
        <v>277296</v>
      </c>
      <c r="G29" s="41">
        <v>277296</v>
      </c>
      <c r="H29" s="41">
        <v>104640</v>
      </c>
      <c r="I29" s="41">
        <v>104640</v>
      </c>
      <c r="J29" s="41">
        <v>104640</v>
      </c>
      <c r="K29" s="41">
        <v>104640</v>
      </c>
      <c r="L29" s="33">
        <v>0.2</v>
      </c>
      <c r="M29" s="3" t="s">
        <v>305</v>
      </c>
      <c r="N29" s="3"/>
      <c r="P29" s="12" t="s">
        <v>151</v>
      </c>
      <c r="Q29" s="12" t="s">
        <v>185</v>
      </c>
    </row>
    <row r="30" spans="2:17" ht="15" thickBot="1">
      <c r="B30" s="3" t="s">
        <v>667</v>
      </c>
      <c r="C30" s="3" t="s">
        <v>666</v>
      </c>
      <c r="D30" s="41">
        <v>251136</v>
      </c>
      <c r="E30" s="41">
        <v>251136</v>
      </c>
      <c r="F30" s="41">
        <v>251136</v>
      </c>
      <c r="G30" s="41">
        <v>251136</v>
      </c>
      <c r="H30" s="41">
        <v>94176</v>
      </c>
      <c r="I30" s="41">
        <v>94176</v>
      </c>
      <c r="J30" s="41">
        <v>94176</v>
      </c>
      <c r="K30" s="41">
        <v>94176</v>
      </c>
      <c r="L30" s="33">
        <v>0.2</v>
      </c>
      <c r="M30" s="3" t="s">
        <v>305</v>
      </c>
      <c r="N30" s="3"/>
      <c r="P30" s="12" t="s">
        <v>184</v>
      </c>
      <c r="Q30" s="12" t="s">
        <v>607</v>
      </c>
    </row>
    <row r="31" spans="2:17" ht="15" thickBot="1">
      <c r="B31" s="36" t="s">
        <v>668</v>
      </c>
      <c r="C31" s="3" t="s">
        <v>223</v>
      </c>
      <c r="D31" s="13">
        <v>85</v>
      </c>
      <c r="E31" s="13">
        <v>85</v>
      </c>
      <c r="F31" s="13">
        <v>85</v>
      </c>
      <c r="G31" s="13">
        <v>85</v>
      </c>
      <c r="H31" s="13">
        <v>85</v>
      </c>
      <c r="I31" s="13">
        <v>85</v>
      </c>
      <c r="J31" s="13">
        <v>85</v>
      </c>
      <c r="K31" s="13">
        <v>85</v>
      </c>
      <c r="L31" s="3"/>
      <c r="M31" s="3" t="s">
        <v>305</v>
      </c>
      <c r="N31" s="3" t="s">
        <v>249</v>
      </c>
      <c r="P31" s="12" t="s">
        <v>186</v>
      </c>
      <c r="Q31" s="12" t="s">
        <v>636</v>
      </c>
    </row>
    <row r="32" spans="2:17" ht="15" thickBot="1">
      <c r="B32" s="36" t="s">
        <v>237</v>
      </c>
      <c r="C32" s="3" t="s">
        <v>223</v>
      </c>
      <c r="D32" s="3">
        <v>15</v>
      </c>
      <c r="E32" s="3">
        <v>15</v>
      </c>
      <c r="F32" s="3">
        <v>15</v>
      </c>
      <c r="G32" s="3">
        <v>15</v>
      </c>
      <c r="H32" s="3">
        <v>15</v>
      </c>
      <c r="I32" s="3">
        <v>15</v>
      </c>
      <c r="J32" s="3">
        <v>15</v>
      </c>
      <c r="K32" s="3">
        <v>15</v>
      </c>
      <c r="L32" s="33"/>
      <c r="M32" s="3" t="s">
        <v>305</v>
      </c>
      <c r="N32" s="3" t="s">
        <v>249</v>
      </c>
      <c r="P32" s="12" t="s">
        <v>188</v>
      </c>
      <c r="Q32" s="12" t="s">
        <v>669</v>
      </c>
    </row>
    <row r="33" spans="2:17" ht="15" thickBot="1">
      <c r="B33" s="36" t="s">
        <v>433</v>
      </c>
      <c r="C33" s="3" t="s">
        <v>458</v>
      </c>
      <c r="D33" s="3">
        <v>1.44</v>
      </c>
      <c r="E33" s="3">
        <v>1.44</v>
      </c>
      <c r="F33" s="3">
        <v>1.44</v>
      </c>
      <c r="G33" s="3">
        <v>1.44</v>
      </c>
      <c r="H33" s="3">
        <v>1.44</v>
      </c>
      <c r="I33" s="3">
        <v>1.44</v>
      </c>
      <c r="J33" s="3">
        <v>1.44</v>
      </c>
      <c r="K33" s="3">
        <v>1.44</v>
      </c>
      <c r="L33" s="33">
        <v>0.3</v>
      </c>
      <c r="M33" s="3" t="s">
        <v>305</v>
      </c>
      <c r="N33" s="3"/>
      <c r="P33" s="12" t="s">
        <v>192</v>
      </c>
      <c r="Q33" s="12" t="s">
        <v>670</v>
      </c>
    </row>
    <row r="34" spans="2:17">
      <c r="P34" s="12" t="s">
        <v>172</v>
      </c>
      <c r="Q34" s="12" t="s">
        <v>671</v>
      </c>
    </row>
    <row r="35" spans="2:17">
      <c r="P35" s="12" t="s">
        <v>179</v>
      </c>
      <c r="Q35" s="12" t="s">
        <v>672</v>
      </c>
    </row>
    <row r="36" spans="2:17">
      <c r="B36" s="4" t="s">
        <v>214</v>
      </c>
      <c r="C36" s="4">
        <v>2030</v>
      </c>
    </row>
    <row r="37" spans="2:17" ht="15" thickBot="1">
      <c r="B37" s="1" t="s">
        <v>215</v>
      </c>
      <c r="C37" s="2" t="s">
        <v>216</v>
      </c>
      <c r="D37" s="1"/>
      <c r="E37" s="1"/>
      <c r="F37" s="1"/>
      <c r="G37" s="1"/>
      <c r="H37" s="1"/>
      <c r="I37" s="1"/>
      <c r="J37" s="1"/>
      <c r="K37" s="1"/>
      <c r="L37" s="1" t="s">
        <v>217</v>
      </c>
      <c r="M37" s="1" t="s">
        <v>147</v>
      </c>
      <c r="N37" s="1" t="s">
        <v>148</v>
      </c>
    </row>
    <row r="38" spans="2:17" ht="15" thickBot="1">
      <c r="B38" s="3" t="s">
        <v>220</v>
      </c>
      <c r="C38" s="30" t="s">
        <v>221</v>
      </c>
      <c r="D38" s="34">
        <v>10</v>
      </c>
      <c r="E38" s="34">
        <v>50</v>
      </c>
      <c r="F38" s="34">
        <v>100</v>
      </c>
      <c r="G38" s="34">
        <v>250</v>
      </c>
      <c r="H38" s="34">
        <v>1000</v>
      </c>
      <c r="I38" s="34">
        <v>5000</v>
      </c>
      <c r="J38" s="34">
        <v>25000</v>
      </c>
      <c r="K38" s="34">
        <v>100000</v>
      </c>
      <c r="L38" s="3"/>
      <c r="M38" s="3"/>
      <c r="N38" s="3"/>
    </row>
    <row r="39" spans="2:17" ht="15" thickBot="1">
      <c r="B39" s="3" t="s">
        <v>643</v>
      </c>
      <c r="C39" s="5" t="s">
        <v>223</v>
      </c>
      <c r="D39" s="3"/>
      <c r="E39" s="3"/>
      <c r="F39" s="3"/>
      <c r="G39" s="3"/>
      <c r="H39" s="3"/>
      <c r="I39" s="3"/>
      <c r="J39" s="3"/>
      <c r="K39" s="3"/>
      <c r="L39" s="33"/>
      <c r="M39" s="3"/>
      <c r="N39" s="3"/>
    </row>
    <row r="40" spans="2:17" ht="15" thickBot="1">
      <c r="B40" s="36" t="s">
        <v>645</v>
      </c>
      <c r="C40" s="5" t="s">
        <v>223</v>
      </c>
      <c r="D40" s="37">
        <v>12.3</v>
      </c>
      <c r="E40" s="37">
        <v>12.3</v>
      </c>
      <c r="F40" s="37">
        <v>12.3</v>
      </c>
      <c r="G40" s="37">
        <v>12.3</v>
      </c>
      <c r="H40" s="37">
        <v>12.3</v>
      </c>
      <c r="I40" s="37">
        <v>12.3</v>
      </c>
      <c r="J40" s="37">
        <v>12.3</v>
      </c>
      <c r="K40" s="37">
        <v>12.3</v>
      </c>
      <c r="L40" s="33">
        <v>0.45</v>
      </c>
      <c r="M40" s="3" t="s">
        <v>522</v>
      </c>
      <c r="N40" s="3" t="s">
        <v>444</v>
      </c>
      <c r="P40" s="12"/>
    </row>
    <row r="41" spans="2:17" ht="15" thickBot="1">
      <c r="B41" s="36" t="s">
        <v>625</v>
      </c>
      <c r="C41" s="5" t="s">
        <v>223</v>
      </c>
      <c r="D41" s="37">
        <v>11.3</v>
      </c>
      <c r="E41" s="37">
        <v>11.3</v>
      </c>
      <c r="F41" s="37">
        <v>11.3</v>
      </c>
      <c r="G41" s="37">
        <v>11.3</v>
      </c>
      <c r="H41" s="37">
        <v>11.3</v>
      </c>
      <c r="I41" s="37">
        <v>11.3</v>
      </c>
      <c r="J41" s="37">
        <v>11.3</v>
      </c>
      <c r="K41" s="37">
        <v>11.3</v>
      </c>
      <c r="L41" s="33"/>
      <c r="M41" s="3"/>
      <c r="N41" s="3"/>
    </row>
    <row r="42" spans="2:17" ht="15" thickBot="1">
      <c r="B42" s="36" t="s">
        <v>646</v>
      </c>
      <c r="C42" s="5" t="s">
        <v>223</v>
      </c>
      <c r="D42" s="3">
        <v>10</v>
      </c>
      <c r="E42" s="3">
        <v>10</v>
      </c>
      <c r="F42" s="3">
        <v>10</v>
      </c>
      <c r="G42" s="3">
        <v>10</v>
      </c>
      <c r="H42" s="3">
        <v>10</v>
      </c>
      <c r="I42" s="3">
        <v>10</v>
      </c>
      <c r="J42" s="3">
        <v>10</v>
      </c>
      <c r="K42" s="3">
        <v>10</v>
      </c>
      <c r="L42" s="33"/>
      <c r="M42" s="3"/>
      <c r="N42" s="3"/>
      <c r="P42" s="4"/>
      <c r="Q42" s="12"/>
    </row>
    <row r="43" spans="2:17" ht="15" thickBot="1">
      <c r="B43" s="3" t="s">
        <v>648</v>
      </c>
      <c r="C43" s="5" t="s">
        <v>223</v>
      </c>
      <c r="D43" s="3">
        <v>4.5</v>
      </c>
      <c r="E43" s="3">
        <v>4.5</v>
      </c>
      <c r="F43" s="3">
        <v>4.5</v>
      </c>
      <c r="G43" s="3">
        <v>4.5</v>
      </c>
      <c r="H43" s="3">
        <v>4.5</v>
      </c>
      <c r="I43" s="3">
        <v>4.5</v>
      </c>
      <c r="J43" s="3">
        <v>4.5</v>
      </c>
      <c r="K43" s="3">
        <v>4.5</v>
      </c>
      <c r="L43" s="33">
        <v>0.55000000000000004</v>
      </c>
      <c r="M43" s="3" t="s">
        <v>305</v>
      </c>
      <c r="N43" s="3" t="s">
        <v>224</v>
      </c>
      <c r="P43" s="12"/>
    </row>
    <row r="44" spans="2:17" ht="15" thickBot="1">
      <c r="B44" s="3" t="s">
        <v>649</v>
      </c>
      <c r="C44" s="5" t="s">
        <v>223</v>
      </c>
      <c r="D44" s="3">
        <v>0.5</v>
      </c>
      <c r="E44" s="3">
        <v>0.5</v>
      </c>
      <c r="F44" s="3">
        <v>0.5</v>
      </c>
      <c r="G44" s="3">
        <v>0.5</v>
      </c>
      <c r="H44" s="3">
        <v>0.5</v>
      </c>
      <c r="I44" s="3">
        <v>0.5</v>
      </c>
      <c r="J44" s="3">
        <v>0.5</v>
      </c>
      <c r="K44" s="3">
        <v>0.5</v>
      </c>
      <c r="L44" s="33">
        <v>0.7</v>
      </c>
      <c r="M44" s="3" t="s">
        <v>305</v>
      </c>
      <c r="N44" s="3"/>
      <c r="P44" s="12"/>
    </row>
    <row r="45" spans="2:17" ht="15" thickBot="1">
      <c r="B45" s="3" t="s">
        <v>600</v>
      </c>
      <c r="C45" s="5" t="s">
        <v>227</v>
      </c>
      <c r="D45" s="3">
        <v>1</v>
      </c>
      <c r="E45" s="3">
        <v>1</v>
      </c>
      <c r="F45" s="3">
        <v>1</v>
      </c>
      <c r="G45" s="3">
        <v>1</v>
      </c>
      <c r="H45" s="3">
        <v>1</v>
      </c>
      <c r="I45" s="3">
        <v>1</v>
      </c>
      <c r="J45" s="3">
        <v>1</v>
      </c>
      <c r="K45" s="3">
        <v>1</v>
      </c>
      <c r="L45" s="33">
        <v>0.5</v>
      </c>
      <c r="M45" s="3" t="s">
        <v>305</v>
      </c>
      <c r="N45" s="3"/>
    </row>
    <row r="46" spans="2:17" ht="15" thickBot="1">
      <c r="B46" s="3" t="s">
        <v>618</v>
      </c>
      <c r="C46" s="5" t="s">
        <v>227</v>
      </c>
      <c r="D46" s="3">
        <v>40</v>
      </c>
      <c r="E46" s="3">
        <v>40</v>
      </c>
      <c r="F46" s="3">
        <v>40</v>
      </c>
      <c r="G46" s="3">
        <v>40</v>
      </c>
      <c r="H46" s="3">
        <v>40</v>
      </c>
      <c r="I46" s="3">
        <v>40</v>
      </c>
      <c r="J46" s="3">
        <v>40</v>
      </c>
      <c r="K46" s="3">
        <v>40</v>
      </c>
      <c r="L46" s="33">
        <v>0.25</v>
      </c>
      <c r="M46" s="3" t="s">
        <v>151</v>
      </c>
      <c r="N46" s="3" t="s">
        <v>250</v>
      </c>
    </row>
    <row r="47" spans="2:17" ht="15" thickBot="1">
      <c r="B47" s="1" t="s">
        <v>229</v>
      </c>
      <c r="C47" s="2" t="s">
        <v>216</v>
      </c>
      <c r="D47" s="1"/>
      <c r="E47" s="1"/>
      <c r="F47" s="1"/>
      <c r="G47" s="1"/>
      <c r="H47" s="1"/>
      <c r="I47" s="1"/>
      <c r="J47" s="1"/>
      <c r="K47" s="1"/>
      <c r="L47" s="1"/>
      <c r="M47" s="1"/>
      <c r="N47" s="1"/>
    </row>
    <row r="48" spans="2:17" ht="15" thickBot="1">
      <c r="B48" s="3" t="s">
        <v>620</v>
      </c>
      <c r="C48" s="3"/>
      <c r="D48" s="13"/>
      <c r="E48" s="13"/>
      <c r="F48" s="13"/>
      <c r="G48" s="13"/>
      <c r="H48" s="13"/>
      <c r="I48" s="13"/>
      <c r="J48" s="13"/>
      <c r="K48" s="13"/>
      <c r="L48" s="33"/>
      <c r="M48" s="3" t="s">
        <v>650</v>
      </c>
      <c r="N48" s="3" t="s">
        <v>651</v>
      </c>
    </row>
    <row r="49" spans="2:14" ht="15" thickBot="1">
      <c r="B49" s="36" t="s">
        <v>645</v>
      </c>
      <c r="C49" s="3" t="s">
        <v>623</v>
      </c>
      <c r="D49" s="34">
        <v>739</v>
      </c>
      <c r="E49" s="34">
        <v>739</v>
      </c>
      <c r="F49" s="34">
        <v>739</v>
      </c>
      <c r="G49" s="34">
        <v>739</v>
      </c>
      <c r="H49" s="34">
        <v>739</v>
      </c>
      <c r="I49" s="34">
        <v>739</v>
      </c>
      <c r="J49" s="34">
        <v>739</v>
      </c>
      <c r="K49" s="34">
        <v>739</v>
      </c>
      <c r="L49" s="33">
        <v>0.5</v>
      </c>
      <c r="M49" s="3"/>
      <c r="N49" s="3"/>
    </row>
    <row r="50" spans="2:14" ht="15" thickBot="1">
      <c r="B50" s="36" t="s">
        <v>625</v>
      </c>
      <c r="C50" s="3" t="s">
        <v>623</v>
      </c>
      <c r="D50" s="34">
        <v>1045</v>
      </c>
      <c r="E50" s="34">
        <v>1045</v>
      </c>
      <c r="F50" s="34">
        <v>1045</v>
      </c>
      <c r="G50" s="34">
        <v>1045</v>
      </c>
      <c r="H50" s="34">
        <v>1045</v>
      </c>
      <c r="I50" s="34">
        <v>1045</v>
      </c>
      <c r="J50" s="34">
        <v>1045</v>
      </c>
      <c r="K50" s="34">
        <v>1045</v>
      </c>
      <c r="L50" s="33">
        <v>0.5</v>
      </c>
      <c r="M50" s="3"/>
      <c r="N50" s="3"/>
    </row>
    <row r="51" spans="2:14" ht="15" thickBot="1">
      <c r="B51" s="36" t="s">
        <v>646</v>
      </c>
      <c r="C51" s="3" t="s">
        <v>623</v>
      </c>
      <c r="D51" s="34">
        <v>1351</v>
      </c>
      <c r="E51" s="34">
        <v>1351</v>
      </c>
      <c r="F51" s="34">
        <v>1351</v>
      </c>
      <c r="G51" s="34">
        <v>1351</v>
      </c>
      <c r="H51" s="34">
        <v>1351</v>
      </c>
      <c r="I51" s="34">
        <v>1351</v>
      </c>
      <c r="J51" s="34">
        <v>1351</v>
      </c>
      <c r="K51" s="34">
        <v>1351</v>
      </c>
      <c r="L51" s="33">
        <v>0.5</v>
      </c>
      <c r="M51" s="3"/>
      <c r="N51" s="3"/>
    </row>
    <row r="52" spans="2:14" ht="15" thickBot="1">
      <c r="B52" s="3" t="s">
        <v>629</v>
      </c>
      <c r="C52" s="3"/>
      <c r="D52" s="34"/>
      <c r="E52" s="34"/>
      <c r="F52" s="34"/>
      <c r="G52" s="34"/>
      <c r="H52" s="34"/>
      <c r="I52" s="34"/>
      <c r="J52" s="34"/>
      <c r="K52" s="34"/>
      <c r="L52" s="33"/>
      <c r="M52" s="3" t="s">
        <v>656</v>
      </c>
      <c r="N52" s="3" t="s">
        <v>657</v>
      </c>
    </row>
    <row r="53" spans="2:14" ht="15" thickBot="1">
      <c r="B53" s="36" t="s">
        <v>645</v>
      </c>
      <c r="C53" s="3" t="s">
        <v>630</v>
      </c>
      <c r="D53" s="34">
        <v>4815</v>
      </c>
      <c r="E53" s="34">
        <v>5150</v>
      </c>
      <c r="F53" s="34">
        <v>5510</v>
      </c>
      <c r="G53" s="34"/>
      <c r="H53" s="34"/>
      <c r="I53" s="34"/>
      <c r="J53" s="34"/>
      <c r="K53" s="34"/>
      <c r="L53" s="33">
        <v>0.5</v>
      </c>
      <c r="M53" s="3"/>
      <c r="N53" s="3"/>
    </row>
    <row r="54" spans="2:14" ht="15" thickBot="1">
      <c r="B54" s="36" t="s">
        <v>625</v>
      </c>
      <c r="C54" s="3" t="s">
        <v>630</v>
      </c>
      <c r="D54" s="34">
        <v>9356</v>
      </c>
      <c r="E54" s="34">
        <v>9929</v>
      </c>
      <c r="F54" s="34">
        <v>10544</v>
      </c>
      <c r="G54" s="34"/>
      <c r="H54" s="34"/>
      <c r="I54" s="34"/>
      <c r="J54" s="34"/>
      <c r="K54" s="34"/>
      <c r="L54" s="33">
        <v>0.5</v>
      </c>
      <c r="M54" s="3"/>
      <c r="N54" s="3"/>
    </row>
    <row r="55" spans="2:14" ht="15" thickBot="1">
      <c r="B55" s="36" t="s">
        <v>646</v>
      </c>
      <c r="C55" s="3" t="s">
        <v>630</v>
      </c>
      <c r="D55" s="34">
        <v>13897</v>
      </c>
      <c r="E55" s="34">
        <v>14707</v>
      </c>
      <c r="F55" s="34">
        <v>15577</v>
      </c>
      <c r="G55" s="34">
        <v>17221</v>
      </c>
      <c r="H55" s="34"/>
      <c r="I55" s="34"/>
      <c r="J55" s="34"/>
      <c r="K55" s="34"/>
      <c r="L55" s="33">
        <v>0.5</v>
      </c>
      <c r="M55" s="3"/>
      <c r="N55" s="3"/>
    </row>
    <row r="56" spans="2:14" ht="15" thickBot="1">
      <c r="B56" s="3" t="s">
        <v>604</v>
      </c>
      <c r="C56" s="3"/>
      <c r="D56" s="34"/>
      <c r="E56" s="34"/>
      <c r="F56" s="34"/>
      <c r="G56" s="34"/>
      <c r="H56" s="34"/>
      <c r="I56" s="34"/>
      <c r="J56" s="34"/>
      <c r="K56" s="34"/>
      <c r="L56" s="33"/>
      <c r="M56" s="3" t="s">
        <v>656</v>
      </c>
      <c r="N56" s="3" t="s">
        <v>662</v>
      </c>
    </row>
    <row r="57" spans="2:14" ht="15" thickBot="1">
      <c r="B57" s="36" t="s">
        <v>622</v>
      </c>
      <c r="C57" s="3" t="s">
        <v>605</v>
      </c>
      <c r="D57" s="34"/>
      <c r="E57" s="34">
        <v>692</v>
      </c>
      <c r="F57" s="34">
        <v>733</v>
      </c>
      <c r="G57" s="34">
        <v>811</v>
      </c>
      <c r="H57" s="34">
        <v>1006</v>
      </c>
      <c r="I57" s="34">
        <v>1448</v>
      </c>
      <c r="J57" s="34">
        <v>2459</v>
      </c>
      <c r="K57" s="34"/>
      <c r="L57" s="33">
        <v>0.5</v>
      </c>
      <c r="M57" s="3"/>
      <c r="N57" s="3"/>
    </row>
    <row r="58" spans="2:14" ht="15" thickBot="1">
      <c r="B58" s="36" t="s">
        <v>625</v>
      </c>
      <c r="C58" s="3" t="s">
        <v>605</v>
      </c>
      <c r="D58" s="34"/>
      <c r="E58" s="34">
        <v>878</v>
      </c>
      <c r="F58" s="34">
        <v>931</v>
      </c>
      <c r="G58" s="34">
        <v>1030</v>
      </c>
      <c r="H58" s="34">
        <v>1282</v>
      </c>
      <c r="I58" s="34">
        <v>1850</v>
      </c>
      <c r="J58" s="34">
        <v>3151</v>
      </c>
      <c r="K58" s="34"/>
      <c r="L58" s="33">
        <v>0.5</v>
      </c>
      <c r="M58" s="3"/>
      <c r="N58" s="3"/>
    </row>
    <row r="59" spans="2:14" ht="15" thickBot="1">
      <c r="B59" s="36" t="s">
        <v>654</v>
      </c>
      <c r="C59" s="3" t="s">
        <v>605</v>
      </c>
      <c r="D59" s="34"/>
      <c r="E59" s="34">
        <v>1063</v>
      </c>
      <c r="F59" s="34">
        <v>1129</v>
      </c>
      <c r="G59" s="34">
        <v>1250</v>
      </c>
      <c r="H59" s="34">
        <v>1557</v>
      </c>
      <c r="I59" s="34">
        <v>2251</v>
      </c>
      <c r="J59" s="34">
        <v>3843</v>
      </c>
      <c r="K59" s="34"/>
      <c r="L59" s="33">
        <v>0.5</v>
      </c>
      <c r="M59" s="3"/>
      <c r="N59" s="3"/>
    </row>
    <row r="60" spans="2:14" ht="15" thickBot="1">
      <c r="B60" s="1" t="s">
        <v>246</v>
      </c>
      <c r="C60" s="2" t="s">
        <v>216</v>
      </c>
      <c r="D60" s="1"/>
      <c r="E60" s="1"/>
      <c r="F60" s="1"/>
      <c r="G60" s="1"/>
      <c r="H60" s="1"/>
      <c r="I60" s="1"/>
      <c r="J60" s="1"/>
      <c r="K60" s="1"/>
      <c r="L60" s="1"/>
      <c r="M60" s="1"/>
      <c r="N60" s="1"/>
    </row>
    <row r="61" spans="2:14" ht="15" thickBot="1">
      <c r="B61" s="3" t="s">
        <v>665</v>
      </c>
      <c r="C61" s="3" t="s">
        <v>666</v>
      </c>
      <c r="D61" s="41">
        <v>277296</v>
      </c>
      <c r="E61" s="41">
        <v>277296</v>
      </c>
      <c r="F61" s="41">
        <v>277296</v>
      </c>
      <c r="G61" s="41">
        <v>277296</v>
      </c>
      <c r="H61" s="41">
        <v>104640</v>
      </c>
      <c r="I61" s="41">
        <v>104640</v>
      </c>
      <c r="J61" s="41">
        <v>104640</v>
      </c>
      <c r="K61" s="41">
        <v>104640</v>
      </c>
      <c r="L61" s="33">
        <v>0.25</v>
      </c>
      <c r="M61" s="3" t="s">
        <v>305</v>
      </c>
      <c r="N61" s="3"/>
    </row>
    <row r="62" spans="2:14" ht="15" thickBot="1">
      <c r="B62" s="3" t="s">
        <v>667</v>
      </c>
      <c r="C62" s="3" t="s">
        <v>666</v>
      </c>
      <c r="D62" s="41">
        <v>251136</v>
      </c>
      <c r="E62" s="41">
        <v>251136</v>
      </c>
      <c r="F62" s="41">
        <v>251136</v>
      </c>
      <c r="G62" s="41">
        <v>251136</v>
      </c>
      <c r="H62" s="41">
        <v>94176</v>
      </c>
      <c r="I62" s="41">
        <v>94176</v>
      </c>
      <c r="J62" s="41">
        <v>94176</v>
      </c>
      <c r="K62" s="41">
        <v>94176</v>
      </c>
      <c r="L62" s="33">
        <v>0.25</v>
      </c>
      <c r="M62" s="3" t="s">
        <v>305</v>
      </c>
      <c r="N62" s="3"/>
    </row>
    <row r="63" spans="2:14" ht="15" thickBot="1">
      <c r="B63" s="36" t="s">
        <v>668</v>
      </c>
      <c r="C63" s="3" t="s">
        <v>223</v>
      </c>
      <c r="D63" s="13">
        <v>85</v>
      </c>
      <c r="E63" s="13">
        <v>85</v>
      </c>
      <c r="F63" s="13">
        <v>85</v>
      </c>
      <c r="G63" s="13">
        <v>85</v>
      </c>
      <c r="H63" s="13">
        <v>85</v>
      </c>
      <c r="I63" s="13">
        <v>85</v>
      </c>
      <c r="J63" s="13">
        <v>85</v>
      </c>
      <c r="K63" s="13">
        <v>85</v>
      </c>
      <c r="L63" s="3"/>
      <c r="M63" s="3" t="s">
        <v>305</v>
      </c>
      <c r="N63" s="3" t="s">
        <v>249</v>
      </c>
    </row>
    <row r="64" spans="2:14" ht="15" thickBot="1">
      <c r="B64" s="36" t="s">
        <v>237</v>
      </c>
      <c r="C64" s="3" t="s">
        <v>223</v>
      </c>
      <c r="D64" s="3">
        <v>15</v>
      </c>
      <c r="E64" s="3">
        <v>15</v>
      </c>
      <c r="F64" s="3">
        <v>15</v>
      </c>
      <c r="G64" s="3">
        <v>15</v>
      </c>
      <c r="H64" s="3">
        <v>15</v>
      </c>
      <c r="I64" s="3">
        <v>15</v>
      </c>
      <c r="J64" s="3">
        <v>15</v>
      </c>
      <c r="K64" s="3">
        <v>15</v>
      </c>
      <c r="L64" s="33"/>
      <c r="M64" s="3" t="s">
        <v>305</v>
      </c>
      <c r="N64" s="3" t="s">
        <v>249</v>
      </c>
    </row>
    <row r="65" spans="2:14" ht="15" thickBot="1">
      <c r="B65" s="36" t="s">
        <v>433</v>
      </c>
      <c r="C65" s="3" t="s">
        <v>458</v>
      </c>
      <c r="D65" s="3">
        <v>1.44</v>
      </c>
      <c r="E65" s="3">
        <v>1.44</v>
      </c>
      <c r="F65" s="3">
        <v>1.44</v>
      </c>
      <c r="G65" s="3">
        <v>1.44</v>
      </c>
      <c r="H65" s="3">
        <v>1.44</v>
      </c>
      <c r="I65" s="3">
        <v>1.44</v>
      </c>
      <c r="J65" s="3">
        <v>1.44</v>
      </c>
      <c r="K65" s="3">
        <v>1.44</v>
      </c>
      <c r="L65" s="33">
        <v>0.3</v>
      </c>
      <c r="M65" s="3" t="s">
        <v>305</v>
      </c>
      <c r="N65" s="3"/>
    </row>
    <row r="68" spans="2:14">
      <c r="B68" s="4" t="s">
        <v>214</v>
      </c>
      <c r="C68" s="4">
        <v>2040</v>
      </c>
    </row>
    <row r="69" spans="2:14" ht="15" thickBot="1">
      <c r="B69" s="1" t="s">
        <v>215</v>
      </c>
      <c r="C69" s="2" t="s">
        <v>216</v>
      </c>
      <c r="D69" s="1"/>
      <c r="E69" s="1"/>
      <c r="F69" s="1"/>
      <c r="G69" s="1"/>
      <c r="H69" s="1"/>
      <c r="I69" s="1"/>
      <c r="J69" s="1"/>
      <c r="K69" s="1"/>
      <c r="L69" s="1" t="s">
        <v>217</v>
      </c>
      <c r="M69" s="1" t="s">
        <v>147</v>
      </c>
      <c r="N69" s="1" t="s">
        <v>148</v>
      </c>
    </row>
    <row r="70" spans="2:14" ht="15" thickBot="1">
      <c r="B70" s="3" t="s">
        <v>220</v>
      </c>
      <c r="C70" s="30" t="s">
        <v>221</v>
      </c>
      <c r="D70" s="34">
        <v>10</v>
      </c>
      <c r="E70" s="34">
        <v>50</v>
      </c>
      <c r="F70" s="34">
        <v>100</v>
      </c>
      <c r="G70" s="34">
        <v>250</v>
      </c>
      <c r="H70" s="34">
        <v>1000</v>
      </c>
      <c r="I70" s="34">
        <v>5000</v>
      </c>
      <c r="J70" s="34">
        <v>25000</v>
      </c>
      <c r="K70" s="34">
        <v>100000</v>
      </c>
      <c r="L70" s="3"/>
      <c r="M70" s="3"/>
      <c r="N70" s="3"/>
    </row>
    <row r="71" spans="2:14" ht="15" thickBot="1">
      <c r="B71" s="3" t="s">
        <v>643</v>
      </c>
      <c r="C71" s="5" t="s">
        <v>223</v>
      </c>
      <c r="D71" s="3"/>
      <c r="E71" s="3"/>
      <c r="F71" s="3"/>
      <c r="G71" s="3"/>
      <c r="H71" s="3"/>
      <c r="I71" s="3"/>
      <c r="J71" s="3"/>
      <c r="K71" s="3"/>
      <c r="L71" s="33"/>
      <c r="M71" s="3"/>
      <c r="N71" s="3"/>
    </row>
    <row r="72" spans="2:14" ht="15" thickBot="1">
      <c r="B72" s="36" t="s">
        <v>645</v>
      </c>
      <c r="C72" s="5" t="s">
        <v>223</v>
      </c>
      <c r="D72" s="37">
        <v>12.3</v>
      </c>
      <c r="E72" s="37">
        <v>12.3</v>
      </c>
      <c r="F72" s="37">
        <v>12.3</v>
      </c>
      <c r="G72" s="37">
        <v>12.3</v>
      </c>
      <c r="H72" s="37">
        <v>12.3</v>
      </c>
      <c r="I72" s="37">
        <v>12.3</v>
      </c>
      <c r="J72" s="37">
        <v>12.3</v>
      </c>
      <c r="K72" s="37">
        <v>12.3</v>
      </c>
      <c r="L72" s="33">
        <v>0.45</v>
      </c>
      <c r="M72" s="3" t="s">
        <v>522</v>
      </c>
      <c r="N72" s="3" t="s">
        <v>444</v>
      </c>
    </row>
    <row r="73" spans="2:14" ht="15" thickBot="1">
      <c r="B73" s="36" t="s">
        <v>625</v>
      </c>
      <c r="C73" s="5" t="s">
        <v>223</v>
      </c>
      <c r="D73" s="37">
        <v>11.3</v>
      </c>
      <c r="E73" s="37">
        <v>11.3</v>
      </c>
      <c r="F73" s="37">
        <v>11.3</v>
      </c>
      <c r="G73" s="37">
        <v>11.3</v>
      </c>
      <c r="H73" s="37">
        <v>11.3</v>
      </c>
      <c r="I73" s="37">
        <v>11.3</v>
      </c>
      <c r="J73" s="37">
        <v>11.3</v>
      </c>
      <c r="K73" s="37">
        <v>11.3</v>
      </c>
      <c r="L73" s="33"/>
      <c r="M73" s="3"/>
      <c r="N73" s="3"/>
    </row>
    <row r="74" spans="2:14" ht="15" thickBot="1">
      <c r="B74" s="36" t="s">
        <v>646</v>
      </c>
      <c r="C74" s="5" t="s">
        <v>223</v>
      </c>
      <c r="D74" s="3">
        <v>10</v>
      </c>
      <c r="E74" s="3">
        <v>10</v>
      </c>
      <c r="F74" s="3">
        <v>10</v>
      </c>
      <c r="G74" s="3">
        <v>10</v>
      </c>
      <c r="H74" s="3">
        <v>10</v>
      </c>
      <c r="I74" s="3">
        <v>10</v>
      </c>
      <c r="J74" s="3">
        <v>10</v>
      </c>
      <c r="K74" s="3">
        <v>10</v>
      </c>
      <c r="L74" s="33"/>
      <c r="M74" s="3"/>
      <c r="N74" s="3"/>
    </row>
    <row r="75" spans="2:14" ht="15" thickBot="1">
      <c r="B75" s="3" t="s">
        <v>648</v>
      </c>
      <c r="C75" s="5" t="s">
        <v>223</v>
      </c>
      <c r="D75" s="3">
        <v>4.5</v>
      </c>
      <c r="E75" s="3">
        <v>4.5</v>
      </c>
      <c r="F75" s="3">
        <v>4.5</v>
      </c>
      <c r="G75" s="3">
        <v>4.5</v>
      </c>
      <c r="H75" s="3">
        <v>4.5</v>
      </c>
      <c r="I75" s="3">
        <v>4.5</v>
      </c>
      <c r="J75" s="3">
        <v>4.5</v>
      </c>
      <c r="K75" s="3">
        <v>4.5</v>
      </c>
      <c r="L75" s="33">
        <v>0.55000000000000004</v>
      </c>
      <c r="M75" s="3" t="s">
        <v>305</v>
      </c>
      <c r="N75" s="3" t="s">
        <v>224</v>
      </c>
    </row>
    <row r="76" spans="2:14" ht="15" thickBot="1">
      <c r="B76" s="3" t="s">
        <v>649</v>
      </c>
      <c r="C76" s="5" t="s">
        <v>223</v>
      </c>
      <c r="D76" s="3">
        <v>0.5</v>
      </c>
      <c r="E76" s="3">
        <v>0.5</v>
      </c>
      <c r="F76" s="3">
        <v>0.5</v>
      </c>
      <c r="G76" s="3">
        <v>0.5</v>
      </c>
      <c r="H76" s="3">
        <v>0.5</v>
      </c>
      <c r="I76" s="3">
        <v>0.5</v>
      </c>
      <c r="J76" s="3">
        <v>0.5</v>
      </c>
      <c r="K76" s="3">
        <v>0.5</v>
      </c>
      <c r="L76" s="33">
        <v>0.7</v>
      </c>
      <c r="M76" s="3" t="s">
        <v>305</v>
      </c>
      <c r="N76" s="3"/>
    </row>
    <row r="77" spans="2:14" ht="15" thickBot="1">
      <c r="B77" s="3" t="s">
        <v>600</v>
      </c>
      <c r="C77" s="5" t="s">
        <v>227</v>
      </c>
      <c r="D77" s="3">
        <v>1</v>
      </c>
      <c r="E77" s="3">
        <v>1</v>
      </c>
      <c r="F77" s="3">
        <v>1</v>
      </c>
      <c r="G77" s="3">
        <v>1</v>
      </c>
      <c r="H77" s="3">
        <v>1</v>
      </c>
      <c r="I77" s="3">
        <v>1</v>
      </c>
      <c r="J77" s="3">
        <v>1</v>
      </c>
      <c r="K77" s="3">
        <v>1</v>
      </c>
      <c r="L77" s="33">
        <v>0.5</v>
      </c>
      <c r="M77" s="3" t="s">
        <v>305</v>
      </c>
      <c r="N77" s="3"/>
    </row>
    <row r="78" spans="2:14" ht="15" thickBot="1">
      <c r="B78" s="3" t="s">
        <v>618</v>
      </c>
      <c r="C78" s="5" t="s">
        <v>227</v>
      </c>
      <c r="D78" s="3">
        <v>40</v>
      </c>
      <c r="E78" s="3">
        <v>40</v>
      </c>
      <c r="F78" s="3">
        <v>40</v>
      </c>
      <c r="G78" s="3">
        <v>40</v>
      </c>
      <c r="H78" s="3">
        <v>40</v>
      </c>
      <c r="I78" s="3">
        <v>40</v>
      </c>
      <c r="J78" s="3">
        <v>40</v>
      </c>
      <c r="K78" s="3">
        <v>40</v>
      </c>
      <c r="L78" s="33">
        <v>0.25</v>
      </c>
      <c r="M78" s="3" t="s">
        <v>151</v>
      </c>
      <c r="N78" s="3" t="s">
        <v>250</v>
      </c>
    </row>
    <row r="79" spans="2:14" ht="15" thickBot="1">
      <c r="B79" s="1" t="s">
        <v>229</v>
      </c>
      <c r="C79" s="2" t="s">
        <v>216</v>
      </c>
      <c r="D79" s="1"/>
      <c r="E79" s="1"/>
      <c r="F79" s="1"/>
      <c r="G79" s="1"/>
      <c r="H79" s="1"/>
      <c r="I79" s="1"/>
      <c r="J79" s="1"/>
      <c r="K79" s="1"/>
      <c r="L79" s="1"/>
      <c r="M79" s="1"/>
      <c r="N79" s="1"/>
    </row>
    <row r="80" spans="2:14" ht="15" thickBot="1">
      <c r="B80" s="3" t="s">
        <v>620</v>
      </c>
      <c r="C80" s="3"/>
      <c r="D80" s="13"/>
      <c r="E80" s="13"/>
      <c r="F80" s="13"/>
      <c r="G80" s="13"/>
      <c r="H80" s="13"/>
      <c r="I80" s="13"/>
      <c r="J80" s="13"/>
      <c r="K80" s="13"/>
      <c r="L80" s="33"/>
      <c r="M80" s="3" t="s">
        <v>650</v>
      </c>
      <c r="N80" s="3" t="s">
        <v>651</v>
      </c>
    </row>
    <row r="81" spans="2:14" ht="15" thickBot="1">
      <c r="B81" s="36" t="s">
        <v>645</v>
      </c>
      <c r="C81" s="3" t="s">
        <v>623</v>
      </c>
      <c r="D81" s="34">
        <v>739</v>
      </c>
      <c r="E81" s="34">
        <v>739</v>
      </c>
      <c r="F81" s="34">
        <v>739</v>
      </c>
      <c r="G81" s="34">
        <v>739</v>
      </c>
      <c r="H81" s="34">
        <v>739</v>
      </c>
      <c r="I81" s="34">
        <v>739</v>
      </c>
      <c r="J81" s="34">
        <v>739</v>
      </c>
      <c r="K81" s="34">
        <v>739</v>
      </c>
      <c r="L81" s="33">
        <v>0.5</v>
      </c>
      <c r="M81" s="3"/>
      <c r="N81" s="3"/>
    </row>
    <row r="82" spans="2:14" ht="15" thickBot="1">
      <c r="B82" s="36" t="s">
        <v>625</v>
      </c>
      <c r="C82" s="3" t="s">
        <v>623</v>
      </c>
      <c r="D82" s="34">
        <v>1045</v>
      </c>
      <c r="E82" s="34">
        <v>1045</v>
      </c>
      <c r="F82" s="34">
        <v>1045</v>
      </c>
      <c r="G82" s="34">
        <v>1045</v>
      </c>
      <c r="H82" s="34">
        <v>1045</v>
      </c>
      <c r="I82" s="34">
        <v>1045</v>
      </c>
      <c r="J82" s="34">
        <v>1045</v>
      </c>
      <c r="K82" s="34">
        <v>1045</v>
      </c>
      <c r="L82" s="33">
        <v>0.5</v>
      </c>
      <c r="M82" s="3"/>
      <c r="N82" s="3"/>
    </row>
    <row r="83" spans="2:14" ht="15" thickBot="1">
      <c r="B83" s="36" t="s">
        <v>646</v>
      </c>
      <c r="C83" s="3" t="s">
        <v>623</v>
      </c>
      <c r="D83" s="34">
        <v>1351</v>
      </c>
      <c r="E83" s="34">
        <v>1351</v>
      </c>
      <c r="F83" s="34">
        <v>1351</v>
      </c>
      <c r="G83" s="34">
        <v>1351</v>
      </c>
      <c r="H83" s="34">
        <v>1351</v>
      </c>
      <c r="I83" s="34">
        <v>1351</v>
      </c>
      <c r="J83" s="34">
        <v>1351</v>
      </c>
      <c r="K83" s="34">
        <v>1351</v>
      </c>
      <c r="L83" s="33">
        <v>0.5</v>
      </c>
      <c r="M83" s="3"/>
      <c r="N83" s="3"/>
    </row>
    <row r="84" spans="2:14" ht="15" thickBot="1">
      <c r="B84" s="3" t="s">
        <v>629</v>
      </c>
      <c r="C84" s="3"/>
      <c r="D84" s="34"/>
      <c r="E84" s="34"/>
      <c r="F84" s="34"/>
      <c r="G84" s="34"/>
      <c r="H84" s="34"/>
      <c r="I84" s="34"/>
      <c r="J84" s="34"/>
      <c r="K84" s="34"/>
      <c r="L84" s="33"/>
      <c r="M84" s="3" t="s">
        <v>656</v>
      </c>
      <c r="N84" s="3" t="s">
        <v>657</v>
      </c>
    </row>
    <row r="85" spans="2:14" ht="15" thickBot="1">
      <c r="B85" s="36" t="s">
        <v>645</v>
      </c>
      <c r="C85" s="3" t="s">
        <v>630</v>
      </c>
      <c r="D85" s="34">
        <v>4815</v>
      </c>
      <c r="E85" s="34">
        <v>5150</v>
      </c>
      <c r="F85" s="34">
        <v>5510</v>
      </c>
      <c r="G85" s="34"/>
      <c r="H85" s="34"/>
      <c r="I85" s="34"/>
      <c r="J85" s="34"/>
      <c r="K85" s="34"/>
      <c r="L85" s="33">
        <v>0.5</v>
      </c>
      <c r="M85" s="3"/>
      <c r="N85" s="3"/>
    </row>
    <row r="86" spans="2:14" ht="15" thickBot="1">
      <c r="B86" s="36" t="s">
        <v>625</v>
      </c>
      <c r="C86" s="3" t="s">
        <v>630</v>
      </c>
      <c r="D86" s="34">
        <v>9356</v>
      </c>
      <c r="E86" s="34">
        <v>9929</v>
      </c>
      <c r="F86" s="34">
        <v>10544</v>
      </c>
      <c r="G86" s="34"/>
      <c r="H86" s="34"/>
      <c r="I86" s="34"/>
      <c r="J86" s="34"/>
      <c r="K86" s="34"/>
      <c r="L86" s="33">
        <v>0.5</v>
      </c>
      <c r="M86" s="3"/>
      <c r="N86" s="3"/>
    </row>
    <row r="87" spans="2:14" ht="15" thickBot="1">
      <c r="B87" s="36" t="s">
        <v>646</v>
      </c>
      <c r="C87" s="3" t="s">
        <v>630</v>
      </c>
      <c r="D87" s="34">
        <v>13897</v>
      </c>
      <c r="E87" s="34">
        <v>14707</v>
      </c>
      <c r="F87" s="34">
        <v>15577</v>
      </c>
      <c r="G87" s="34">
        <v>17221</v>
      </c>
      <c r="H87" s="34"/>
      <c r="I87" s="34"/>
      <c r="J87" s="34"/>
      <c r="K87" s="34"/>
      <c r="L87" s="33">
        <v>0.5</v>
      </c>
      <c r="M87" s="3"/>
      <c r="N87" s="3"/>
    </row>
    <row r="88" spans="2:14" ht="15" thickBot="1">
      <c r="B88" s="3" t="s">
        <v>604</v>
      </c>
      <c r="C88" s="3"/>
      <c r="D88" s="34"/>
      <c r="E88" s="34"/>
      <c r="F88" s="34"/>
      <c r="G88" s="34"/>
      <c r="H88" s="34"/>
      <c r="I88" s="34"/>
      <c r="J88" s="34"/>
      <c r="K88" s="34"/>
      <c r="L88" s="33"/>
      <c r="M88" s="3" t="s">
        <v>656</v>
      </c>
      <c r="N88" s="3" t="s">
        <v>662</v>
      </c>
    </row>
    <row r="89" spans="2:14" ht="15" thickBot="1">
      <c r="B89" s="36" t="s">
        <v>622</v>
      </c>
      <c r="C89" s="3" t="s">
        <v>605</v>
      </c>
      <c r="D89" s="34"/>
      <c r="E89" s="34">
        <v>692</v>
      </c>
      <c r="F89" s="34">
        <v>733</v>
      </c>
      <c r="G89" s="34">
        <v>811</v>
      </c>
      <c r="H89" s="34">
        <v>1006</v>
      </c>
      <c r="I89" s="34">
        <v>1448</v>
      </c>
      <c r="J89" s="34">
        <v>2459</v>
      </c>
      <c r="K89" s="34"/>
      <c r="L89" s="33">
        <v>0.5</v>
      </c>
      <c r="M89" s="3"/>
      <c r="N89" s="3"/>
    </row>
    <row r="90" spans="2:14" ht="15" thickBot="1">
      <c r="B90" s="36" t="s">
        <v>625</v>
      </c>
      <c r="C90" s="3" t="s">
        <v>605</v>
      </c>
      <c r="D90" s="34"/>
      <c r="E90" s="34">
        <v>878</v>
      </c>
      <c r="F90" s="34">
        <v>931</v>
      </c>
      <c r="G90" s="34">
        <v>1030</v>
      </c>
      <c r="H90" s="34">
        <v>1282</v>
      </c>
      <c r="I90" s="34">
        <v>1850</v>
      </c>
      <c r="J90" s="34">
        <v>3151</v>
      </c>
      <c r="K90" s="34"/>
      <c r="L90" s="33">
        <v>0.5</v>
      </c>
      <c r="M90" s="3"/>
      <c r="N90" s="3"/>
    </row>
    <row r="91" spans="2:14" ht="15" thickBot="1">
      <c r="B91" s="36" t="s">
        <v>654</v>
      </c>
      <c r="C91" s="3" t="s">
        <v>605</v>
      </c>
      <c r="D91" s="34"/>
      <c r="E91" s="34">
        <v>1063</v>
      </c>
      <c r="F91" s="34">
        <v>1129</v>
      </c>
      <c r="G91" s="34">
        <v>1250</v>
      </c>
      <c r="H91" s="34">
        <v>1557</v>
      </c>
      <c r="I91" s="34">
        <v>2251</v>
      </c>
      <c r="J91" s="34">
        <v>3843</v>
      </c>
      <c r="K91" s="34"/>
      <c r="L91" s="33">
        <v>0.5</v>
      </c>
      <c r="M91" s="3"/>
      <c r="N91" s="3"/>
    </row>
    <row r="92" spans="2:14" ht="15" thickBot="1">
      <c r="B92" s="1" t="s">
        <v>246</v>
      </c>
      <c r="C92" s="2" t="s">
        <v>216</v>
      </c>
      <c r="D92" s="1"/>
      <c r="E92" s="1"/>
      <c r="F92" s="1"/>
      <c r="G92" s="1"/>
      <c r="H92" s="1"/>
      <c r="I92" s="1"/>
      <c r="J92" s="1"/>
      <c r="K92" s="1"/>
      <c r="L92" s="1"/>
      <c r="M92" s="1"/>
      <c r="N92" s="1"/>
    </row>
    <row r="93" spans="2:14" ht="15" thickBot="1">
      <c r="B93" s="3" t="s">
        <v>665</v>
      </c>
      <c r="C93" s="3" t="s">
        <v>666</v>
      </c>
      <c r="D93" s="41">
        <v>277296</v>
      </c>
      <c r="E93" s="41">
        <v>277296</v>
      </c>
      <c r="F93" s="41">
        <v>277296</v>
      </c>
      <c r="G93" s="41">
        <v>277296</v>
      </c>
      <c r="H93" s="41">
        <v>104640</v>
      </c>
      <c r="I93" s="41">
        <v>104640</v>
      </c>
      <c r="J93" s="41">
        <v>104640</v>
      </c>
      <c r="K93" s="41">
        <v>104640</v>
      </c>
      <c r="L93" s="33">
        <v>0.3</v>
      </c>
      <c r="M93" s="3" t="s">
        <v>305</v>
      </c>
      <c r="N93" s="3"/>
    </row>
    <row r="94" spans="2:14" ht="15" thickBot="1">
      <c r="B94" s="3" t="s">
        <v>667</v>
      </c>
      <c r="C94" s="3" t="s">
        <v>666</v>
      </c>
      <c r="D94" s="41">
        <v>251136</v>
      </c>
      <c r="E94" s="41">
        <v>251136</v>
      </c>
      <c r="F94" s="41">
        <v>251136</v>
      </c>
      <c r="G94" s="41">
        <v>251136</v>
      </c>
      <c r="H94" s="41">
        <v>94176</v>
      </c>
      <c r="I94" s="41">
        <v>94176</v>
      </c>
      <c r="J94" s="41">
        <v>94176</v>
      </c>
      <c r="K94" s="41">
        <v>94176</v>
      </c>
      <c r="L94" s="33">
        <v>0.3</v>
      </c>
      <c r="M94" s="3" t="s">
        <v>305</v>
      </c>
      <c r="N94" s="3"/>
    </row>
    <row r="95" spans="2:14" ht="15" thickBot="1">
      <c r="B95" s="36" t="s">
        <v>668</v>
      </c>
      <c r="C95" s="3" t="s">
        <v>223</v>
      </c>
      <c r="D95" s="13">
        <v>85</v>
      </c>
      <c r="E95" s="13">
        <v>85</v>
      </c>
      <c r="F95" s="13">
        <v>85</v>
      </c>
      <c r="G95" s="13">
        <v>85</v>
      </c>
      <c r="H95" s="13">
        <v>85</v>
      </c>
      <c r="I95" s="13">
        <v>85</v>
      </c>
      <c r="J95" s="13">
        <v>85</v>
      </c>
      <c r="K95" s="13">
        <v>85</v>
      </c>
      <c r="L95" s="3"/>
      <c r="M95" s="3" t="s">
        <v>305</v>
      </c>
      <c r="N95" s="3" t="s">
        <v>249</v>
      </c>
    </row>
    <row r="96" spans="2:14" ht="15" thickBot="1">
      <c r="B96" s="36" t="s">
        <v>237</v>
      </c>
      <c r="C96" s="3" t="s">
        <v>223</v>
      </c>
      <c r="D96" s="3">
        <v>15</v>
      </c>
      <c r="E96" s="3">
        <v>15</v>
      </c>
      <c r="F96" s="3">
        <v>15</v>
      </c>
      <c r="G96" s="3">
        <v>15</v>
      </c>
      <c r="H96" s="3">
        <v>15</v>
      </c>
      <c r="I96" s="3">
        <v>15</v>
      </c>
      <c r="J96" s="3">
        <v>15</v>
      </c>
      <c r="K96" s="3">
        <v>15</v>
      </c>
      <c r="L96" s="33"/>
      <c r="M96" s="3" t="s">
        <v>305</v>
      </c>
      <c r="N96" s="3" t="s">
        <v>249</v>
      </c>
    </row>
    <row r="97" spans="2:14" ht="15" thickBot="1">
      <c r="B97" s="36" t="s">
        <v>433</v>
      </c>
      <c r="C97" s="3" t="s">
        <v>458</v>
      </c>
      <c r="D97" s="3">
        <v>1.44</v>
      </c>
      <c r="E97" s="3">
        <v>1.44</v>
      </c>
      <c r="F97" s="3">
        <v>1.44</v>
      </c>
      <c r="G97" s="3">
        <v>1.44</v>
      </c>
      <c r="H97" s="3">
        <v>1.44</v>
      </c>
      <c r="I97" s="3">
        <v>1.44</v>
      </c>
      <c r="J97" s="3">
        <v>1.44</v>
      </c>
      <c r="K97" s="3">
        <v>1.44</v>
      </c>
      <c r="L97" s="33">
        <v>0.3</v>
      </c>
      <c r="M97" s="3" t="s">
        <v>305</v>
      </c>
      <c r="N97" s="3"/>
    </row>
  </sheetData>
  <sheetProtection algorithmName="SHA-512" hashValue="Z3bsMvHz0I3e2qrKEDWeLIpIkoBmV7IchvSHDFRwC3Gfm7oNhf+1t0UW28Xbf/AE4HNT/o1ti9VPynpOE4j+8g==" saltValue="cGMPdoi/0mwBNWRGNXNGtg==" spinCount="100000" sheet="1" objects="1" scenarios="1"/>
  <mergeCells count="1">
    <mergeCell ref="H2:N3"/>
  </mergeCells>
  <conditionalFormatting sqref="L32">
    <cfRule type="colorScale" priority="10">
      <colorScale>
        <cfvo type="num" val="0"/>
        <cfvo type="num" val="0.5"/>
        <color theme="0"/>
        <color theme="5"/>
      </colorScale>
    </cfRule>
  </conditionalFormatting>
  <conditionalFormatting sqref="L33">
    <cfRule type="colorScale" priority="9">
      <colorScale>
        <cfvo type="num" val="0"/>
        <cfvo type="num" val="0.5"/>
        <color theme="0"/>
        <color theme="5"/>
      </colorScale>
    </cfRule>
  </conditionalFormatting>
  <conditionalFormatting sqref="L49:L59">
    <cfRule type="colorScale" priority="2">
      <colorScale>
        <cfvo type="num" val="0"/>
        <cfvo type="num" val="0.5"/>
        <color theme="0"/>
        <color theme="5"/>
      </colorScale>
    </cfRule>
  </conditionalFormatting>
  <conditionalFormatting sqref="L61:L62 L39:L46 L48">
    <cfRule type="colorScale" priority="8">
      <colorScale>
        <cfvo type="num" val="0"/>
        <cfvo type="num" val="0.5"/>
        <color theme="0"/>
        <color theme="5"/>
      </colorScale>
    </cfRule>
  </conditionalFormatting>
  <conditionalFormatting sqref="L64">
    <cfRule type="colorScale" priority="7">
      <colorScale>
        <cfvo type="num" val="0"/>
        <cfvo type="num" val="0.5"/>
        <color theme="0"/>
        <color theme="5"/>
      </colorScale>
    </cfRule>
  </conditionalFormatting>
  <conditionalFormatting sqref="L65">
    <cfRule type="colorScale" priority="6">
      <colorScale>
        <cfvo type="num" val="0"/>
        <cfvo type="num" val="0.5"/>
        <color theme="0"/>
        <color theme="5"/>
      </colorScale>
    </cfRule>
  </conditionalFormatting>
  <conditionalFormatting sqref="L71:L78 L80 L93:L94">
    <cfRule type="colorScale" priority="5">
      <colorScale>
        <cfvo type="num" val="0"/>
        <cfvo type="num" val="0.5"/>
        <color theme="0"/>
        <color theme="5"/>
      </colorScale>
    </cfRule>
  </conditionalFormatting>
  <conditionalFormatting sqref="L81:L91">
    <cfRule type="colorScale" priority="1">
      <colorScale>
        <cfvo type="num" val="0"/>
        <cfvo type="num" val="0.5"/>
        <color theme="0"/>
        <color theme="5"/>
      </colorScale>
    </cfRule>
  </conditionalFormatting>
  <conditionalFormatting sqref="L96">
    <cfRule type="colorScale" priority="4">
      <colorScale>
        <cfvo type="num" val="0"/>
        <cfvo type="num" val="0.5"/>
        <color theme="0"/>
        <color theme="5"/>
      </colorScale>
    </cfRule>
  </conditionalFormatting>
  <conditionalFormatting sqref="L97">
    <cfRule type="colorScale" priority="3">
      <colorScale>
        <cfvo type="num" val="0"/>
        <cfvo type="num" val="0.5"/>
        <color theme="0"/>
        <color theme="5"/>
      </colorScale>
    </cfRule>
  </conditionalFormatting>
  <conditionalFormatting sqref="AB11:AB12 L29:L30 L7:L14 L16:L27">
    <cfRule type="colorScale" priority="11">
      <colorScale>
        <cfvo type="num" val="0"/>
        <cfvo type="num" val="0.5"/>
        <color theme="0"/>
        <color theme="5"/>
      </colorScale>
    </cfRule>
  </conditionalFormatting>
  <conditionalFormatting sqref="AB11:AB12">
    <cfRule type="colorScale" priority="12">
      <colorScale>
        <cfvo type="min"/>
        <cfvo type="max"/>
        <color theme="0"/>
        <color theme="5"/>
      </colorScale>
    </cfRule>
  </conditionalFormatting>
  <hyperlinks>
    <hyperlink ref="A1" location="Inhalt!A1" display="Zum Inhalt" xr:uid="{0B2CA4A8-E274-4F0A-9A18-FF95E060EEEB}"/>
  </hyperlinks>
  <pageMargins left="0.7" right="0.7" top="0.78740157499999996" bottom="0.78740157499999996"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50AA-88D0-465B-9A92-E4B3D71B15A7}">
  <sheetPr codeName="Tabelle45"/>
  <dimension ref="A1:W49"/>
  <sheetViews>
    <sheetView zoomScaleNormal="100" workbookViewId="0"/>
  </sheetViews>
  <sheetFormatPr baseColWidth="10" defaultColWidth="11.44140625" defaultRowHeight="14.4"/>
  <cols>
    <col min="2" max="2" width="32.5546875" bestFit="1" customWidth="1"/>
    <col min="11" max="11" width="24.44140625" bestFit="1" customWidth="1"/>
  </cols>
  <sheetData>
    <row r="1" spans="1:23" ht="28.2" thickBot="1">
      <c r="A1" s="99" t="s">
        <v>143</v>
      </c>
    </row>
    <row r="2" spans="1:23" ht="27" customHeight="1">
      <c r="G2" s="142" t="s">
        <v>673</v>
      </c>
      <c r="H2" s="143"/>
      <c r="I2" s="143"/>
      <c r="J2" s="143"/>
      <c r="K2" s="143"/>
      <c r="L2" s="144"/>
    </row>
    <row r="3" spans="1:23" ht="27.45" customHeight="1" thickBot="1">
      <c r="B3" s="4" t="s">
        <v>213</v>
      </c>
      <c r="C3" s="4" t="s">
        <v>42</v>
      </c>
      <c r="G3" s="145"/>
      <c r="H3" s="146"/>
      <c r="I3" s="146"/>
      <c r="J3" s="146"/>
      <c r="K3" s="146"/>
      <c r="L3" s="147"/>
    </row>
    <row r="4" spans="1:23">
      <c r="B4" s="4" t="s">
        <v>214</v>
      </c>
      <c r="C4" s="4">
        <v>2023</v>
      </c>
    </row>
    <row r="5" spans="1:23" ht="15" thickBot="1">
      <c r="B5" s="1" t="s">
        <v>215</v>
      </c>
      <c r="C5" s="2" t="s">
        <v>216</v>
      </c>
      <c r="D5" s="1"/>
      <c r="E5" s="1"/>
      <c r="F5" s="1"/>
      <c r="G5" s="1" t="s">
        <v>217</v>
      </c>
      <c r="H5" s="1" t="s">
        <v>147</v>
      </c>
      <c r="I5" s="1" t="s">
        <v>148</v>
      </c>
      <c r="K5" s="4" t="s">
        <v>595</v>
      </c>
      <c r="L5" s="80" t="s">
        <v>442</v>
      </c>
    </row>
    <row r="6" spans="1:23" ht="15" thickBot="1">
      <c r="B6" s="3" t="s">
        <v>220</v>
      </c>
      <c r="C6" s="30" t="s">
        <v>443</v>
      </c>
      <c r="D6" s="71" t="s">
        <v>674</v>
      </c>
      <c r="E6" s="32" t="s">
        <v>675</v>
      </c>
      <c r="F6" s="32" t="s">
        <v>676</v>
      </c>
      <c r="G6" s="3"/>
      <c r="H6" s="3"/>
      <c r="I6" s="3" t="s">
        <v>252</v>
      </c>
    </row>
    <row r="7" spans="1:23" ht="15" thickBot="1">
      <c r="B7" s="3" t="s">
        <v>643</v>
      </c>
      <c r="C7" s="5" t="s">
        <v>223</v>
      </c>
      <c r="D7" s="3">
        <v>3</v>
      </c>
      <c r="E7" s="3">
        <v>1.25</v>
      </c>
      <c r="F7" s="3">
        <v>0.45</v>
      </c>
      <c r="G7" s="33">
        <v>0.6</v>
      </c>
      <c r="H7" s="3" t="s">
        <v>305</v>
      </c>
      <c r="I7" s="3" t="s">
        <v>240</v>
      </c>
      <c r="K7" s="4" t="s">
        <v>234</v>
      </c>
      <c r="L7" s="12" t="s">
        <v>306</v>
      </c>
    </row>
    <row r="8" spans="1:23" ht="15" thickBot="1">
      <c r="B8" s="3" t="s">
        <v>648</v>
      </c>
      <c r="C8" s="5" t="s">
        <v>223</v>
      </c>
      <c r="D8" s="3">
        <v>4.5</v>
      </c>
      <c r="E8" s="3">
        <v>4.5</v>
      </c>
      <c r="F8" s="3">
        <v>4.5</v>
      </c>
      <c r="G8" s="33">
        <v>0.55000000000000004</v>
      </c>
      <c r="H8" s="3" t="s">
        <v>305</v>
      </c>
      <c r="I8" s="3" t="s">
        <v>250</v>
      </c>
      <c r="K8" s="4"/>
      <c r="L8" s="12"/>
    </row>
    <row r="9" spans="1:23" ht="15" thickBot="1">
      <c r="B9" s="3" t="s">
        <v>649</v>
      </c>
      <c r="C9" s="5" t="s">
        <v>223</v>
      </c>
      <c r="D9" s="3">
        <v>2.75</v>
      </c>
      <c r="E9" s="3">
        <v>2.75</v>
      </c>
      <c r="F9" s="3">
        <v>2.75</v>
      </c>
      <c r="G9" s="33"/>
      <c r="H9" s="3" t="s">
        <v>305</v>
      </c>
      <c r="I9" s="3"/>
      <c r="K9" s="4" t="s">
        <v>148</v>
      </c>
    </row>
    <row r="10" spans="1:23" ht="15" thickBot="1">
      <c r="B10" s="3" t="s">
        <v>600</v>
      </c>
      <c r="C10" s="5" t="s">
        <v>227</v>
      </c>
      <c r="D10" s="3">
        <v>4</v>
      </c>
      <c r="E10" s="3">
        <v>4</v>
      </c>
      <c r="F10" s="3">
        <v>4</v>
      </c>
      <c r="G10" s="33">
        <v>0.25</v>
      </c>
      <c r="H10" s="3" t="s">
        <v>305</v>
      </c>
      <c r="I10" s="3"/>
      <c r="K10" s="12" t="s">
        <v>240</v>
      </c>
      <c r="L10" s="12" t="s">
        <v>677</v>
      </c>
    </row>
    <row r="11" spans="1:23" ht="15" thickBot="1">
      <c r="B11" s="3" t="s">
        <v>618</v>
      </c>
      <c r="C11" s="5" t="s">
        <v>227</v>
      </c>
      <c r="D11" s="3">
        <v>40</v>
      </c>
      <c r="E11" s="3">
        <v>40</v>
      </c>
      <c r="F11" s="3">
        <v>40</v>
      </c>
      <c r="G11" s="33">
        <v>0.25</v>
      </c>
      <c r="H11" s="3" t="s">
        <v>305</v>
      </c>
      <c r="I11" s="3" t="s">
        <v>244</v>
      </c>
      <c r="K11" s="12" t="s">
        <v>244</v>
      </c>
      <c r="L11" s="12" t="s">
        <v>658</v>
      </c>
      <c r="W11" s="44"/>
    </row>
    <row r="12" spans="1:23" ht="15" thickBot="1">
      <c r="B12" s="1" t="s">
        <v>229</v>
      </c>
      <c r="C12" s="2" t="s">
        <v>216</v>
      </c>
      <c r="D12" s="1"/>
      <c r="E12" s="1"/>
      <c r="F12" s="1"/>
      <c r="G12" s="1"/>
      <c r="H12" s="1"/>
      <c r="I12" s="1"/>
      <c r="K12" s="12" t="s">
        <v>224</v>
      </c>
      <c r="L12" s="12" t="s">
        <v>678</v>
      </c>
      <c r="W12" s="44"/>
    </row>
    <row r="13" spans="1:23" ht="15" thickBot="1">
      <c r="B13" s="3" t="s">
        <v>679</v>
      </c>
      <c r="C13" s="3" t="s">
        <v>666</v>
      </c>
      <c r="D13" s="34">
        <v>120336</v>
      </c>
      <c r="E13" s="34">
        <v>120336</v>
      </c>
      <c r="F13" s="34">
        <v>120336</v>
      </c>
      <c r="G13" s="33">
        <v>0.2</v>
      </c>
      <c r="H13" s="3" t="s">
        <v>305</v>
      </c>
      <c r="I13" s="3" t="s">
        <v>224</v>
      </c>
      <c r="K13" s="12" t="s">
        <v>250</v>
      </c>
      <c r="L13" s="12" t="s">
        <v>680</v>
      </c>
    </row>
    <row r="14" spans="1:23" ht="15" thickBot="1">
      <c r="B14" s="3" t="s">
        <v>681</v>
      </c>
      <c r="C14" s="3" t="s">
        <v>666</v>
      </c>
      <c r="D14" s="34">
        <v>109872</v>
      </c>
      <c r="E14" s="34">
        <v>109872</v>
      </c>
      <c r="F14" s="34">
        <v>109872</v>
      </c>
      <c r="G14" s="33">
        <v>0.2</v>
      </c>
      <c r="H14" s="3" t="s">
        <v>305</v>
      </c>
      <c r="I14" s="3" t="s">
        <v>224</v>
      </c>
      <c r="K14" s="12" t="s">
        <v>252</v>
      </c>
      <c r="L14" s="12" t="s">
        <v>631</v>
      </c>
    </row>
    <row r="15" spans="1:23" ht="15" thickBot="1">
      <c r="B15" s="36" t="s">
        <v>236</v>
      </c>
      <c r="C15" s="3"/>
      <c r="D15" s="54">
        <v>0.38</v>
      </c>
      <c r="E15" s="54">
        <v>0.38</v>
      </c>
      <c r="F15" s="54">
        <v>0.38</v>
      </c>
      <c r="G15" s="33"/>
      <c r="H15" s="3" t="s">
        <v>305</v>
      </c>
      <c r="I15" s="3" t="s">
        <v>224</v>
      </c>
      <c r="K15" s="12" t="s">
        <v>249</v>
      </c>
      <c r="L15" s="12" t="s">
        <v>664</v>
      </c>
    </row>
    <row r="16" spans="1:23" ht="15" thickBot="1">
      <c r="B16" s="36" t="s">
        <v>237</v>
      </c>
      <c r="C16" s="3"/>
      <c r="D16" s="33">
        <v>0.63</v>
      </c>
      <c r="E16" s="33">
        <v>0.63</v>
      </c>
      <c r="F16" s="33">
        <v>0.63</v>
      </c>
      <c r="G16" s="33"/>
      <c r="H16" s="3" t="s">
        <v>305</v>
      </c>
      <c r="I16" s="3" t="s">
        <v>224</v>
      </c>
    </row>
    <row r="17" spans="2:12" ht="15" thickBot="1">
      <c r="B17" s="3" t="s">
        <v>433</v>
      </c>
      <c r="C17" s="3"/>
      <c r="D17" s="81">
        <v>0.8</v>
      </c>
      <c r="E17" s="81">
        <v>0.8</v>
      </c>
      <c r="F17" s="81">
        <v>0.8</v>
      </c>
      <c r="G17" s="33">
        <v>0.95</v>
      </c>
      <c r="H17" s="3" t="s">
        <v>305</v>
      </c>
      <c r="I17" s="3"/>
      <c r="K17" s="4" t="s">
        <v>147</v>
      </c>
    </row>
    <row r="18" spans="2:12">
      <c r="K18" s="12" t="s">
        <v>151</v>
      </c>
      <c r="L18" s="12" t="s">
        <v>185</v>
      </c>
    </row>
    <row r="19" spans="2:12">
      <c r="K19" s="12" t="s">
        <v>184</v>
      </c>
      <c r="L19" s="12" t="s">
        <v>607</v>
      </c>
    </row>
    <row r="20" spans="2:12">
      <c r="B20" s="4" t="s">
        <v>214</v>
      </c>
      <c r="C20" s="4">
        <v>2030</v>
      </c>
    </row>
    <row r="21" spans="2:12" ht="15" thickBot="1">
      <c r="B21" s="1" t="s">
        <v>215</v>
      </c>
      <c r="C21" s="2" t="s">
        <v>216</v>
      </c>
      <c r="D21" s="1"/>
      <c r="E21" s="1"/>
      <c r="F21" s="1"/>
      <c r="G21" s="1" t="s">
        <v>217</v>
      </c>
      <c r="H21" s="1" t="s">
        <v>147</v>
      </c>
      <c r="I21" s="1" t="s">
        <v>148</v>
      </c>
    </row>
    <row r="22" spans="2:12" ht="15" thickBot="1">
      <c r="B22" s="3" t="s">
        <v>220</v>
      </c>
      <c r="C22" s="30" t="s">
        <v>443</v>
      </c>
      <c r="D22" s="71" t="s">
        <v>674</v>
      </c>
      <c r="E22" s="32" t="s">
        <v>675</v>
      </c>
      <c r="F22" s="32" t="s">
        <v>676</v>
      </c>
      <c r="G22" s="3"/>
      <c r="H22" s="3"/>
      <c r="I22" s="3"/>
    </row>
    <row r="23" spans="2:12" ht="15" thickBot="1">
      <c r="B23" s="3" t="s">
        <v>643</v>
      </c>
      <c r="C23" s="5" t="s">
        <v>223</v>
      </c>
      <c r="D23" s="3">
        <v>3</v>
      </c>
      <c r="E23" s="3">
        <v>1.25</v>
      </c>
      <c r="F23" s="3">
        <v>0.45</v>
      </c>
      <c r="G23" s="33">
        <v>0.6</v>
      </c>
      <c r="H23" s="3"/>
      <c r="I23" s="3"/>
      <c r="K23" s="12"/>
      <c r="L23" s="12"/>
    </row>
    <row r="24" spans="2:12" ht="15" thickBot="1">
      <c r="B24" s="3" t="s">
        <v>648</v>
      </c>
      <c r="C24" s="5" t="s">
        <v>223</v>
      </c>
      <c r="D24" s="3">
        <v>4.5</v>
      </c>
      <c r="E24" s="3">
        <v>4.5</v>
      </c>
      <c r="F24" s="3">
        <v>4.5</v>
      </c>
      <c r="G24" s="33">
        <v>0.55000000000000004</v>
      </c>
      <c r="H24" s="3"/>
      <c r="I24" s="3"/>
      <c r="K24" s="12"/>
      <c r="L24" s="12"/>
    </row>
    <row r="25" spans="2:12" ht="15" thickBot="1">
      <c r="B25" s="3" t="s">
        <v>649</v>
      </c>
      <c r="C25" s="5" t="s">
        <v>223</v>
      </c>
      <c r="D25" s="3">
        <v>2.75</v>
      </c>
      <c r="E25" s="3">
        <v>2.75</v>
      </c>
      <c r="F25" s="3">
        <v>2.75</v>
      </c>
      <c r="G25" s="33"/>
      <c r="H25" s="3"/>
      <c r="I25" s="3"/>
      <c r="K25" s="12"/>
      <c r="L25" s="12"/>
    </row>
    <row r="26" spans="2:12" ht="15" thickBot="1">
      <c r="B26" s="3" t="s">
        <v>600</v>
      </c>
      <c r="C26" s="5" t="s">
        <v>227</v>
      </c>
      <c r="D26" s="3">
        <v>4</v>
      </c>
      <c r="E26" s="3">
        <v>4</v>
      </c>
      <c r="F26" s="3">
        <v>4</v>
      </c>
      <c r="G26" s="33">
        <v>0.25</v>
      </c>
      <c r="H26" s="3"/>
      <c r="I26" s="3"/>
      <c r="K26" s="12"/>
      <c r="L26" s="12"/>
    </row>
    <row r="27" spans="2:12" ht="15" thickBot="1">
      <c r="B27" s="3" t="s">
        <v>618</v>
      </c>
      <c r="C27" s="5" t="s">
        <v>227</v>
      </c>
      <c r="D27" s="3">
        <v>40</v>
      </c>
      <c r="E27" s="3">
        <v>40</v>
      </c>
      <c r="F27" s="3">
        <v>40</v>
      </c>
      <c r="G27" s="33">
        <v>0.25</v>
      </c>
      <c r="H27" s="3"/>
      <c r="I27" s="3"/>
      <c r="K27" s="12"/>
      <c r="L27" s="12"/>
    </row>
    <row r="28" spans="2:12" ht="15" thickBot="1">
      <c r="B28" s="1" t="s">
        <v>229</v>
      </c>
      <c r="C28" s="2" t="s">
        <v>216</v>
      </c>
      <c r="D28" s="1"/>
      <c r="E28" s="1"/>
      <c r="F28" s="1"/>
      <c r="G28" s="1"/>
      <c r="H28" s="1"/>
      <c r="I28" s="1"/>
    </row>
    <row r="29" spans="2:12" ht="15" thickBot="1">
      <c r="B29" s="3" t="s">
        <v>679</v>
      </c>
      <c r="C29" s="3" t="s">
        <v>666</v>
      </c>
      <c r="D29" s="34">
        <v>120336</v>
      </c>
      <c r="E29" s="34">
        <v>120336</v>
      </c>
      <c r="F29" s="34">
        <v>120336</v>
      </c>
      <c r="G29" s="33">
        <v>0.25</v>
      </c>
      <c r="H29" s="3"/>
      <c r="I29" s="3"/>
    </row>
    <row r="30" spans="2:12" ht="15" thickBot="1">
      <c r="B30" s="3" t="s">
        <v>681</v>
      </c>
      <c r="C30" s="3" t="s">
        <v>666</v>
      </c>
      <c r="D30" s="34">
        <v>109872</v>
      </c>
      <c r="E30" s="34">
        <v>109872</v>
      </c>
      <c r="F30" s="34">
        <v>109872</v>
      </c>
      <c r="G30" s="33">
        <v>0.25</v>
      </c>
      <c r="H30" s="3"/>
      <c r="I30" s="3"/>
    </row>
    <row r="31" spans="2:12" ht="15" thickBot="1">
      <c r="B31" s="36" t="s">
        <v>236</v>
      </c>
      <c r="C31" s="3"/>
      <c r="D31" s="54">
        <v>0.38</v>
      </c>
      <c r="E31" s="54">
        <v>0.38</v>
      </c>
      <c r="F31" s="54">
        <v>0.38</v>
      </c>
      <c r="G31" s="33"/>
      <c r="H31" s="3"/>
      <c r="I31" s="3"/>
    </row>
    <row r="32" spans="2:12" ht="15" thickBot="1">
      <c r="B32" s="36" t="s">
        <v>237</v>
      </c>
      <c r="C32" s="3"/>
      <c r="D32" s="33">
        <v>0.63</v>
      </c>
      <c r="E32" s="33">
        <v>0.63</v>
      </c>
      <c r="F32" s="33">
        <v>0.63</v>
      </c>
      <c r="G32" s="33"/>
      <c r="H32" s="3"/>
      <c r="I32" s="3"/>
      <c r="K32" s="12"/>
    </row>
    <row r="33" spans="2:12" ht="15" thickBot="1">
      <c r="B33" s="3" t="s">
        <v>433</v>
      </c>
      <c r="C33" s="3"/>
      <c r="D33" s="81">
        <v>0.8</v>
      </c>
      <c r="E33" s="81">
        <v>0.8</v>
      </c>
      <c r="F33" s="81">
        <v>0.8</v>
      </c>
      <c r="G33" s="33">
        <v>0.95</v>
      </c>
      <c r="H33" s="3"/>
      <c r="I33" s="3"/>
    </row>
    <row r="34" spans="2:12">
      <c r="K34" s="4"/>
      <c r="L34" s="12"/>
    </row>
    <row r="35" spans="2:12">
      <c r="K35" s="12"/>
    </row>
    <row r="36" spans="2:12">
      <c r="B36" s="4" t="s">
        <v>214</v>
      </c>
      <c r="C36" s="4">
        <v>2040</v>
      </c>
      <c r="K36" s="12"/>
    </row>
    <row r="37" spans="2:12" ht="15" thickBot="1">
      <c r="B37" s="1" t="s">
        <v>215</v>
      </c>
      <c r="C37" s="2" t="s">
        <v>216</v>
      </c>
      <c r="D37" s="1"/>
      <c r="E37" s="1"/>
      <c r="F37" s="1"/>
      <c r="G37" s="1" t="s">
        <v>217</v>
      </c>
      <c r="H37" s="1" t="s">
        <v>147</v>
      </c>
      <c r="I37" s="1" t="s">
        <v>148</v>
      </c>
    </row>
    <row r="38" spans="2:12" ht="15" thickBot="1">
      <c r="B38" s="3" t="s">
        <v>220</v>
      </c>
      <c r="C38" s="30" t="s">
        <v>443</v>
      </c>
      <c r="D38" s="71" t="s">
        <v>674</v>
      </c>
      <c r="E38" s="32" t="s">
        <v>675</v>
      </c>
      <c r="F38" s="32" t="s">
        <v>676</v>
      </c>
      <c r="G38" s="3"/>
      <c r="H38" s="3"/>
      <c r="I38" s="3"/>
    </row>
    <row r="39" spans="2:12" ht="15" thickBot="1">
      <c r="B39" s="3" t="s">
        <v>643</v>
      </c>
      <c r="C39" s="5" t="s">
        <v>223</v>
      </c>
      <c r="D39" s="3">
        <v>3</v>
      </c>
      <c r="E39" s="3">
        <v>1.25</v>
      </c>
      <c r="F39" s="3">
        <v>0.45</v>
      </c>
      <c r="G39" s="33">
        <v>0.6</v>
      </c>
      <c r="H39" s="3"/>
      <c r="I39" s="3"/>
    </row>
    <row r="40" spans="2:12" ht="15" thickBot="1">
      <c r="B40" s="3" t="s">
        <v>648</v>
      </c>
      <c r="C40" s="5" t="s">
        <v>223</v>
      </c>
      <c r="D40" s="3">
        <v>4.5</v>
      </c>
      <c r="E40" s="3">
        <v>4.5</v>
      </c>
      <c r="F40" s="3">
        <v>4.5</v>
      </c>
      <c r="G40" s="33">
        <v>0.55000000000000004</v>
      </c>
      <c r="H40" s="3"/>
      <c r="I40" s="3"/>
    </row>
    <row r="41" spans="2:12" ht="15" thickBot="1">
      <c r="B41" s="3" t="s">
        <v>649</v>
      </c>
      <c r="C41" s="5" t="s">
        <v>223</v>
      </c>
      <c r="D41" s="3">
        <v>2.75</v>
      </c>
      <c r="E41" s="3">
        <v>2.75</v>
      </c>
      <c r="F41" s="3">
        <v>2.75</v>
      </c>
      <c r="G41" s="33"/>
      <c r="H41" s="3"/>
      <c r="I41" s="3"/>
    </row>
    <row r="42" spans="2:12" ht="15" thickBot="1">
      <c r="B42" s="3" t="s">
        <v>600</v>
      </c>
      <c r="C42" s="5" t="s">
        <v>227</v>
      </c>
      <c r="D42" s="3">
        <v>4</v>
      </c>
      <c r="E42" s="3">
        <v>4</v>
      </c>
      <c r="F42" s="3">
        <v>4</v>
      </c>
      <c r="G42" s="33">
        <v>0.25</v>
      </c>
      <c r="H42" s="3"/>
      <c r="I42" s="3"/>
    </row>
    <row r="43" spans="2:12" ht="15" thickBot="1">
      <c r="B43" s="3" t="s">
        <v>618</v>
      </c>
      <c r="C43" s="5" t="s">
        <v>227</v>
      </c>
      <c r="D43" s="3">
        <v>40</v>
      </c>
      <c r="E43" s="3">
        <v>40</v>
      </c>
      <c r="F43" s="3">
        <v>40</v>
      </c>
      <c r="G43" s="33">
        <v>0.25</v>
      </c>
      <c r="H43" s="3"/>
      <c r="I43" s="3"/>
    </row>
    <row r="44" spans="2:12" ht="15" thickBot="1">
      <c r="B44" s="1" t="s">
        <v>229</v>
      </c>
      <c r="C44" s="2" t="s">
        <v>216</v>
      </c>
      <c r="D44" s="1"/>
      <c r="E44" s="1"/>
      <c r="F44" s="1"/>
      <c r="G44" s="1"/>
      <c r="H44" s="1"/>
      <c r="I44" s="1"/>
    </row>
    <row r="45" spans="2:12" ht="15" thickBot="1">
      <c r="B45" s="3" t="s">
        <v>679</v>
      </c>
      <c r="C45" s="3" t="s">
        <v>666</v>
      </c>
      <c r="D45" s="34">
        <v>120336</v>
      </c>
      <c r="E45" s="34">
        <v>120336</v>
      </c>
      <c r="F45" s="34">
        <v>120336</v>
      </c>
      <c r="G45" s="33">
        <v>0.3</v>
      </c>
      <c r="H45" s="3"/>
      <c r="I45" s="3"/>
    </row>
    <row r="46" spans="2:12" ht="15" thickBot="1">
      <c r="B46" s="3" t="s">
        <v>681</v>
      </c>
      <c r="C46" s="3" t="s">
        <v>666</v>
      </c>
      <c r="D46" s="34">
        <v>109872</v>
      </c>
      <c r="E46" s="34">
        <v>109872</v>
      </c>
      <c r="F46" s="34">
        <v>109872</v>
      </c>
      <c r="G46" s="33">
        <v>0.3</v>
      </c>
      <c r="H46" s="3"/>
      <c r="I46" s="3"/>
    </row>
    <row r="47" spans="2:12" ht="15" thickBot="1">
      <c r="B47" s="36" t="s">
        <v>236</v>
      </c>
      <c r="C47" s="3"/>
      <c r="D47" s="54">
        <v>0.38</v>
      </c>
      <c r="E47" s="54">
        <v>0.38</v>
      </c>
      <c r="F47" s="54">
        <v>0.38</v>
      </c>
      <c r="G47" s="33"/>
      <c r="H47" s="3"/>
      <c r="I47" s="3"/>
    </row>
    <row r="48" spans="2:12" ht="15" thickBot="1">
      <c r="B48" s="36" t="s">
        <v>237</v>
      </c>
      <c r="C48" s="3"/>
      <c r="D48" s="33">
        <v>0.63</v>
      </c>
      <c r="E48" s="33">
        <v>0.63</v>
      </c>
      <c r="F48" s="33">
        <v>0.63</v>
      </c>
      <c r="G48" s="33"/>
      <c r="H48" s="3"/>
      <c r="I48" s="3"/>
    </row>
    <row r="49" spans="2:9" ht="15" thickBot="1">
      <c r="B49" s="3" t="s">
        <v>433</v>
      </c>
      <c r="C49" s="3"/>
      <c r="D49" s="81">
        <v>0.8</v>
      </c>
      <c r="E49" s="81">
        <v>0.8</v>
      </c>
      <c r="F49" s="81">
        <v>0.8</v>
      </c>
      <c r="G49" s="33">
        <v>0.95</v>
      </c>
      <c r="H49" s="3"/>
      <c r="I49" s="3"/>
    </row>
  </sheetData>
  <sheetProtection algorithmName="SHA-512" hashValue="rtzLx/SvIAl9a6o34rG5f5FBXxMh9Uwu49e5a6RQAxfIJZj9x5y7UfpVBjr+bxu8bnNCTPCwGDYn+8sA17LukA==" saltValue="jH63XC8npPZeBte/vUJmZQ==" spinCount="100000" sheet="1" objects="1" scenarios="1"/>
  <mergeCells count="1">
    <mergeCell ref="G2:L3"/>
  </mergeCells>
  <conditionalFormatting sqref="G29:G33 G23:G27">
    <cfRule type="colorScale" priority="2">
      <colorScale>
        <cfvo type="num" val="0"/>
        <cfvo type="num" val="0.5"/>
        <color theme="0"/>
        <color theme="5"/>
      </colorScale>
    </cfRule>
  </conditionalFormatting>
  <conditionalFormatting sqref="G45:G49 G39:G43">
    <cfRule type="colorScale" priority="1">
      <colorScale>
        <cfvo type="num" val="0"/>
        <cfvo type="num" val="0.5"/>
        <color theme="0"/>
        <color theme="5"/>
      </colorScale>
    </cfRule>
  </conditionalFormatting>
  <conditionalFormatting sqref="W11:W12 G13:G17 G7:G11">
    <cfRule type="colorScale" priority="3">
      <colorScale>
        <cfvo type="num" val="0"/>
        <cfvo type="num" val="0.5"/>
        <color theme="0"/>
        <color theme="5"/>
      </colorScale>
    </cfRule>
  </conditionalFormatting>
  <conditionalFormatting sqref="W11:W12">
    <cfRule type="colorScale" priority="4">
      <colorScale>
        <cfvo type="min"/>
        <cfvo type="max"/>
        <color theme="0"/>
        <color theme="5"/>
      </colorScale>
    </cfRule>
  </conditionalFormatting>
  <hyperlinks>
    <hyperlink ref="A1" location="Inhalt!A1" display="Zum Inhalt" xr:uid="{03B7554A-62DC-47A7-B2E0-0E016BAC9362}"/>
  </hyperlinks>
  <pageMargins left="0.7" right="0.7" top="0.78740157499999996" bottom="0.78740157499999996" header="0.3" footer="0.3"/>
  <pageSetup paperSize="9" orientation="portrait"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0E757-4A10-478E-91A0-9B3FA5AD10FD}">
  <sheetPr codeName="Tabelle46"/>
  <dimension ref="A1:AA97"/>
  <sheetViews>
    <sheetView zoomScaleNormal="100" workbookViewId="0"/>
  </sheetViews>
  <sheetFormatPr baseColWidth="10" defaultColWidth="11.44140625" defaultRowHeight="14.4"/>
  <cols>
    <col min="2" max="2" width="29.6640625" bestFit="1" customWidth="1"/>
    <col min="15" max="15" width="24.44140625" bestFit="1" customWidth="1"/>
  </cols>
  <sheetData>
    <row r="1" spans="1:27" ht="28.2" thickBot="1">
      <c r="A1" s="99" t="s">
        <v>143</v>
      </c>
    </row>
    <row r="2" spans="1:27" ht="22.95" customHeight="1">
      <c r="G2" s="142" t="s">
        <v>638</v>
      </c>
      <c r="H2" s="143"/>
      <c r="I2" s="143"/>
      <c r="J2" s="143"/>
      <c r="K2" s="143"/>
      <c r="L2" s="143"/>
      <c r="M2" s="144"/>
    </row>
    <row r="3" spans="1:27" ht="22.95" customHeight="1" thickBot="1">
      <c r="B3" s="4" t="s">
        <v>213</v>
      </c>
      <c r="C3" s="4" t="s">
        <v>46</v>
      </c>
      <c r="G3" s="145"/>
      <c r="H3" s="146"/>
      <c r="I3" s="146"/>
      <c r="J3" s="146"/>
      <c r="K3" s="146"/>
      <c r="L3" s="146"/>
      <c r="M3" s="147"/>
    </row>
    <row r="4" spans="1:27">
      <c r="B4" s="4" t="s">
        <v>214</v>
      </c>
      <c r="C4" s="4">
        <v>2023</v>
      </c>
    </row>
    <row r="5" spans="1:27" ht="15" thickBot="1">
      <c r="B5" s="1" t="s">
        <v>215</v>
      </c>
      <c r="C5" s="2" t="s">
        <v>216</v>
      </c>
      <c r="D5" s="1"/>
      <c r="E5" s="1"/>
      <c r="F5" s="1"/>
      <c r="G5" s="1"/>
      <c r="H5" s="1"/>
      <c r="I5" s="1"/>
      <c r="J5" s="1"/>
      <c r="K5" s="1" t="s">
        <v>217</v>
      </c>
      <c r="L5" s="1" t="s">
        <v>147</v>
      </c>
      <c r="M5" s="1" t="s">
        <v>148</v>
      </c>
      <c r="O5" s="4" t="s">
        <v>595</v>
      </c>
    </row>
    <row r="6" spans="1:27" ht="15" thickBot="1">
      <c r="B6" s="3" t="s">
        <v>220</v>
      </c>
      <c r="C6" s="30" t="s">
        <v>221</v>
      </c>
      <c r="D6" s="34">
        <v>10</v>
      </c>
      <c r="E6" s="34">
        <v>50</v>
      </c>
      <c r="F6" s="34">
        <v>100</v>
      </c>
      <c r="G6" s="34">
        <v>250</v>
      </c>
      <c r="H6" s="34">
        <v>1000</v>
      </c>
      <c r="I6" s="34">
        <v>5000</v>
      </c>
      <c r="J6" s="34">
        <v>25000</v>
      </c>
      <c r="K6" s="3"/>
      <c r="L6" s="3"/>
      <c r="M6" s="3" t="s">
        <v>381</v>
      </c>
      <c r="O6" s="4" t="s">
        <v>639</v>
      </c>
      <c r="P6" s="4" t="s">
        <v>640</v>
      </c>
      <c r="Q6" s="4" t="s">
        <v>641</v>
      </c>
      <c r="R6" s="4" t="s">
        <v>642</v>
      </c>
    </row>
    <row r="7" spans="1:27" ht="15" thickBot="1">
      <c r="B7" s="3" t="s">
        <v>643</v>
      </c>
      <c r="C7" s="5"/>
      <c r="D7" s="3"/>
      <c r="E7" s="3"/>
      <c r="F7" s="3"/>
      <c r="G7" s="3"/>
      <c r="H7" s="3"/>
      <c r="I7" s="3"/>
      <c r="J7" s="3"/>
      <c r="K7" s="33"/>
      <c r="L7" s="3"/>
      <c r="M7" s="3"/>
      <c r="O7" s="4" t="s">
        <v>629</v>
      </c>
      <c r="P7" s="12" t="s">
        <v>644</v>
      </c>
      <c r="Q7" s="12"/>
      <c r="R7" s="12"/>
    </row>
    <row r="8" spans="1:27" ht="15" thickBot="1">
      <c r="B8" s="36" t="s">
        <v>645</v>
      </c>
      <c r="C8" s="5" t="s">
        <v>223</v>
      </c>
      <c r="D8" s="3">
        <v>12.3</v>
      </c>
      <c r="E8" s="3">
        <v>12.3</v>
      </c>
      <c r="F8" s="3">
        <v>12.3</v>
      </c>
      <c r="G8" s="3">
        <v>12.3</v>
      </c>
      <c r="H8" s="3">
        <v>12.3</v>
      </c>
      <c r="I8" s="3">
        <v>12.3</v>
      </c>
      <c r="J8" s="3">
        <v>12.3</v>
      </c>
      <c r="K8" s="33">
        <v>0.45</v>
      </c>
      <c r="L8" s="3" t="s">
        <v>522</v>
      </c>
      <c r="M8" s="3" t="s">
        <v>444</v>
      </c>
      <c r="O8" s="12" t="s">
        <v>225</v>
      </c>
      <c r="P8" s="12">
        <v>6.1108000000000002</v>
      </c>
      <c r="Q8" s="12">
        <v>10.441000000000001</v>
      </c>
      <c r="R8" s="12">
        <v>14.772</v>
      </c>
    </row>
    <row r="9" spans="1:27" ht="15" thickBot="1">
      <c r="B9" s="36" t="s">
        <v>625</v>
      </c>
      <c r="C9" s="5" t="s">
        <v>223</v>
      </c>
      <c r="D9" s="37">
        <v>11.3</v>
      </c>
      <c r="E9" s="37">
        <v>11.3</v>
      </c>
      <c r="F9" s="37">
        <v>11.3</v>
      </c>
      <c r="G9" s="37">
        <v>11.3</v>
      </c>
      <c r="H9" s="37">
        <v>11.3</v>
      </c>
      <c r="I9" s="37">
        <v>11.3</v>
      </c>
      <c r="J9" s="37">
        <v>11.3</v>
      </c>
      <c r="K9" s="33">
        <v>0.45</v>
      </c>
      <c r="L9" s="3" t="s">
        <v>522</v>
      </c>
      <c r="M9" s="3" t="s">
        <v>444</v>
      </c>
      <c r="O9" s="12" t="s">
        <v>228</v>
      </c>
      <c r="P9" s="12">
        <v>3766.4</v>
      </c>
      <c r="Q9" s="12">
        <v>7331.2</v>
      </c>
      <c r="R9" s="12">
        <v>10896</v>
      </c>
    </row>
    <row r="10" spans="1:27" ht="15" thickBot="1">
      <c r="B10" s="36" t="s">
        <v>646</v>
      </c>
      <c r="C10" s="5" t="s">
        <v>223</v>
      </c>
      <c r="D10" s="3">
        <v>10</v>
      </c>
      <c r="E10" s="3">
        <v>10</v>
      </c>
      <c r="F10" s="3">
        <v>10</v>
      </c>
      <c r="G10" s="3">
        <v>10</v>
      </c>
      <c r="H10" s="3">
        <v>10</v>
      </c>
      <c r="I10" s="3">
        <v>10</v>
      </c>
      <c r="J10" s="3">
        <v>10</v>
      </c>
      <c r="K10" s="33">
        <v>0.45</v>
      </c>
      <c r="L10" s="3" t="s">
        <v>522</v>
      </c>
      <c r="M10" s="3" t="s">
        <v>444</v>
      </c>
      <c r="O10" s="4" t="s">
        <v>604</v>
      </c>
      <c r="P10" s="12" t="s">
        <v>647</v>
      </c>
      <c r="Q10" s="12"/>
      <c r="R10" s="12"/>
    </row>
    <row r="11" spans="1:27" ht="15" thickBot="1">
      <c r="B11" s="3" t="s">
        <v>648</v>
      </c>
      <c r="C11" s="5" t="s">
        <v>223</v>
      </c>
      <c r="D11" s="3">
        <v>4.5</v>
      </c>
      <c r="E11" s="3">
        <v>4.5</v>
      </c>
      <c r="F11" s="3">
        <v>4.5</v>
      </c>
      <c r="G11" s="3">
        <v>4.5</v>
      </c>
      <c r="H11" s="3">
        <v>4.5</v>
      </c>
      <c r="I11" s="3">
        <v>4.5</v>
      </c>
      <c r="J11" s="3">
        <v>4.5</v>
      </c>
      <c r="K11" s="33">
        <v>0.55000000000000004</v>
      </c>
      <c r="L11" s="3" t="s">
        <v>305</v>
      </c>
      <c r="M11" s="3" t="s">
        <v>224</v>
      </c>
      <c r="O11" s="12" t="s">
        <v>225</v>
      </c>
      <c r="P11" s="12">
        <v>215.5</v>
      </c>
      <c r="Q11" s="12">
        <v>306.02</v>
      </c>
      <c r="R11" s="12">
        <v>416.92</v>
      </c>
      <c r="AA11" s="44"/>
    </row>
    <row r="12" spans="1:27" ht="15" thickBot="1">
      <c r="B12" s="3" t="s">
        <v>649</v>
      </c>
      <c r="C12" s="5" t="s">
        <v>223</v>
      </c>
      <c r="D12" s="3">
        <v>1.8</v>
      </c>
      <c r="E12" s="3">
        <v>0.5</v>
      </c>
      <c r="F12" s="3">
        <v>0.5</v>
      </c>
      <c r="G12" s="3">
        <v>0.5</v>
      </c>
      <c r="H12" s="3">
        <v>0.5</v>
      </c>
      <c r="I12" s="3">
        <v>0.5</v>
      </c>
      <c r="J12" s="3">
        <v>0.5</v>
      </c>
      <c r="K12" s="33">
        <v>0.7</v>
      </c>
      <c r="L12" s="3" t="s">
        <v>305</v>
      </c>
      <c r="M12" s="3"/>
      <c r="O12" s="12" t="s">
        <v>228</v>
      </c>
      <c r="P12" s="12">
        <v>0.21379999999999999</v>
      </c>
      <c r="Q12" s="12">
        <v>0.21379999999999999</v>
      </c>
      <c r="R12" s="12">
        <v>0.21379999999999999</v>
      </c>
      <c r="AA12" s="44"/>
    </row>
    <row r="13" spans="1:27" ht="15" thickBot="1">
      <c r="B13" s="3" t="s">
        <v>600</v>
      </c>
      <c r="C13" s="5" t="s">
        <v>227</v>
      </c>
      <c r="D13" s="3">
        <v>1</v>
      </c>
      <c r="E13" s="3">
        <v>1</v>
      </c>
      <c r="F13" s="3">
        <v>1</v>
      </c>
      <c r="G13" s="3">
        <v>1</v>
      </c>
      <c r="H13" s="3">
        <v>1</v>
      </c>
      <c r="I13" s="3">
        <v>1</v>
      </c>
      <c r="J13" s="3">
        <v>1</v>
      </c>
      <c r="K13" s="33">
        <v>0.5</v>
      </c>
      <c r="L13" s="3" t="s">
        <v>305</v>
      </c>
      <c r="M13" s="3"/>
    </row>
    <row r="14" spans="1:27" ht="15" thickBot="1">
      <c r="B14" s="3" t="s">
        <v>618</v>
      </c>
      <c r="C14" s="5" t="s">
        <v>227</v>
      </c>
      <c r="D14" s="3">
        <v>40</v>
      </c>
      <c r="E14" s="3">
        <v>40</v>
      </c>
      <c r="F14" s="3">
        <v>40</v>
      </c>
      <c r="G14" s="3">
        <v>40</v>
      </c>
      <c r="H14" s="3">
        <v>40</v>
      </c>
      <c r="I14" s="3">
        <v>40</v>
      </c>
      <c r="J14" s="3">
        <v>40</v>
      </c>
      <c r="K14" s="33">
        <v>0.25</v>
      </c>
      <c r="L14" s="3" t="s">
        <v>151</v>
      </c>
      <c r="M14" s="3" t="s">
        <v>250</v>
      </c>
      <c r="O14" s="4" t="s">
        <v>234</v>
      </c>
      <c r="P14" s="12" t="s">
        <v>306</v>
      </c>
    </row>
    <row r="15" spans="1:27" ht="15" thickBot="1">
      <c r="B15" s="1" t="s">
        <v>229</v>
      </c>
      <c r="C15" s="2" t="s">
        <v>216</v>
      </c>
      <c r="D15" s="1"/>
      <c r="E15" s="1"/>
      <c r="F15" s="1"/>
      <c r="G15" s="1"/>
      <c r="H15" s="1"/>
      <c r="I15" s="1"/>
      <c r="J15" s="1"/>
      <c r="K15" s="1"/>
      <c r="L15" s="1"/>
      <c r="M15" s="1"/>
      <c r="O15" s="4"/>
      <c r="P15" s="12"/>
    </row>
    <row r="16" spans="1:27" ht="15" thickBot="1">
      <c r="B16" s="3" t="s">
        <v>620</v>
      </c>
      <c r="C16" s="3"/>
      <c r="D16" s="13"/>
      <c r="E16" s="13"/>
      <c r="F16" s="13"/>
      <c r="G16" s="13"/>
      <c r="H16" s="13"/>
      <c r="I16" s="13"/>
      <c r="J16" s="13"/>
      <c r="K16" s="33"/>
      <c r="L16" s="3" t="s">
        <v>650</v>
      </c>
      <c r="M16" s="3" t="s">
        <v>651</v>
      </c>
      <c r="O16" s="4" t="s">
        <v>148</v>
      </c>
    </row>
    <row r="17" spans="2:16" ht="15" thickBot="1">
      <c r="B17" s="36" t="s">
        <v>645</v>
      </c>
      <c r="C17" s="3" t="s">
        <v>623</v>
      </c>
      <c r="D17" s="41">
        <v>586</v>
      </c>
      <c r="E17" s="41">
        <v>586</v>
      </c>
      <c r="F17" s="41">
        <v>586</v>
      </c>
      <c r="G17" s="41">
        <v>586</v>
      </c>
      <c r="H17" s="41">
        <v>586</v>
      </c>
      <c r="I17" s="41">
        <v>586</v>
      </c>
      <c r="J17" s="41">
        <v>586</v>
      </c>
      <c r="K17" s="33">
        <v>0.4</v>
      </c>
      <c r="L17" s="3"/>
      <c r="M17" s="3"/>
      <c r="O17" s="12" t="s">
        <v>240</v>
      </c>
      <c r="P17" s="12" t="s">
        <v>652</v>
      </c>
    </row>
    <row r="18" spans="2:16" ht="15" customHeight="1" thickBot="1">
      <c r="B18" s="36" t="s">
        <v>625</v>
      </c>
      <c r="C18" s="3" t="s">
        <v>623</v>
      </c>
      <c r="D18" s="41">
        <v>829</v>
      </c>
      <c r="E18" s="41">
        <v>829</v>
      </c>
      <c r="F18" s="41">
        <v>829</v>
      </c>
      <c r="G18" s="41">
        <v>829</v>
      </c>
      <c r="H18" s="41">
        <v>829</v>
      </c>
      <c r="I18" s="41">
        <v>829</v>
      </c>
      <c r="J18" s="41">
        <v>829</v>
      </c>
      <c r="K18" s="33">
        <v>0.4</v>
      </c>
      <c r="L18" s="3"/>
      <c r="M18" s="3"/>
      <c r="O18" s="12" t="s">
        <v>244</v>
      </c>
      <c r="P18" s="12" t="s">
        <v>653</v>
      </c>
    </row>
    <row r="19" spans="2:16" ht="15" thickBot="1">
      <c r="B19" s="36" t="s">
        <v>646</v>
      </c>
      <c r="C19" s="3" t="s">
        <v>623</v>
      </c>
      <c r="D19" s="41">
        <v>1071</v>
      </c>
      <c r="E19" s="41">
        <v>1071</v>
      </c>
      <c r="F19" s="41">
        <v>1071</v>
      </c>
      <c r="G19" s="41">
        <v>1071</v>
      </c>
      <c r="H19" s="41">
        <v>1071</v>
      </c>
      <c r="I19" s="41">
        <v>1071</v>
      </c>
      <c r="J19" s="41">
        <v>1071</v>
      </c>
      <c r="K19" s="33">
        <v>0.4</v>
      </c>
      <c r="L19" s="3"/>
      <c r="M19" s="3"/>
      <c r="O19" s="12" t="s">
        <v>224</v>
      </c>
      <c r="P19" s="12" t="s">
        <v>655</v>
      </c>
    </row>
    <row r="20" spans="2:16" ht="15" thickBot="1">
      <c r="B20" s="3" t="s">
        <v>629</v>
      </c>
      <c r="C20" s="3"/>
      <c r="D20" s="41"/>
      <c r="E20" s="41"/>
      <c r="F20" s="41"/>
      <c r="G20" s="41"/>
      <c r="H20" s="41"/>
      <c r="I20" s="41"/>
      <c r="J20" s="41"/>
      <c r="K20" s="33"/>
      <c r="L20" s="3" t="s">
        <v>656</v>
      </c>
      <c r="M20" s="3" t="s">
        <v>657</v>
      </c>
      <c r="O20" s="12" t="s">
        <v>250</v>
      </c>
      <c r="P20" s="12" t="s">
        <v>658</v>
      </c>
    </row>
    <row r="21" spans="2:16" ht="15" thickBot="1">
      <c r="B21" s="36" t="s">
        <v>645</v>
      </c>
      <c r="C21" s="3" t="s">
        <v>630</v>
      </c>
      <c r="D21" s="41">
        <v>3820</v>
      </c>
      <c r="E21" s="41">
        <v>4086</v>
      </c>
      <c r="F21" s="41">
        <v>4371</v>
      </c>
      <c r="G21" s="41"/>
      <c r="H21" s="41"/>
      <c r="I21" s="41"/>
      <c r="J21" s="41"/>
      <c r="K21" s="33">
        <v>0.4</v>
      </c>
      <c r="L21" s="3"/>
      <c r="M21" s="3"/>
      <c r="O21" s="12" t="s">
        <v>252</v>
      </c>
      <c r="P21" s="12" t="s">
        <v>659</v>
      </c>
    </row>
    <row r="22" spans="2:16" ht="15" thickBot="1">
      <c r="B22" s="36" t="s">
        <v>625</v>
      </c>
      <c r="C22" s="3" t="s">
        <v>630</v>
      </c>
      <c r="D22" s="41">
        <v>7422</v>
      </c>
      <c r="E22" s="41">
        <v>7877</v>
      </c>
      <c r="F22" s="41">
        <v>8365</v>
      </c>
      <c r="G22" s="41"/>
      <c r="H22" s="41"/>
      <c r="I22" s="41"/>
      <c r="J22" s="41"/>
      <c r="K22" s="33">
        <v>0.4</v>
      </c>
      <c r="L22" s="3"/>
      <c r="M22" s="3"/>
      <c r="O22" s="12" t="s">
        <v>249</v>
      </c>
      <c r="P22" s="12" t="s">
        <v>682</v>
      </c>
    </row>
    <row r="23" spans="2:16" ht="15" thickBot="1">
      <c r="B23" s="36" t="s">
        <v>646</v>
      </c>
      <c r="C23" s="3" t="s">
        <v>630</v>
      </c>
      <c r="D23" s="41">
        <v>11025</v>
      </c>
      <c r="E23" s="41">
        <v>11668</v>
      </c>
      <c r="F23" s="41">
        <v>12358</v>
      </c>
      <c r="G23" s="41"/>
      <c r="H23" s="41"/>
      <c r="I23" s="41"/>
      <c r="J23" s="41"/>
      <c r="K23" s="33">
        <v>0.4</v>
      </c>
      <c r="L23" s="3"/>
      <c r="M23" s="3"/>
      <c r="O23" s="12" t="s">
        <v>243</v>
      </c>
      <c r="P23" s="12" t="s">
        <v>661</v>
      </c>
    </row>
    <row r="24" spans="2:16" ht="15" thickBot="1">
      <c r="B24" s="3" t="s">
        <v>604</v>
      </c>
      <c r="C24" s="3"/>
      <c r="D24" s="41"/>
      <c r="E24" s="41"/>
      <c r="F24" s="41"/>
      <c r="G24" s="41"/>
      <c r="H24" s="41"/>
      <c r="I24" s="41"/>
      <c r="J24" s="41"/>
      <c r="K24" s="33"/>
      <c r="L24" s="3" t="s">
        <v>656</v>
      </c>
      <c r="M24" s="3" t="s">
        <v>662</v>
      </c>
      <c r="O24" s="12" t="s">
        <v>376</v>
      </c>
      <c r="P24" s="12" t="s">
        <v>663</v>
      </c>
    </row>
    <row r="25" spans="2:16" ht="15" thickBot="1">
      <c r="B25" s="36" t="s">
        <v>645</v>
      </c>
      <c r="C25" s="3" t="s">
        <v>605</v>
      </c>
      <c r="D25" s="41"/>
      <c r="E25" s="41">
        <v>549</v>
      </c>
      <c r="F25" s="41">
        <v>589</v>
      </c>
      <c r="G25" s="41">
        <v>661</v>
      </c>
      <c r="H25" s="41">
        <v>844</v>
      </c>
      <c r="I25" s="41">
        <v>1258</v>
      </c>
      <c r="J25" s="41">
        <v>2095</v>
      </c>
      <c r="K25" s="33">
        <v>0.4</v>
      </c>
      <c r="L25" s="3"/>
      <c r="M25" s="3"/>
      <c r="O25" s="12" t="s">
        <v>381</v>
      </c>
      <c r="P25" s="12" t="s">
        <v>683</v>
      </c>
    </row>
    <row r="26" spans="2:16" ht="15" thickBot="1">
      <c r="B26" s="36" t="s">
        <v>625</v>
      </c>
      <c r="C26" s="3" t="s">
        <v>605</v>
      </c>
      <c r="D26" s="41"/>
      <c r="E26" s="41">
        <v>780</v>
      </c>
      <c r="F26" s="41">
        <v>836</v>
      </c>
      <c r="G26" s="41">
        <v>938</v>
      </c>
      <c r="H26" s="41">
        <v>1198</v>
      </c>
      <c r="I26" s="41">
        <v>1786</v>
      </c>
      <c r="J26" s="41">
        <v>2975</v>
      </c>
      <c r="K26" s="33">
        <v>0.4</v>
      </c>
      <c r="L26" s="3"/>
      <c r="M26" s="3"/>
      <c r="O26" s="12" t="s">
        <v>378</v>
      </c>
      <c r="P26" s="12" t="s">
        <v>664</v>
      </c>
    </row>
    <row r="27" spans="2:16" ht="15" thickBot="1">
      <c r="B27" s="36" t="s">
        <v>646</v>
      </c>
      <c r="C27" s="3" t="s">
        <v>605</v>
      </c>
      <c r="D27" s="41"/>
      <c r="E27" s="41">
        <v>1060</v>
      </c>
      <c r="F27" s="41">
        <v>1136</v>
      </c>
      <c r="G27" s="41">
        <v>1275</v>
      </c>
      <c r="H27" s="41">
        <v>1628</v>
      </c>
      <c r="I27" s="41">
        <v>2428</v>
      </c>
      <c r="J27" s="41">
        <v>4043</v>
      </c>
      <c r="K27" s="33">
        <v>0.4</v>
      </c>
      <c r="L27" s="3"/>
      <c r="M27" s="3"/>
    </row>
    <row r="28" spans="2:16" ht="15" thickBot="1">
      <c r="B28" s="1" t="s">
        <v>246</v>
      </c>
      <c r="C28" s="2" t="s">
        <v>216</v>
      </c>
      <c r="D28" s="1"/>
      <c r="E28" s="1"/>
      <c r="F28" s="1"/>
      <c r="G28" s="1"/>
      <c r="H28" s="1"/>
      <c r="I28" s="1"/>
      <c r="J28" s="1"/>
      <c r="K28" s="1"/>
      <c r="L28" s="1"/>
      <c r="M28" s="1"/>
      <c r="O28" s="4" t="s">
        <v>147</v>
      </c>
    </row>
    <row r="29" spans="2:16" ht="15" thickBot="1">
      <c r="B29" s="3" t="s">
        <v>665</v>
      </c>
      <c r="C29" s="3" t="s">
        <v>666</v>
      </c>
      <c r="D29" s="41">
        <v>277296</v>
      </c>
      <c r="E29" s="41">
        <v>277296</v>
      </c>
      <c r="F29" s="41">
        <v>277296</v>
      </c>
      <c r="G29" s="41">
        <v>277296</v>
      </c>
      <c r="H29" s="41">
        <v>104640</v>
      </c>
      <c r="I29" s="41">
        <v>104640</v>
      </c>
      <c r="J29" s="41">
        <v>104640</v>
      </c>
      <c r="K29" s="33">
        <v>0.2</v>
      </c>
      <c r="L29" s="3" t="s">
        <v>305</v>
      </c>
      <c r="M29" s="3"/>
      <c r="O29" s="12" t="s">
        <v>151</v>
      </c>
      <c r="P29" s="12" t="s">
        <v>185</v>
      </c>
    </row>
    <row r="30" spans="2:16" ht="15" thickBot="1">
      <c r="B30" s="3" t="s">
        <v>667</v>
      </c>
      <c r="C30" s="3" t="s">
        <v>666</v>
      </c>
      <c r="D30" s="41">
        <v>251136</v>
      </c>
      <c r="E30" s="41">
        <v>251136</v>
      </c>
      <c r="F30" s="41">
        <v>251136</v>
      </c>
      <c r="G30" s="41">
        <v>251136</v>
      </c>
      <c r="H30" s="41">
        <v>94176</v>
      </c>
      <c r="I30" s="41">
        <v>94176</v>
      </c>
      <c r="J30" s="41">
        <v>94176</v>
      </c>
      <c r="K30" s="33">
        <v>0.2</v>
      </c>
      <c r="L30" s="3" t="s">
        <v>305</v>
      </c>
      <c r="M30" s="3"/>
      <c r="O30" s="12" t="s">
        <v>184</v>
      </c>
      <c r="P30" s="12" t="s">
        <v>607</v>
      </c>
    </row>
    <row r="31" spans="2:16" ht="15" thickBot="1">
      <c r="B31" s="36" t="s">
        <v>668</v>
      </c>
      <c r="C31" s="3" t="s">
        <v>223</v>
      </c>
      <c r="D31" s="54">
        <v>0.73</v>
      </c>
      <c r="E31" s="54">
        <v>0.73</v>
      </c>
      <c r="F31" s="54">
        <v>0.73</v>
      </c>
      <c r="G31" s="54">
        <v>0.73</v>
      </c>
      <c r="H31" s="54">
        <v>0.73</v>
      </c>
      <c r="I31" s="54">
        <v>0.73</v>
      </c>
      <c r="J31" s="54">
        <v>0.73</v>
      </c>
      <c r="K31" s="3"/>
      <c r="L31" s="3" t="s">
        <v>305</v>
      </c>
      <c r="M31" s="3" t="s">
        <v>249</v>
      </c>
      <c r="O31" s="12" t="s">
        <v>186</v>
      </c>
      <c r="P31" s="12" t="s">
        <v>636</v>
      </c>
    </row>
    <row r="32" spans="2:16" ht="15" thickBot="1">
      <c r="B32" s="36" t="s">
        <v>237</v>
      </c>
      <c r="C32" s="3" t="s">
        <v>223</v>
      </c>
      <c r="D32" s="33">
        <v>0.27</v>
      </c>
      <c r="E32" s="33">
        <v>0.27</v>
      </c>
      <c r="F32" s="33">
        <v>0.27</v>
      </c>
      <c r="G32" s="33">
        <v>0.27</v>
      </c>
      <c r="H32" s="33">
        <v>0.27</v>
      </c>
      <c r="I32" s="33">
        <v>0.27</v>
      </c>
      <c r="J32" s="33">
        <v>0.27</v>
      </c>
      <c r="K32" s="33"/>
      <c r="L32" s="3" t="s">
        <v>305</v>
      </c>
      <c r="M32" s="3" t="s">
        <v>249</v>
      </c>
      <c r="O32" s="12" t="s">
        <v>188</v>
      </c>
      <c r="P32" s="12" t="s">
        <v>669</v>
      </c>
    </row>
    <row r="33" spans="2:16" ht="15" thickBot="1">
      <c r="B33" s="36" t="s">
        <v>433</v>
      </c>
      <c r="C33" s="3" t="s">
        <v>458</v>
      </c>
      <c r="D33" s="13">
        <v>2</v>
      </c>
      <c r="E33" s="13">
        <v>2</v>
      </c>
      <c r="F33" s="13">
        <v>2</v>
      </c>
      <c r="G33" s="13">
        <v>2</v>
      </c>
      <c r="H33" s="13">
        <v>2</v>
      </c>
      <c r="I33" s="13">
        <v>2</v>
      </c>
      <c r="J33" s="13">
        <v>2</v>
      </c>
      <c r="K33" s="33">
        <v>0.3</v>
      </c>
      <c r="L33" s="3" t="s">
        <v>305</v>
      </c>
      <c r="M33" s="3"/>
      <c r="O33" s="12" t="s">
        <v>192</v>
      </c>
      <c r="P33" s="12" t="s">
        <v>670</v>
      </c>
    </row>
    <row r="34" spans="2:16">
      <c r="O34" s="12" t="s">
        <v>172</v>
      </c>
      <c r="P34" s="12" t="s">
        <v>671</v>
      </c>
    </row>
    <row r="35" spans="2:16">
      <c r="O35" s="12" t="s">
        <v>179</v>
      </c>
      <c r="P35" s="12" t="s">
        <v>672</v>
      </c>
    </row>
    <row r="36" spans="2:16">
      <c r="B36" s="4" t="s">
        <v>214</v>
      </c>
      <c r="C36" s="4">
        <v>2030</v>
      </c>
    </row>
    <row r="37" spans="2:16" ht="15" thickBot="1">
      <c r="B37" s="1" t="s">
        <v>215</v>
      </c>
      <c r="C37" s="2" t="s">
        <v>216</v>
      </c>
      <c r="D37" s="1"/>
      <c r="E37" s="1"/>
      <c r="F37" s="1"/>
      <c r="G37" s="1"/>
      <c r="H37" s="1"/>
      <c r="I37" s="1"/>
      <c r="J37" s="1"/>
      <c r="K37" s="1" t="s">
        <v>217</v>
      </c>
      <c r="L37" s="1" t="s">
        <v>147</v>
      </c>
      <c r="M37" s="1" t="s">
        <v>148</v>
      </c>
    </row>
    <row r="38" spans="2:16" ht="15" thickBot="1">
      <c r="B38" s="3" t="s">
        <v>220</v>
      </c>
      <c r="C38" s="30" t="s">
        <v>221</v>
      </c>
      <c r="D38" s="34">
        <v>10</v>
      </c>
      <c r="E38" s="34">
        <v>50</v>
      </c>
      <c r="F38" s="34">
        <v>100</v>
      </c>
      <c r="G38" s="34">
        <v>250</v>
      </c>
      <c r="H38" s="34">
        <v>1000</v>
      </c>
      <c r="I38" s="34">
        <v>5000</v>
      </c>
      <c r="J38" s="34">
        <v>25000</v>
      </c>
      <c r="K38" s="3"/>
      <c r="L38" s="3"/>
      <c r="M38" s="3"/>
    </row>
    <row r="39" spans="2:16" ht="15" thickBot="1">
      <c r="B39" s="3" t="s">
        <v>643</v>
      </c>
      <c r="C39" s="5"/>
      <c r="D39" s="3"/>
      <c r="E39" s="3"/>
      <c r="F39" s="3"/>
      <c r="G39" s="3"/>
      <c r="H39" s="3"/>
      <c r="I39" s="3"/>
      <c r="J39" s="3"/>
      <c r="K39" s="33"/>
      <c r="L39" s="3"/>
      <c r="M39" s="3"/>
    </row>
    <row r="40" spans="2:16" ht="15" thickBot="1">
      <c r="B40" s="36" t="s">
        <v>645</v>
      </c>
      <c r="C40" s="5" t="s">
        <v>223</v>
      </c>
      <c r="D40" s="3">
        <v>12.3</v>
      </c>
      <c r="E40" s="3">
        <v>12.3</v>
      </c>
      <c r="F40" s="3">
        <v>12.3</v>
      </c>
      <c r="G40" s="3">
        <v>12.3</v>
      </c>
      <c r="H40" s="3">
        <v>12.3</v>
      </c>
      <c r="I40" s="3">
        <v>12.3</v>
      </c>
      <c r="J40" s="3">
        <v>12.3</v>
      </c>
      <c r="K40" s="33">
        <v>0.45</v>
      </c>
      <c r="L40" s="3" t="s">
        <v>522</v>
      </c>
      <c r="M40" s="3" t="s">
        <v>444</v>
      </c>
      <c r="O40" s="12"/>
    </row>
    <row r="41" spans="2:16" ht="15" thickBot="1">
      <c r="B41" s="36" t="s">
        <v>625</v>
      </c>
      <c r="C41" s="5" t="s">
        <v>223</v>
      </c>
      <c r="D41" s="37">
        <v>11.3</v>
      </c>
      <c r="E41" s="37">
        <v>11.3</v>
      </c>
      <c r="F41" s="37">
        <v>11.3</v>
      </c>
      <c r="G41" s="37">
        <v>11.3</v>
      </c>
      <c r="H41" s="37">
        <v>11.3</v>
      </c>
      <c r="I41" s="37">
        <v>11.3</v>
      </c>
      <c r="J41" s="37">
        <v>11.3</v>
      </c>
      <c r="K41" s="33">
        <v>0.45</v>
      </c>
      <c r="L41" s="3" t="s">
        <v>522</v>
      </c>
      <c r="M41" s="3" t="s">
        <v>444</v>
      </c>
    </row>
    <row r="42" spans="2:16" ht="15" thickBot="1">
      <c r="B42" s="36" t="s">
        <v>646</v>
      </c>
      <c r="C42" s="5" t="s">
        <v>223</v>
      </c>
      <c r="D42" s="3">
        <v>10</v>
      </c>
      <c r="E42" s="3">
        <v>10</v>
      </c>
      <c r="F42" s="3">
        <v>10</v>
      </c>
      <c r="G42" s="3">
        <v>10</v>
      </c>
      <c r="H42" s="3">
        <v>10</v>
      </c>
      <c r="I42" s="3">
        <v>10</v>
      </c>
      <c r="J42" s="3">
        <v>10</v>
      </c>
      <c r="K42" s="33">
        <v>0.45</v>
      </c>
      <c r="L42" s="3" t="s">
        <v>522</v>
      </c>
      <c r="M42" s="3" t="s">
        <v>444</v>
      </c>
      <c r="O42" s="4"/>
      <c r="P42" s="12"/>
    </row>
    <row r="43" spans="2:16" ht="15" thickBot="1">
      <c r="B43" s="3" t="s">
        <v>648</v>
      </c>
      <c r="C43" s="5" t="s">
        <v>223</v>
      </c>
      <c r="D43" s="3">
        <v>4.5</v>
      </c>
      <c r="E43" s="3">
        <v>4.5</v>
      </c>
      <c r="F43" s="3">
        <v>4.5</v>
      </c>
      <c r="G43" s="3">
        <v>4.5</v>
      </c>
      <c r="H43" s="3">
        <v>4.5</v>
      </c>
      <c r="I43" s="3">
        <v>4.5</v>
      </c>
      <c r="J43" s="3">
        <v>4.5</v>
      </c>
      <c r="K43" s="33">
        <v>0.55000000000000004</v>
      </c>
      <c r="L43" s="3" t="s">
        <v>305</v>
      </c>
      <c r="M43" s="3" t="s">
        <v>224</v>
      </c>
      <c r="O43" s="12"/>
    </row>
    <row r="44" spans="2:16" ht="15" thickBot="1">
      <c r="B44" s="3" t="s">
        <v>649</v>
      </c>
      <c r="C44" s="5" t="s">
        <v>223</v>
      </c>
      <c r="D44" s="3">
        <v>1.8</v>
      </c>
      <c r="E44" s="3">
        <v>0.5</v>
      </c>
      <c r="F44" s="3">
        <v>0.5</v>
      </c>
      <c r="G44" s="3">
        <v>0.5</v>
      </c>
      <c r="H44" s="3">
        <v>0.5</v>
      </c>
      <c r="I44" s="3">
        <v>0.5</v>
      </c>
      <c r="J44" s="3">
        <v>0.5</v>
      </c>
      <c r="K44" s="33">
        <v>0.7</v>
      </c>
      <c r="L44" s="3" t="s">
        <v>305</v>
      </c>
      <c r="M44" s="3"/>
      <c r="O44" s="12"/>
    </row>
    <row r="45" spans="2:16" ht="15" thickBot="1">
      <c r="B45" s="3" t="s">
        <v>600</v>
      </c>
      <c r="C45" s="5" t="s">
        <v>227</v>
      </c>
      <c r="D45" s="3">
        <v>1</v>
      </c>
      <c r="E45" s="3">
        <v>1</v>
      </c>
      <c r="F45" s="3">
        <v>1</v>
      </c>
      <c r="G45" s="3">
        <v>1</v>
      </c>
      <c r="H45" s="3">
        <v>1</v>
      </c>
      <c r="I45" s="3">
        <v>1</v>
      </c>
      <c r="J45" s="3">
        <v>1</v>
      </c>
      <c r="K45" s="33">
        <v>0.5</v>
      </c>
      <c r="L45" s="3" t="s">
        <v>305</v>
      </c>
      <c r="M45" s="3"/>
    </row>
    <row r="46" spans="2:16" ht="15" thickBot="1">
      <c r="B46" s="3" t="s">
        <v>618</v>
      </c>
      <c r="C46" s="5" t="s">
        <v>227</v>
      </c>
      <c r="D46" s="3">
        <v>40</v>
      </c>
      <c r="E46" s="3">
        <v>40</v>
      </c>
      <c r="F46" s="3">
        <v>40</v>
      </c>
      <c r="G46" s="3">
        <v>40</v>
      </c>
      <c r="H46" s="3">
        <v>40</v>
      </c>
      <c r="I46" s="3">
        <v>40</v>
      </c>
      <c r="J46" s="3">
        <v>40</v>
      </c>
      <c r="K46" s="33">
        <v>0.25</v>
      </c>
      <c r="L46" s="3" t="s">
        <v>151</v>
      </c>
      <c r="M46" s="3" t="s">
        <v>250</v>
      </c>
    </row>
    <row r="47" spans="2:16" ht="15" thickBot="1">
      <c r="B47" s="1" t="s">
        <v>229</v>
      </c>
      <c r="C47" s="2" t="s">
        <v>216</v>
      </c>
      <c r="D47" s="1"/>
      <c r="E47" s="1"/>
      <c r="F47" s="1"/>
      <c r="G47" s="1"/>
      <c r="H47" s="1"/>
      <c r="I47" s="1"/>
      <c r="J47" s="1"/>
      <c r="K47" s="1"/>
      <c r="L47" s="1"/>
      <c r="M47" s="1"/>
    </row>
    <row r="48" spans="2:16" ht="15" thickBot="1">
      <c r="B48" s="3" t="s">
        <v>620</v>
      </c>
      <c r="C48" s="3"/>
      <c r="D48" s="13"/>
      <c r="E48" s="13"/>
      <c r="F48" s="13"/>
      <c r="G48" s="13"/>
      <c r="H48" s="13"/>
      <c r="I48" s="13"/>
      <c r="J48" s="13"/>
      <c r="K48" s="33"/>
      <c r="L48" s="3" t="s">
        <v>650</v>
      </c>
      <c r="M48" s="3" t="s">
        <v>651</v>
      </c>
    </row>
    <row r="49" spans="2:13" ht="15" thickBot="1">
      <c r="B49" s="36" t="s">
        <v>645</v>
      </c>
      <c r="C49" s="3" t="s">
        <v>623</v>
      </c>
      <c r="D49" s="41">
        <v>586</v>
      </c>
      <c r="E49" s="41">
        <v>586</v>
      </c>
      <c r="F49" s="41">
        <v>586</v>
      </c>
      <c r="G49" s="41">
        <v>586</v>
      </c>
      <c r="H49" s="41">
        <v>586</v>
      </c>
      <c r="I49" s="41">
        <v>586</v>
      </c>
      <c r="J49" s="41">
        <v>586</v>
      </c>
      <c r="K49" s="33">
        <v>0.5</v>
      </c>
      <c r="L49" s="3"/>
      <c r="M49" s="3"/>
    </row>
    <row r="50" spans="2:13" ht="15" thickBot="1">
      <c r="B50" s="36" t="s">
        <v>625</v>
      </c>
      <c r="C50" s="3" t="s">
        <v>623</v>
      </c>
      <c r="D50" s="41">
        <v>829</v>
      </c>
      <c r="E50" s="41">
        <v>829</v>
      </c>
      <c r="F50" s="41">
        <v>829</v>
      </c>
      <c r="G50" s="41">
        <v>829</v>
      </c>
      <c r="H50" s="41">
        <v>829</v>
      </c>
      <c r="I50" s="41">
        <v>829</v>
      </c>
      <c r="J50" s="41">
        <v>829</v>
      </c>
      <c r="K50" s="33">
        <v>0.5</v>
      </c>
      <c r="L50" s="3"/>
      <c r="M50" s="3"/>
    </row>
    <row r="51" spans="2:13" ht="15" thickBot="1">
      <c r="B51" s="36" t="s">
        <v>646</v>
      </c>
      <c r="C51" s="3" t="s">
        <v>623</v>
      </c>
      <c r="D51" s="41">
        <v>1071</v>
      </c>
      <c r="E51" s="41">
        <v>1071</v>
      </c>
      <c r="F51" s="41">
        <v>1071</v>
      </c>
      <c r="G51" s="41">
        <v>1071</v>
      </c>
      <c r="H51" s="41">
        <v>1071</v>
      </c>
      <c r="I51" s="41">
        <v>1071</v>
      </c>
      <c r="J51" s="41">
        <v>1071</v>
      </c>
      <c r="K51" s="33">
        <v>0.5</v>
      </c>
      <c r="L51" s="3"/>
      <c r="M51" s="3"/>
    </row>
    <row r="52" spans="2:13" ht="15" thickBot="1">
      <c r="B52" s="3" t="s">
        <v>629</v>
      </c>
      <c r="C52" s="3"/>
      <c r="D52" s="41"/>
      <c r="E52" s="41"/>
      <c r="F52" s="41"/>
      <c r="G52" s="41"/>
      <c r="H52" s="41"/>
      <c r="I52" s="41"/>
      <c r="J52" s="41"/>
      <c r="K52" s="33"/>
      <c r="L52" s="3" t="s">
        <v>656</v>
      </c>
      <c r="M52" s="3" t="s">
        <v>657</v>
      </c>
    </row>
    <row r="53" spans="2:13" ht="15" thickBot="1">
      <c r="B53" s="36" t="s">
        <v>645</v>
      </c>
      <c r="C53" s="3" t="s">
        <v>630</v>
      </c>
      <c r="D53" s="41">
        <v>3820</v>
      </c>
      <c r="E53" s="41">
        <v>4086</v>
      </c>
      <c r="F53" s="41">
        <v>4371</v>
      </c>
      <c r="G53" s="41"/>
      <c r="H53" s="41"/>
      <c r="I53" s="41"/>
      <c r="J53" s="41"/>
      <c r="K53" s="33">
        <v>0.5</v>
      </c>
      <c r="L53" s="3"/>
      <c r="M53" s="3"/>
    </row>
    <row r="54" spans="2:13" ht="15" thickBot="1">
      <c r="B54" s="36" t="s">
        <v>625</v>
      </c>
      <c r="C54" s="3" t="s">
        <v>630</v>
      </c>
      <c r="D54" s="41">
        <v>7422</v>
      </c>
      <c r="E54" s="41">
        <v>7877</v>
      </c>
      <c r="F54" s="41">
        <v>8365</v>
      </c>
      <c r="G54" s="41"/>
      <c r="H54" s="41"/>
      <c r="I54" s="41"/>
      <c r="J54" s="41"/>
      <c r="K54" s="33">
        <v>0.5</v>
      </c>
      <c r="L54" s="3"/>
      <c r="M54" s="3"/>
    </row>
    <row r="55" spans="2:13" ht="15" thickBot="1">
      <c r="B55" s="36" t="s">
        <v>646</v>
      </c>
      <c r="C55" s="3" t="s">
        <v>630</v>
      </c>
      <c r="D55" s="41">
        <v>11025</v>
      </c>
      <c r="E55" s="41">
        <v>11668</v>
      </c>
      <c r="F55" s="41">
        <v>12358</v>
      </c>
      <c r="G55" s="41"/>
      <c r="H55" s="41"/>
      <c r="I55" s="41"/>
      <c r="J55" s="41"/>
      <c r="K55" s="33">
        <v>0.5</v>
      </c>
      <c r="L55" s="3"/>
      <c r="M55" s="3"/>
    </row>
    <row r="56" spans="2:13" ht="15" thickBot="1">
      <c r="B56" s="3" t="s">
        <v>604</v>
      </c>
      <c r="C56" s="3"/>
      <c r="D56" s="41"/>
      <c r="E56" s="41"/>
      <c r="F56" s="41"/>
      <c r="G56" s="41"/>
      <c r="H56" s="41"/>
      <c r="I56" s="41"/>
      <c r="J56" s="41"/>
      <c r="K56" s="33"/>
      <c r="L56" s="3" t="s">
        <v>656</v>
      </c>
      <c r="M56" s="3" t="s">
        <v>662</v>
      </c>
    </row>
    <row r="57" spans="2:13" ht="15" thickBot="1">
      <c r="B57" s="36" t="s">
        <v>645</v>
      </c>
      <c r="C57" s="3" t="s">
        <v>605</v>
      </c>
      <c r="D57" s="41"/>
      <c r="E57" s="41">
        <v>549</v>
      </c>
      <c r="F57" s="41">
        <v>589</v>
      </c>
      <c r="G57" s="41">
        <v>661</v>
      </c>
      <c r="H57" s="41">
        <v>844</v>
      </c>
      <c r="I57" s="41">
        <v>1258</v>
      </c>
      <c r="J57" s="41">
        <v>2095</v>
      </c>
      <c r="K57" s="33">
        <v>0.5</v>
      </c>
      <c r="L57" s="3"/>
      <c r="M57" s="3"/>
    </row>
    <row r="58" spans="2:13" ht="15" thickBot="1">
      <c r="B58" s="36" t="s">
        <v>625</v>
      </c>
      <c r="C58" s="3" t="s">
        <v>605</v>
      </c>
      <c r="D58" s="41"/>
      <c r="E58" s="41">
        <v>780</v>
      </c>
      <c r="F58" s="41">
        <v>836</v>
      </c>
      <c r="G58" s="41">
        <v>938</v>
      </c>
      <c r="H58" s="41">
        <v>1198</v>
      </c>
      <c r="I58" s="41">
        <v>1786</v>
      </c>
      <c r="J58" s="41">
        <v>2975</v>
      </c>
      <c r="K58" s="33">
        <v>0.5</v>
      </c>
      <c r="L58" s="3"/>
      <c r="M58" s="3"/>
    </row>
    <row r="59" spans="2:13" ht="15" thickBot="1">
      <c r="B59" s="36" t="s">
        <v>646</v>
      </c>
      <c r="C59" s="3" t="s">
        <v>605</v>
      </c>
      <c r="D59" s="41"/>
      <c r="E59" s="41">
        <v>1060</v>
      </c>
      <c r="F59" s="41">
        <v>1136</v>
      </c>
      <c r="G59" s="41">
        <v>1275</v>
      </c>
      <c r="H59" s="41">
        <v>1628</v>
      </c>
      <c r="I59" s="41">
        <v>2428</v>
      </c>
      <c r="J59" s="41">
        <v>4043</v>
      </c>
      <c r="K59" s="33">
        <v>0.5</v>
      </c>
      <c r="L59" s="3"/>
      <c r="M59" s="3"/>
    </row>
    <row r="60" spans="2:13" ht="15" thickBot="1">
      <c r="B60" s="1" t="s">
        <v>246</v>
      </c>
      <c r="C60" s="2" t="s">
        <v>216</v>
      </c>
      <c r="D60" s="1"/>
      <c r="E60" s="1"/>
      <c r="F60" s="1"/>
      <c r="G60" s="1"/>
      <c r="H60" s="1"/>
      <c r="I60" s="1"/>
      <c r="J60" s="1"/>
      <c r="K60" s="1"/>
      <c r="L60" s="1"/>
      <c r="M60" s="1"/>
    </row>
    <row r="61" spans="2:13" ht="15" thickBot="1">
      <c r="B61" s="3" t="s">
        <v>665</v>
      </c>
      <c r="C61" s="3" t="s">
        <v>666</v>
      </c>
      <c r="D61" s="41">
        <v>277296</v>
      </c>
      <c r="E61" s="41">
        <v>277296</v>
      </c>
      <c r="F61" s="41">
        <v>277296</v>
      </c>
      <c r="G61" s="41">
        <v>277296</v>
      </c>
      <c r="H61" s="41">
        <v>104640</v>
      </c>
      <c r="I61" s="41">
        <v>104640</v>
      </c>
      <c r="J61" s="41">
        <v>104640</v>
      </c>
      <c r="K61" s="33">
        <v>0.25</v>
      </c>
      <c r="L61" s="3" t="s">
        <v>305</v>
      </c>
      <c r="M61" s="3"/>
    </row>
    <row r="62" spans="2:13" ht="15" thickBot="1">
      <c r="B62" s="3" t="s">
        <v>667</v>
      </c>
      <c r="C62" s="3" t="s">
        <v>666</v>
      </c>
      <c r="D62" s="41">
        <v>251136</v>
      </c>
      <c r="E62" s="41">
        <v>251136</v>
      </c>
      <c r="F62" s="41">
        <v>251136</v>
      </c>
      <c r="G62" s="41">
        <v>251136</v>
      </c>
      <c r="H62" s="41">
        <v>94176</v>
      </c>
      <c r="I62" s="41">
        <v>94176</v>
      </c>
      <c r="J62" s="41">
        <v>94176</v>
      </c>
      <c r="K62" s="33">
        <v>0.25</v>
      </c>
      <c r="L62" s="3" t="s">
        <v>305</v>
      </c>
      <c r="M62" s="3"/>
    </row>
    <row r="63" spans="2:13" ht="15" thickBot="1">
      <c r="B63" s="36" t="s">
        <v>668</v>
      </c>
      <c r="C63" s="3" t="s">
        <v>223</v>
      </c>
      <c r="D63" s="54">
        <v>0.73</v>
      </c>
      <c r="E63" s="54">
        <v>0.73</v>
      </c>
      <c r="F63" s="54">
        <v>0.73</v>
      </c>
      <c r="G63" s="54">
        <v>0.73</v>
      </c>
      <c r="H63" s="54">
        <v>0.73</v>
      </c>
      <c r="I63" s="54">
        <v>0.73</v>
      </c>
      <c r="J63" s="54">
        <v>0.73</v>
      </c>
      <c r="K63" s="3"/>
      <c r="L63" s="3" t="s">
        <v>305</v>
      </c>
      <c r="M63" s="3" t="s">
        <v>249</v>
      </c>
    </row>
    <row r="64" spans="2:13" ht="15" thickBot="1">
      <c r="B64" s="36" t="s">
        <v>237</v>
      </c>
      <c r="C64" s="3" t="s">
        <v>223</v>
      </c>
      <c r="D64" s="33">
        <v>0.27</v>
      </c>
      <c r="E64" s="33">
        <v>0.27</v>
      </c>
      <c r="F64" s="33">
        <v>0.27</v>
      </c>
      <c r="G64" s="33">
        <v>0.27</v>
      </c>
      <c r="H64" s="33">
        <v>0.27</v>
      </c>
      <c r="I64" s="33">
        <v>0.27</v>
      </c>
      <c r="J64" s="33">
        <v>0.27</v>
      </c>
      <c r="K64" s="33"/>
      <c r="L64" s="3" t="s">
        <v>305</v>
      </c>
      <c r="M64" s="3" t="s">
        <v>249</v>
      </c>
    </row>
    <row r="65" spans="2:13" ht="15" thickBot="1">
      <c r="B65" s="36" t="s">
        <v>433</v>
      </c>
      <c r="C65" s="3" t="s">
        <v>458</v>
      </c>
      <c r="D65" s="3">
        <v>1.44</v>
      </c>
      <c r="E65" s="3">
        <v>1.44</v>
      </c>
      <c r="F65" s="3">
        <v>1.44</v>
      </c>
      <c r="G65" s="3">
        <v>1.44</v>
      </c>
      <c r="H65" s="3">
        <v>1.44</v>
      </c>
      <c r="I65" s="3">
        <v>1.44</v>
      </c>
      <c r="J65" s="3">
        <v>1.44</v>
      </c>
      <c r="K65" s="33">
        <v>0.3</v>
      </c>
      <c r="L65" s="3" t="s">
        <v>305</v>
      </c>
      <c r="M65" s="3"/>
    </row>
    <row r="68" spans="2:13">
      <c r="B68" s="4" t="s">
        <v>214</v>
      </c>
      <c r="C68" s="4">
        <v>2040</v>
      </c>
    </row>
    <row r="69" spans="2:13" ht="15" thickBot="1">
      <c r="B69" s="1" t="s">
        <v>215</v>
      </c>
      <c r="C69" s="2" t="s">
        <v>216</v>
      </c>
      <c r="D69" s="1"/>
      <c r="E69" s="1"/>
      <c r="F69" s="1"/>
      <c r="G69" s="1"/>
      <c r="H69" s="1"/>
      <c r="I69" s="1"/>
      <c r="J69" s="1"/>
      <c r="K69" s="1" t="s">
        <v>217</v>
      </c>
      <c r="L69" s="1" t="s">
        <v>147</v>
      </c>
      <c r="M69" s="1" t="s">
        <v>148</v>
      </c>
    </row>
    <row r="70" spans="2:13" ht="15" thickBot="1">
      <c r="B70" s="3" t="s">
        <v>220</v>
      </c>
      <c r="C70" s="30" t="s">
        <v>221</v>
      </c>
      <c r="D70" s="34">
        <v>10</v>
      </c>
      <c r="E70" s="34">
        <v>50</v>
      </c>
      <c r="F70" s="34">
        <v>100</v>
      </c>
      <c r="G70" s="34">
        <v>250</v>
      </c>
      <c r="H70" s="34">
        <v>1000</v>
      </c>
      <c r="I70" s="34">
        <v>5000</v>
      </c>
      <c r="J70" s="34">
        <v>25000</v>
      </c>
      <c r="K70" s="3"/>
      <c r="L70" s="3"/>
      <c r="M70" s="3"/>
    </row>
    <row r="71" spans="2:13" ht="15" thickBot="1">
      <c r="B71" s="3" t="s">
        <v>643</v>
      </c>
      <c r="C71" s="5"/>
      <c r="D71" s="3"/>
      <c r="E71" s="3"/>
      <c r="F71" s="3"/>
      <c r="G71" s="3"/>
      <c r="H71" s="3"/>
      <c r="I71" s="3"/>
      <c r="J71" s="3"/>
      <c r="K71" s="33"/>
      <c r="L71" s="3"/>
      <c r="M71" s="3"/>
    </row>
    <row r="72" spans="2:13" ht="15" thickBot="1">
      <c r="B72" s="36" t="s">
        <v>645</v>
      </c>
      <c r="C72" s="5" t="s">
        <v>223</v>
      </c>
      <c r="D72" s="3">
        <v>12.3</v>
      </c>
      <c r="E72" s="3">
        <v>12.3</v>
      </c>
      <c r="F72" s="3">
        <v>12.3</v>
      </c>
      <c r="G72" s="3">
        <v>12.3</v>
      </c>
      <c r="H72" s="3">
        <v>12.3</v>
      </c>
      <c r="I72" s="3">
        <v>12.3</v>
      </c>
      <c r="J72" s="3">
        <v>12.3</v>
      </c>
      <c r="K72" s="33">
        <v>0.45</v>
      </c>
      <c r="L72" s="3" t="s">
        <v>522</v>
      </c>
      <c r="M72" s="3" t="s">
        <v>444</v>
      </c>
    </row>
    <row r="73" spans="2:13" ht="15" thickBot="1">
      <c r="B73" s="36" t="s">
        <v>625</v>
      </c>
      <c r="C73" s="5" t="s">
        <v>223</v>
      </c>
      <c r="D73" s="37">
        <v>11.3</v>
      </c>
      <c r="E73" s="37">
        <v>11.3</v>
      </c>
      <c r="F73" s="37">
        <v>11.3</v>
      </c>
      <c r="G73" s="37">
        <v>11.3</v>
      </c>
      <c r="H73" s="37">
        <v>11.3</v>
      </c>
      <c r="I73" s="37">
        <v>11.3</v>
      </c>
      <c r="J73" s="37">
        <v>11.3</v>
      </c>
      <c r="K73" s="33">
        <v>0.45</v>
      </c>
      <c r="L73" s="3" t="s">
        <v>522</v>
      </c>
      <c r="M73" s="3" t="s">
        <v>444</v>
      </c>
    </row>
    <row r="74" spans="2:13" ht="15" thickBot="1">
      <c r="B74" s="36" t="s">
        <v>646</v>
      </c>
      <c r="C74" s="5" t="s">
        <v>223</v>
      </c>
      <c r="D74" s="3">
        <v>10</v>
      </c>
      <c r="E74" s="3">
        <v>10</v>
      </c>
      <c r="F74" s="3">
        <v>10</v>
      </c>
      <c r="G74" s="3">
        <v>10</v>
      </c>
      <c r="H74" s="3">
        <v>10</v>
      </c>
      <c r="I74" s="3">
        <v>10</v>
      </c>
      <c r="J74" s="3">
        <v>10</v>
      </c>
      <c r="K74" s="33">
        <v>0.45</v>
      </c>
      <c r="L74" s="3" t="s">
        <v>522</v>
      </c>
      <c r="M74" s="3" t="s">
        <v>444</v>
      </c>
    </row>
    <row r="75" spans="2:13" ht="15" thickBot="1">
      <c r="B75" s="3" t="s">
        <v>648</v>
      </c>
      <c r="C75" s="5" t="s">
        <v>223</v>
      </c>
      <c r="D75" s="3">
        <v>4.5</v>
      </c>
      <c r="E75" s="3">
        <v>4.5</v>
      </c>
      <c r="F75" s="3">
        <v>4.5</v>
      </c>
      <c r="G75" s="3">
        <v>4.5</v>
      </c>
      <c r="H75" s="3">
        <v>4.5</v>
      </c>
      <c r="I75" s="3">
        <v>4.5</v>
      </c>
      <c r="J75" s="3">
        <v>4.5</v>
      </c>
      <c r="K75" s="33">
        <v>0.55000000000000004</v>
      </c>
      <c r="L75" s="3" t="s">
        <v>305</v>
      </c>
      <c r="M75" s="3" t="s">
        <v>224</v>
      </c>
    </row>
    <row r="76" spans="2:13" ht="15" thickBot="1">
      <c r="B76" s="3" t="s">
        <v>649</v>
      </c>
      <c r="C76" s="5" t="s">
        <v>223</v>
      </c>
      <c r="D76" s="3">
        <v>1.8</v>
      </c>
      <c r="E76" s="3">
        <v>0.5</v>
      </c>
      <c r="F76" s="3">
        <v>0.5</v>
      </c>
      <c r="G76" s="3">
        <v>0.5</v>
      </c>
      <c r="H76" s="3">
        <v>0.5</v>
      </c>
      <c r="I76" s="3">
        <v>0.5</v>
      </c>
      <c r="J76" s="3">
        <v>0.5</v>
      </c>
      <c r="K76" s="33">
        <v>0.7</v>
      </c>
      <c r="L76" s="3" t="s">
        <v>305</v>
      </c>
      <c r="M76" s="3"/>
    </row>
    <row r="77" spans="2:13" ht="15" thickBot="1">
      <c r="B77" s="3" t="s">
        <v>600</v>
      </c>
      <c r="C77" s="5" t="s">
        <v>227</v>
      </c>
      <c r="D77" s="3">
        <v>1</v>
      </c>
      <c r="E77" s="3">
        <v>1</v>
      </c>
      <c r="F77" s="3">
        <v>1</v>
      </c>
      <c r="G77" s="3">
        <v>1</v>
      </c>
      <c r="H77" s="3">
        <v>1</v>
      </c>
      <c r="I77" s="3">
        <v>1</v>
      </c>
      <c r="J77" s="3">
        <v>1</v>
      </c>
      <c r="K77" s="33">
        <v>0.5</v>
      </c>
      <c r="L77" s="3" t="s">
        <v>305</v>
      </c>
      <c r="M77" s="3"/>
    </row>
    <row r="78" spans="2:13" ht="15" thickBot="1">
      <c r="B78" s="3" t="s">
        <v>618</v>
      </c>
      <c r="C78" s="5" t="s">
        <v>227</v>
      </c>
      <c r="D78" s="3">
        <v>40</v>
      </c>
      <c r="E78" s="3">
        <v>40</v>
      </c>
      <c r="F78" s="3">
        <v>40</v>
      </c>
      <c r="G78" s="3">
        <v>40</v>
      </c>
      <c r="H78" s="3">
        <v>40</v>
      </c>
      <c r="I78" s="3">
        <v>40</v>
      </c>
      <c r="J78" s="3">
        <v>40</v>
      </c>
      <c r="K78" s="33">
        <v>0.25</v>
      </c>
      <c r="L78" s="3" t="s">
        <v>151</v>
      </c>
      <c r="M78" s="3" t="s">
        <v>250</v>
      </c>
    </row>
    <row r="79" spans="2:13" ht="15" thickBot="1">
      <c r="B79" s="1" t="s">
        <v>229</v>
      </c>
      <c r="C79" s="2" t="s">
        <v>216</v>
      </c>
      <c r="D79" s="1"/>
      <c r="E79" s="1"/>
      <c r="F79" s="1"/>
      <c r="G79" s="1"/>
      <c r="H79" s="1"/>
      <c r="I79" s="1"/>
      <c r="J79" s="1"/>
      <c r="K79" s="1"/>
      <c r="L79" s="1"/>
      <c r="M79" s="1"/>
    </row>
    <row r="80" spans="2:13" ht="15" thickBot="1">
      <c r="B80" s="3" t="s">
        <v>620</v>
      </c>
      <c r="C80" s="3"/>
      <c r="D80" s="13"/>
      <c r="E80" s="13"/>
      <c r="F80" s="13"/>
      <c r="G80" s="13"/>
      <c r="H80" s="13"/>
      <c r="I80" s="13"/>
      <c r="J80" s="13"/>
      <c r="K80" s="33"/>
      <c r="L80" s="3" t="s">
        <v>650</v>
      </c>
      <c r="M80" s="3" t="s">
        <v>651</v>
      </c>
    </row>
    <row r="81" spans="2:13" ht="15" thickBot="1">
      <c r="B81" s="36" t="s">
        <v>645</v>
      </c>
      <c r="C81" s="3" t="s">
        <v>623</v>
      </c>
      <c r="D81" s="41">
        <v>586</v>
      </c>
      <c r="E81" s="41">
        <v>586</v>
      </c>
      <c r="F81" s="41">
        <v>586</v>
      </c>
      <c r="G81" s="41">
        <v>586</v>
      </c>
      <c r="H81" s="41">
        <v>586</v>
      </c>
      <c r="I81" s="41">
        <v>586</v>
      </c>
      <c r="J81" s="41">
        <v>586</v>
      </c>
      <c r="K81" s="33">
        <v>0.5</v>
      </c>
      <c r="L81" s="3"/>
      <c r="M81" s="3"/>
    </row>
    <row r="82" spans="2:13" ht="15" thickBot="1">
      <c r="B82" s="36" t="s">
        <v>625</v>
      </c>
      <c r="C82" s="3" t="s">
        <v>623</v>
      </c>
      <c r="D82" s="41">
        <v>829</v>
      </c>
      <c r="E82" s="41">
        <v>829</v>
      </c>
      <c r="F82" s="41">
        <v>829</v>
      </c>
      <c r="G82" s="41">
        <v>829</v>
      </c>
      <c r="H82" s="41">
        <v>829</v>
      </c>
      <c r="I82" s="41">
        <v>829</v>
      </c>
      <c r="J82" s="41">
        <v>829</v>
      </c>
      <c r="K82" s="33">
        <v>0.5</v>
      </c>
      <c r="L82" s="3"/>
      <c r="M82" s="3"/>
    </row>
    <row r="83" spans="2:13" ht="15" thickBot="1">
      <c r="B83" s="36" t="s">
        <v>646</v>
      </c>
      <c r="C83" s="3" t="s">
        <v>623</v>
      </c>
      <c r="D83" s="41">
        <v>1071</v>
      </c>
      <c r="E83" s="41">
        <v>1071</v>
      </c>
      <c r="F83" s="41">
        <v>1071</v>
      </c>
      <c r="G83" s="41">
        <v>1071</v>
      </c>
      <c r="H83" s="41">
        <v>1071</v>
      </c>
      <c r="I83" s="41">
        <v>1071</v>
      </c>
      <c r="J83" s="41">
        <v>1071</v>
      </c>
      <c r="K83" s="33">
        <v>0.5</v>
      </c>
      <c r="L83" s="3"/>
      <c r="M83" s="3"/>
    </row>
    <row r="84" spans="2:13" ht="15" thickBot="1">
      <c r="B84" s="3" t="s">
        <v>629</v>
      </c>
      <c r="C84" s="3"/>
      <c r="D84" s="41"/>
      <c r="E84" s="41"/>
      <c r="F84" s="41"/>
      <c r="G84" s="41"/>
      <c r="H84" s="41"/>
      <c r="I84" s="41"/>
      <c r="J84" s="41"/>
      <c r="K84" s="33"/>
      <c r="L84" s="3" t="s">
        <v>656</v>
      </c>
      <c r="M84" s="3" t="s">
        <v>657</v>
      </c>
    </row>
    <row r="85" spans="2:13" ht="15" thickBot="1">
      <c r="B85" s="36" t="s">
        <v>645</v>
      </c>
      <c r="C85" s="3" t="s">
        <v>630</v>
      </c>
      <c r="D85" s="41">
        <v>3820</v>
      </c>
      <c r="E85" s="41">
        <v>4086</v>
      </c>
      <c r="F85" s="41">
        <v>4371</v>
      </c>
      <c r="G85" s="41"/>
      <c r="H85" s="41"/>
      <c r="I85" s="41"/>
      <c r="J85" s="41"/>
      <c r="K85" s="33">
        <v>0.5</v>
      </c>
      <c r="L85" s="3"/>
      <c r="M85" s="3"/>
    </row>
    <row r="86" spans="2:13" ht="15" thickBot="1">
      <c r="B86" s="36" t="s">
        <v>625</v>
      </c>
      <c r="C86" s="3" t="s">
        <v>630</v>
      </c>
      <c r="D86" s="41">
        <v>7422</v>
      </c>
      <c r="E86" s="41">
        <v>7877</v>
      </c>
      <c r="F86" s="41">
        <v>8365</v>
      </c>
      <c r="G86" s="41"/>
      <c r="H86" s="41"/>
      <c r="I86" s="41"/>
      <c r="J86" s="41"/>
      <c r="K86" s="33">
        <v>0.5</v>
      </c>
      <c r="L86" s="3"/>
      <c r="M86" s="3"/>
    </row>
    <row r="87" spans="2:13" ht="15" thickBot="1">
      <c r="B87" s="36" t="s">
        <v>646</v>
      </c>
      <c r="C87" s="3" t="s">
        <v>630</v>
      </c>
      <c r="D87" s="41">
        <v>11025</v>
      </c>
      <c r="E87" s="41">
        <v>11668</v>
      </c>
      <c r="F87" s="41">
        <v>12358</v>
      </c>
      <c r="G87" s="41"/>
      <c r="H87" s="41"/>
      <c r="I87" s="41"/>
      <c r="J87" s="41"/>
      <c r="K87" s="33">
        <v>0.5</v>
      </c>
      <c r="L87" s="3"/>
      <c r="M87" s="3"/>
    </row>
    <row r="88" spans="2:13" ht="15" thickBot="1">
      <c r="B88" s="3" t="s">
        <v>604</v>
      </c>
      <c r="C88" s="3"/>
      <c r="D88" s="41"/>
      <c r="E88" s="41"/>
      <c r="F88" s="41"/>
      <c r="G88" s="41"/>
      <c r="H88" s="41"/>
      <c r="I88" s="41"/>
      <c r="J88" s="41"/>
      <c r="K88" s="33"/>
      <c r="L88" s="3" t="s">
        <v>656</v>
      </c>
      <c r="M88" s="3" t="s">
        <v>662</v>
      </c>
    </row>
    <row r="89" spans="2:13" ht="15" thickBot="1">
      <c r="B89" s="36" t="s">
        <v>645</v>
      </c>
      <c r="C89" s="3" t="s">
        <v>605</v>
      </c>
      <c r="D89" s="41"/>
      <c r="E89" s="41">
        <v>549</v>
      </c>
      <c r="F89" s="41">
        <v>589</v>
      </c>
      <c r="G89" s="41">
        <v>661</v>
      </c>
      <c r="H89" s="41">
        <v>844</v>
      </c>
      <c r="I89" s="41">
        <v>1258</v>
      </c>
      <c r="J89" s="41">
        <v>2095</v>
      </c>
      <c r="K89" s="33">
        <v>0.5</v>
      </c>
      <c r="L89" s="3"/>
      <c r="M89" s="3"/>
    </row>
    <row r="90" spans="2:13" ht="15" thickBot="1">
      <c r="B90" s="36" t="s">
        <v>625</v>
      </c>
      <c r="C90" s="3" t="s">
        <v>605</v>
      </c>
      <c r="D90" s="41"/>
      <c r="E90" s="41">
        <v>780</v>
      </c>
      <c r="F90" s="41">
        <v>836</v>
      </c>
      <c r="G90" s="41">
        <v>938</v>
      </c>
      <c r="H90" s="41">
        <v>1198</v>
      </c>
      <c r="I90" s="41">
        <v>1786</v>
      </c>
      <c r="J90" s="41">
        <v>2975</v>
      </c>
      <c r="K90" s="33">
        <v>0.5</v>
      </c>
      <c r="L90" s="3"/>
      <c r="M90" s="3"/>
    </row>
    <row r="91" spans="2:13" ht="15" thickBot="1">
      <c r="B91" s="36" t="s">
        <v>646</v>
      </c>
      <c r="C91" s="3" t="s">
        <v>605</v>
      </c>
      <c r="D91" s="41"/>
      <c r="E91" s="41">
        <v>1060</v>
      </c>
      <c r="F91" s="41">
        <v>1136</v>
      </c>
      <c r="G91" s="41">
        <v>1275</v>
      </c>
      <c r="H91" s="41">
        <v>1628</v>
      </c>
      <c r="I91" s="41">
        <v>2428</v>
      </c>
      <c r="J91" s="41">
        <v>4043</v>
      </c>
      <c r="K91" s="33">
        <v>0.5</v>
      </c>
      <c r="L91" s="3"/>
      <c r="M91" s="3"/>
    </row>
    <row r="92" spans="2:13" ht="15" thickBot="1">
      <c r="B92" s="1" t="s">
        <v>246</v>
      </c>
      <c r="C92" s="2" t="s">
        <v>216</v>
      </c>
      <c r="D92" s="1"/>
      <c r="E92" s="1"/>
      <c r="F92" s="1"/>
      <c r="G92" s="1"/>
      <c r="H92" s="1"/>
      <c r="I92" s="1"/>
      <c r="J92" s="1"/>
      <c r="K92" s="1"/>
      <c r="L92" s="1"/>
      <c r="M92" s="1"/>
    </row>
    <row r="93" spans="2:13" ht="15" thickBot="1">
      <c r="B93" s="3" t="s">
        <v>665</v>
      </c>
      <c r="C93" s="3" t="s">
        <v>666</v>
      </c>
      <c r="D93" s="41">
        <v>277296</v>
      </c>
      <c r="E93" s="41">
        <v>277296</v>
      </c>
      <c r="F93" s="41">
        <v>277296</v>
      </c>
      <c r="G93" s="41">
        <v>277296</v>
      </c>
      <c r="H93" s="41">
        <v>104640</v>
      </c>
      <c r="I93" s="41">
        <v>104640</v>
      </c>
      <c r="J93" s="41">
        <v>104640</v>
      </c>
      <c r="K93" s="33">
        <v>0.3</v>
      </c>
      <c r="L93" s="3" t="s">
        <v>305</v>
      </c>
      <c r="M93" s="3"/>
    </row>
    <row r="94" spans="2:13" ht="15" thickBot="1">
      <c r="B94" s="3" t="s">
        <v>667</v>
      </c>
      <c r="C94" s="3" t="s">
        <v>666</v>
      </c>
      <c r="D94" s="41">
        <v>251136</v>
      </c>
      <c r="E94" s="41">
        <v>251136</v>
      </c>
      <c r="F94" s="41">
        <v>251136</v>
      </c>
      <c r="G94" s="41">
        <v>251136</v>
      </c>
      <c r="H94" s="41">
        <v>94176</v>
      </c>
      <c r="I94" s="41">
        <v>94176</v>
      </c>
      <c r="J94" s="41">
        <v>94176</v>
      </c>
      <c r="K94" s="33">
        <v>0.3</v>
      </c>
      <c r="L94" s="3" t="s">
        <v>305</v>
      </c>
      <c r="M94" s="3"/>
    </row>
    <row r="95" spans="2:13" ht="15" thickBot="1">
      <c r="B95" s="36" t="s">
        <v>668</v>
      </c>
      <c r="C95" s="3" t="s">
        <v>223</v>
      </c>
      <c r="D95" s="54">
        <v>0.73</v>
      </c>
      <c r="E95" s="54">
        <v>0.73</v>
      </c>
      <c r="F95" s="54">
        <v>0.73</v>
      </c>
      <c r="G95" s="54">
        <v>0.73</v>
      </c>
      <c r="H95" s="54">
        <v>0.73</v>
      </c>
      <c r="I95" s="54">
        <v>0.73</v>
      </c>
      <c r="J95" s="54">
        <v>0.73</v>
      </c>
      <c r="K95" s="3"/>
      <c r="L95" s="3" t="s">
        <v>305</v>
      </c>
      <c r="M95" s="3" t="s">
        <v>249</v>
      </c>
    </row>
    <row r="96" spans="2:13" ht="15" thickBot="1">
      <c r="B96" s="36" t="s">
        <v>237</v>
      </c>
      <c r="C96" s="3" t="s">
        <v>223</v>
      </c>
      <c r="D96" s="33">
        <v>0.27</v>
      </c>
      <c r="E96" s="33">
        <v>0.27</v>
      </c>
      <c r="F96" s="33">
        <v>0.27</v>
      </c>
      <c r="G96" s="33">
        <v>0.27</v>
      </c>
      <c r="H96" s="33">
        <v>0.27</v>
      </c>
      <c r="I96" s="33">
        <v>0.27</v>
      </c>
      <c r="J96" s="33">
        <v>0.27</v>
      </c>
      <c r="K96" s="33"/>
      <c r="L96" s="3" t="s">
        <v>305</v>
      </c>
      <c r="M96" s="3" t="s">
        <v>249</v>
      </c>
    </row>
    <row r="97" spans="2:13" ht="15" thickBot="1">
      <c r="B97" s="36" t="s">
        <v>433</v>
      </c>
      <c r="C97" s="3" t="s">
        <v>458</v>
      </c>
      <c r="D97" s="3">
        <v>1.44</v>
      </c>
      <c r="E97" s="3">
        <v>1.44</v>
      </c>
      <c r="F97" s="3">
        <v>1.44</v>
      </c>
      <c r="G97" s="3">
        <v>1.44</v>
      </c>
      <c r="H97" s="3">
        <v>1.44</v>
      </c>
      <c r="I97" s="3">
        <v>1.44</v>
      </c>
      <c r="J97" s="3">
        <v>1.44</v>
      </c>
      <c r="K97" s="33">
        <v>0.3</v>
      </c>
      <c r="L97" s="3" t="s">
        <v>305</v>
      </c>
      <c r="M97" s="3"/>
    </row>
  </sheetData>
  <sheetProtection algorithmName="SHA-512" hashValue="LqqyBvu9SICwVA600QXY7VYyNptx/XrJLV2/ORe+LfYiveICFG8SG5HNhbd7KCtIZCU/W5Wzbe/5td2ZEMiABA==" saltValue="q/qpyOJ7Tq3TQoIbUnBMXQ==" spinCount="100000" sheet="1" objects="1" scenarios="1"/>
  <mergeCells count="1">
    <mergeCell ref="G2:M3"/>
  </mergeCells>
  <conditionalFormatting sqref="K16 K32 K7:K14 K39:K46 K71:K78 K48 K80">
    <cfRule type="colorScale" priority="11">
      <colorScale>
        <cfvo type="num" val="0"/>
        <cfvo type="num" val="0.5"/>
        <color theme="0"/>
        <color theme="5"/>
      </colorScale>
    </cfRule>
  </conditionalFormatting>
  <conditionalFormatting sqref="K17:K27">
    <cfRule type="colorScale" priority="3">
      <colorScale>
        <cfvo type="num" val="0"/>
        <cfvo type="num" val="0.5"/>
        <color theme="0"/>
        <color theme="5"/>
      </colorScale>
    </cfRule>
  </conditionalFormatting>
  <conditionalFormatting sqref="K33">
    <cfRule type="colorScale" priority="10">
      <colorScale>
        <cfvo type="num" val="0"/>
        <cfvo type="num" val="0.5"/>
        <color theme="0"/>
        <color theme="5"/>
      </colorScale>
    </cfRule>
  </conditionalFormatting>
  <conditionalFormatting sqref="K49:K59">
    <cfRule type="colorScale" priority="2">
      <colorScale>
        <cfvo type="num" val="0"/>
        <cfvo type="num" val="0.5"/>
        <color theme="0"/>
        <color theme="5"/>
      </colorScale>
    </cfRule>
  </conditionalFormatting>
  <conditionalFormatting sqref="K61:K62">
    <cfRule type="colorScale" priority="9">
      <colorScale>
        <cfvo type="num" val="0"/>
        <cfvo type="num" val="0.5"/>
        <color theme="0"/>
        <color theme="5"/>
      </colorScale>
    </cfRule>
  </conditionalFormatting>
  <conditionalFormatting sqref="K64">
    <cfRule type="colorScale" priority="8">
      <colorScale>
        <cfvo type="num" val="0"/>
        <cfvo type="num" val="0.5"/>
        <color theme="0"/>
        <color theme="5"/>
      </colorScale>
    </cfRule>
  </conditionalFormatting>
  <conditionalFormatting sqref="K65">
    <cfRule type="colorScale" priority="7">
      <colorScale>
        <cfvo type="num" val="0"/>
        <cfvo type="num" val="0.5"/>
        <color theme="0"/>
        <color theme="5"/>
      </colorScale>
    </cfRule>
  </conditionalFormatting>
  <conditionalFormatting sqref="K81:K91">
    <cfRule type="colorScale" priority="1">
      <colorScale>
        <cfvo type="num" val="0"/>
        <cfvo type="num" val="0.5"/>
        <color theme="0"/>
        <color theme="5"/>
      </colorScale>
    </cfRule>
  </conditionalFormatting>
  <conditionalFormatting sqref="K93:K94">
    <cfRule type="colorScale" priority="6">
      <colorScale>
        <cfvo type="num" val="0"/>
        <cfvo type="num" val="0.5"/>
        <color theme="0"/>
        <color theme="5"/>
      </colorScale>
    </cfRule>
  </conditionalFormatting>
  <conditionalFormatting sqref="K96">
    <cfRule type="colorScale" priority="5">
      <colorScale>
        <cfvo type="num" val="0"/>
        <cfvo type="num" val="0.5"/>
        <color theme="0"/>
        <color theme="5"/>
      </colorScale>
    </cfRule>
  </conditionalFormatting>
  <conditionalFormatting sqref="K97">
    <cfRule type="colorScale" priority="4">
      <colorScale>
        <cfvo type="num" val="0"/>
        <cfvo type="num" val="0.5"/>
        <color theme="0"/>
        <color theme="5"/>
      </colorScale>
    </cfRule>
  </conditionalFormatting>
  <conditionalFormatting sqref="AA11:AA12 K29:K30">
    <cfRule type="colorScale" priority="12">
      <colorScale>
        <cfvo type="num" val="0"/>
        <cfvo type="num" val="0.5"/>
        <color theme="0"/>
        <color theme="5"/>
      </colorScale>
    </cfRule>
  </conditionalFormatting>
  <conditionalFormatting sqref="AA11:AA12">
    <cfRule type="colorScale" priority="13">
      <colorScale>
        <cfvo type="min"/>
        <cfvo type="max"/>
        <color theme="0"/>
        <color theme="5"/>
      </colorScale>
    </cfRule>
  </conditionalFormatting>
  <hyperlinks>
    <hyperlink ref="A1" location="Inhalt!A1" display="Zum Inhalt" xr:uid="{76D380BA-D50D-4CD0-9735-5606D055F7C6}"/>
  </hyperlinks>
  <pageMargins left="0.7" right="0.7" top="0.78740157499999996" bottom="0.78740157499999996" header="0.3" footer="0.3"/>
  <pageSetup paperSize="9" orientation="portrait" verticalDpi="0"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C71FD-EAD3-4D19-B601-A897087C1FF1}">
  <sheetPr codeName="Tabelle47"/>
  <dimension ref="A1:AF82"/>
  <sheetViews>
    <sheetView zoomScaleNormal="100" workbookViewId="0"/>
  </sheetViews>
  <sheetFormatPr baseColWidth="10" defaultColWidth="11.44140625" defaultRowHeight="14.4"/>
  <cols>
    <col min="2" max="2" width="44.33203125" bestFit="1" customWidth="1"/>
    <col min="20" max="20" width="10.6640625" bestFit="1" customWidth="1"/>
  </cols>
  <sheetData>
    <row r="1" spans="1:32" ht="28.2" thickBot="1">
      <c r="A1" s="99" t="s">
        <v>143</v>
      </c>
    </row>
    <row r="2" spans="1:32" ht="22.5" customHeight="1">
      <c r="J2" s="142" t="s">
        <v>638</v>
      </c>
      <c r="K2" s="143"/>
      <c r="L2" s="143"/>
      <c r="M2" s="143"/>
      <c r="N2" s="143"/>
      <c r="O2" s="143"/>
      <c r="P2" s="144"/>
    </row>
    <row r="3" spans="1:32" ht="22.5" customHeight="1" thickBot="1">
      <c r="B3" s="4" t="s">
        <v>213</v>
      </c>
      <c r="C3" s="4" t="s">
        <v>50</v>
      </c>
      <c r="D3" s="4"/>
      <c r="J3" s="145"/>
      <c r="K3" s="146"/>
      <c r="L3" s="146"/>
      <c r="M3" s="146"/>
      <c r="N3" s="146"/>
      <c r="O3" s="146"/>
      <c r="P3" s="147"/>
    </row>
    <row r="4" spans="1:32">
      <c r="B4" s="4" t="s">
        <v>214</v>
      </c>
      <c r="C4" s="4">
        <v>2023</v>
      </c>
      <c r="D4" s="4"/>
    </row>
    <row r="5" spans="1:32" ht="15" thickBot="1">
      <c r="B5" s="1" t="s">
        <v>215</v>
      </c>
      <c r="C5" s="2" t="s">
        <v>216</v>
      </c>
      <c r="D5" s="2"/>
      <c r="E5" s="1"/>
      <c r="F5" s="1"/>
      <c r="G5" s="1"/>
      <c r="H5" s="1"/>
      <c r="I5" s="1"/>
      <c r="J5" s="1"/>
      <c r="K5" s="1"/>
      <c r="L5" s="1"/>
      <c r="M5" s="1"/>
      <c r="N5" s="1"/>
      <c r="O5" s="1"/>
      <c r="P5" s="1" t="s">
        <v>217</v>
      </c>
      <c r="Q5" s="1" t="s">
        <v>147</v>
      </c>
      <c r="R5" s="1" t="s">
        <v>148</v>
      </c>
      <c r="T5" s="4" t="s">
        <v>218</v>
      </c>
      <c r="U5" s="12" t="s">
        <v>684</v>
      </c>
    </row>
    <row r="6" spans="1:32" ht="15" thickBot="1">
      <c r="B6" s="3" t="s">
        <v>220</v>
      </c>
      <c r="C6" s="30" t="s">
        <v>221</v>
      </c>
      <c r="D6" s="34">
        <v>3</v>
      </c>
      <c r="E6" s="34">
        <v>8</v>
      </c>
      <c r="F6" s="34">
        <v>11</v>
      </c>
      <c r="G6" s="34">
        <v>13</v>
      </c>
      <c r="H6" s="34">
        <v>16</v>
      </c>
      <c r="I6" s="34">
        <v>21</v>
      </c>
      <c r="J6" s="34">
        <v>26</v>
      </c>
      <c r="K6" s="34">
        <v>34</v>
      </c>
      <c r="L6" s="34">
        <v>43</v>
      </c>
      <c r="M6" s="34">
        <v>54</v>
      </c>
      <c r="N6" s="34">
        <v>68</v>
      </c>
      <c r="O6" s="34">
        <v>84</v>
      </c>
      <c r="P6" s="3"/>
      <c r="Q6" s="3" t="s">
        <v>305</v>
      </c>
      <c r="R6" s="3"/>
      <c r="T6" s="4" t="s">
        <v>214</v>
      </c>
      <c r="U6" s="4">
        <v>2023</v>
      </c>
      <c r="V6" s="4">
        <v>2030</v>
      </c>
      <c r="W6" s="4">
        <v>2040</v>
      </c>
    </row>
    <row r="7" spans="1:32" ht="15" thickBot="1">
      <c r="B7" s="3" t="s">
        <v>685</v>
      </c>
      <c r="C7" s="30"/>
      <c r="D7" s="34">
        <v>50</v>
      </c>
      <c r="E7" s="34">
        <v>75</v>
      </c>
      <c r="F7" s="34">
        <v>90</v>
      </c>
      <c r="G7" s="34">
        <v>100</v>
      </c>
      <c r="H7" s="34">
        <v>110</v>
      </c>
      <c r="I7" s="34">
        <v>125</v>
      </c>
      <c r="J7" s="34">
        <v>140</v>
      </c>
      <c r="K7" s="34">
        <v>160</v>
      </c>
      <c r="L7" s="34">
        <v>180</v>
      </c>
      <c r="M7" s="34">
        <v>200</v>
      </c>
      <c r="N7" s="34">
        <v>225</v>
      </c>
      <c r="O7" s="34">
        <v>250</v>
      </c>
      <c r="P7" s="3"/>
      <c r="Q7" s="3"/>
      <c r="R7" s="3"/>
      <c r="T7" s="12" t="s">
        <v>225</v>
      </c>
      <c r="U7" s="12">
        <v>3.1629</v>
      </c>
      <c r="V7" s="12">
        <v>3.7955000000000001</v>
      </c>
      <c r="W7" s="12">
        <v>4.5545999999999998</v>
      </c>
    </row>
    <row r="8" spans="1:32" ht="15" thickBot="1">
      <c r="B8" s="3" t="s">
        <v>686</v>
      </c>
      <c r="C8" s="5" t="s">
        <v>223</v>
      </c>
      <c r="D8" s="3">
        <v>20</v>
      </c>
      <c r="E8" s="3">
        <v>20</v>
      </c>
      <c r="F8" s="3">
        <v>20</v>
      </c>
      <c r="G8" s="3">
        <v>20</v>
      </c>
      <c r="H8" s="3">
        <v>20</v>
      </c>
      <c r="I8" s="3">
        <v>20</v>
      </c>
      <c r="J8" s="3">
        <v>20</v>
      </c>
      <c r="K8" s="3">
        <v>20</v>
      </c>
      <c r="L8" s="3">
        <v>20</v>
      </c>
      <c r="M8" s="3">
        <v>20</v>
      </c>
      <c r="N8" s="3">
        <v>20</v>
      </c>
      <c r="O8" s="3">
        <v>20</v>
      </c>
      <c r="P8" s="33"/>
      <c r="Q8" s="3" t="s">
        <v>355</v>
      </c>
      <c r="R8" s="3" t="s">
        <v>240</v>
      </c>
      <c r="T8" s="12" t="s">
        <v>228</v>
      </c>
      <c r="U8" s="12">
        <v>135.35</v>
      </c>
      <c r="V8" s="12">
        <v>162.41999999999999</v>
      </c>
      <c r="W8" s="12">
        <v>194.9</v>
      </c>
    </row>
    <row r="9" spans="1:32" ht="15" thickBot="1">
      <c r="B9" s="3" t="s">
        <v>648</v>
      </c>
      <c r="C9" s="5" t="s">
        <v>223</v>
      </c>
      <c r="D9" s="3">
        <v>0</v>
      </c>
      <c r="E9" s="3">
        <v>0</v>
      </c>
      <c r="F9" s="3">
        <v>0</v>
      </c>
      <c r="G9" s="3">
        <v>0</v>
      </c>
      <c r="H9" s="3">
        <v>0</v>
      </c>
      <c r="I9" s="3">
        <v>0</v>
      </c>
      <c r="J9" s="3">
        <v>0</v>
      </c>
      <c r="K9" s="3">
        <v>0</v>
      </c>
      <c r="L9" s="3">
        <v>0</v>
      </c>
      <c r="M9" s="3">
        <v>0</v>
      </c>
      <c r="N9" s="3">
        <v>0</v>
      </c>
      <c r="O9" s="3">
        <v>0</v>
      </c>
      <c r="P9" s="33"/>
      <c r="Q9" s="3"/>
      <c r="R9" s="3"/>
      <c r="T9" s="12" t="s">
        <v>23</v>
      </c>
      <c r="U9" s="29" t="s">
        <v>687</v>
      </c>
      <c r="V9" s="43"/>
      <c r="W9" s="43"/>
    </row>
    <row r="10" spans="1:32" ht="15" thickBot="1">
      <c r="B10" s="3" t="s">
        <v>649</v>
      </c>
      <c r="C10" s="5" t="s">
        <v>223</v>
      </c>
      <c r="D10" s="3">
        <v>0.5</v>
      </c>
      <c r="E10" s="3">
        <v>0.5</v>
      </c>
      <c r="F10" s="3">
        <v>0.5</v>
      </c>
      <c r="G10" s="3">
        <v>0.5</v>
      </c>
      <c r="H10" s="3">
        <v>0.5</v>
      </c>
      <c r="I10" s="3">
        <v>0.5</v>
      </c>
      <c r="J10" s="3">
        <v>0.5</v>
      </c>
      <c r="K10" s="3">
        <v>0.5</v>
      </c>
      <c r="L10" s="3">
        <v>0.5</v>
      </c>
      <c r="M10" s="3">
        <v>0.5</v>
      </c>
      <c r="N10" s="3">
        <v>0.5</v>
      </c>
      <c r="O10" s="3">
        <v>0.5</v>
      </c>
      <c r="P10" s="33"/>
      <c r="Q10" s="3"/>
      <c r="R10" s="3" t="s">
        <v>244</v>
      </c>
      <c r="T10" s="4"/>
      <c r="U10" s="12"/>
      <c r="V10" s="12"/>
      <c r="W10" s="12"/>
    </row>
    <row r="11" spans="1:32" ht="15" thickBot="1">
      <c r="B11" s="3" t="s">
        <v>600</v>
      </c>
      <c r="C11" s="5" t="s">
        <v>227</v>
      </c>
      <c r="D11" s="3">
        <v>0.5</v>
      </c>
      <c r="E11" s="3">
        <v>0.5</v>
      </c>
      <c r="F11" s="3">
        <v>0.5</v>
      </c>
      <c r="G11" s="3">
        <v>0.5</v>
      </c>
      <c r="H11" s="3">
        <v>0.5</v>
      </c>
      <c r="I11" s="3">
        <v>0.5</v>
      </c>
      <c r="J11" s="3">
        <v>0.5</v>
      </c>
      <c r="K11" s="3">
        <v>0.5</v>
      </c>
      <c r="L11" s="3">
        <v>0.5</v>
      </c>
      <c r="M11" s="3">
        <v>0.5</v>
      </c>
      <c r="N11" s="3">
        <v>0.5</v>
      </c>
      <c r="O11" s="3">
        <v>0.5</v>
      </c>
      <c r="P11" s="33"/>
      <c r="Q11" s="3"/>
      <c r="R11" s="3"/>
      <c r="T11" s="4"/>
      <c r="U11" s="12"/>
      <c r="V11" s="12"/>
      <c r="W11" s="12"/>
    </row>
    <row r="12" spans="1:32" ht="15" thickBot="1">
      <c r="B12" s="3" t="s">
        <v>618</v>
      </c>
      <c r="C12" s="5" t="s">
        <v>227</v>
      </c>
      <c r="D12" s="3">
        <v>50</v>
      </c>
      <c r="E12" s="3">
        <v>50</v>
      </c>
      <c r="F12" s="3">
        <v>50</v>
      </c>
      <c r="G12" s="3">
        <v>50</v>
      </c>
      <c r="H12" s="3">
        <v>50</v>
      </c>
      <c r="I12" s="3">
        <v>50</v>
      </c>
      <c r="J12" s="3">
        <v>50</v>
      </c>
      <c r="K12" s="3">
        <v>50</v>
      </c>
      <c r="L12" s="3">
        <v>50</v>
      </c>
      <c r="M12" s="3">
        <v>50</v>
      </c>
      <c r="N12" s="3">
        <v>50</v>
      </c>
      <c r="O12" s="3">
        <v>50</v>
      </c>
      <c r="P12" s="33"/>
      <c r="Q12" s="3"/>
      <c r="R12" s="3"/>
      <c r="T12" s="4" t="s">
        <v>234</v>
      </c>
      <c r="U12" s="12" t="s">
        <v>306</v>
      </c>
      <c r="V12" s="12"/>
      <c r="W12" s="12"/>
    </row>
    <row r="13" spans="1:32" ht="15" thickBot="1">
      <c r="B13" s="1" t="s">
        <v>688</v>
      </c>
      <c r="C13" s="2" t="s">
        <v>216</v>
      </c>
      <c r="D13" s="2"/>
      <c r="E13" s="1"/>
      <c r="F13" s="1"/>
      <c r="G13" s="1"/>
      <c r="H13" s="1"/>
      <c r="I13" s="1"/>
      <c r="J13" s="1"/>
      <c r="K13" s="1"/>
      <c r="L13" s="1"/>
      <c r="M13" s="1"/>
      <c r="N13" s="1"/>
      <c r="O13" s="1"/>
      <c r="P13" s="1"/>
      <c r="Q13" s="1"/>
      <c r="R13" s="1" t="s">
        <v>689</v>
      </c>
      <c r="T13" s="4"/>
      <c r="U13" s="12"/>
      <c r="V13" s="12"/>
      <c r="W13" s="12"/>
    </row>
    <row r="14" spans="1:32" ht="15" thickBot="1">
      <c r="B14" s="3" t="s">
        <v>629</v>
      </c>
      <c r="C14" s="3" t="s">
        <v>630</v>
      </c>
      <c r="D14" s="13">
        <v>90</v>
      </c>
      <c r="E14" s="13">
        <v>135</v>
      </c>
      <c r="F14" s="13">
        <v>162</v>
      </c>
      <c r="G14" s="13"/>
      <c r="H14" s="31"/>
      <c r="I14" s="31"/>
      <c r="J14" s="31"/>
      <c r="K14" s="31"/>
      <c r="L14" s="31"/>
      <c r="M14" s="31"/>
      <c r="N14" s="31"/>
      <c r="O14" s="31"/>
      <c r="P14" s="33">
        <v>0.15</v>
      </c>
      <c r="Q14" s="3" t="s">
        <v>522</v>
      </c>
      <c r="R14" s="3" t="s">
        <v>376</v>
      </c>
      <c r="T14" s="4" t="s">
        <v>148</v>
      </c>
      <c r="V14" s="12"/>
      <c r="W14" s="12"/>
    </row>
    <row r="15" spans="1:32" ht="15" thickBot="1">
      <c r="B15" s="3" t="s">
        <v>690</v>
      </c>
      <c r="C15" s="3" t="s">
        <v>605</v>
      </c>
      <c r="D15" s="3"/>
      <c r="E15" s="13">
        <v>9</v>
      </c>
      <c r="F15" s="13">
        <v>11</v>
      </c>
      <c r="G15" s="13">
        <v>13</v>
      </c>
      <c r="H15" s="13">
        <v>14</v>
      </c>
      <c r="I15" s="13">
        <v>18</v>
      </c>
      <c r="J15" s="13">
        <v>22</v>
      </c>
      <c r="K15" s="13">
        <v>30</v>
      </c>
      <c r="L15" s="13">
        <v>40</v>
      </c>
      <c r="M15" s="13">
        <v>53</v>
      </c>
      <c r="N15" s="13">
        <v>77</v>
      </c>
      <c r="O15" s="13">
        <v>110</v>
      </c>
      <c r="P15" s="33">
        <v>0.2</v>
      </c>
      <c r="Q15" s="3" t="s">
        <v>522</v>
      </c>
      <c r="R15" s="3"/>
      <c r="T15" s="12" t="s">
        <v>240</v>
      </c>
      <c r="U15" s="12" t="s">
        <v>691</v>
      </c>
      <c r="V15" s="12"/>
      <c r="W15" s="12"/>
      <c r="AF15" s="44"/>
    </row>
    <row r="16" spans="1:32" ht="15" thickBot="1">
      <c r="B16" s="3" t="s">
        <v>692</v>
      </c>
      <c r="C16" s="3" t="s">
        <v>223</v>
      </c>
      <c r="D16" s="3">
        <v>50</v>
      </c>
      <c r="E16" s="3">
        <v>50</v>
      </c>
      <c r="F16" s="3">
        <v>50</v>
      </c>
      <c r="G16" s="3">
        <v>50</v>
      </c>
      <c r="H16" s="3">
        <v>50</v>
      </c>
      <c r="I16" s="3">
        <v>50</v>
      </c>
      <c r="J16" s="3">
        <v>50</v>
      </c>
      <c r="K16" s="3">
        <v>50</v>
      </c>
      <c r="L16" s="3">
        <v>50</v>
      </c>
      <c r="M16" s="3">
        <v>50</v>
      </c>
      <c r="N16" s="3">
        <v>50</v>
      </c>
      <c r="O16" s="3">
        <v>50</v>
      </c>
      <c r="P16" s="33"/>
      <c r="Q16" s="3" t="s">
        <v>522</v>
      </c>
      <c r="R16" s="3" t="s">
        <v>381</v>
      </c>
      <c r="T16" s="12" t="s">
        <v>244</v>
      </c>
      <c r="U16" s="12" t="s">
        <v>693</v>
      </c>
      <c r="V16" s="12"/>
      <c r="W16" s="12"/>
      <c r="AF16" s="44"/>
    </row>
    <row r="17" spans="2:21" ht="15" thickBot="1">
      <c r="B17" s="3" t="s">
        <v>667</v>
      </c>
      <c r="C17" s="3" t="s">
        <v>318</v>
      </c>
      <c r="D17" s="34">
        <v>5450</v>
      </c>
      <c r="E17" s="34">
        <v>5450</v>
      </c>
      <c r="F17" s="34">
        <v>5450</v>
      </c>
      <c r="G17" s="34">
        <v>5450</v>
      </c>
      <c r="H17" s="34">
        <v>5450</v>
      </c>
      <c r="I17" s="34">
        <v>5450</v>
      </c>
      <c r="J17" s="34">
        <v>5450</v>
      </c>
      <c r="K17" s="34">
        <v>5450</v>
      </c>
      <c r="L17" s="34">
        <v>5450</v>
      </c>
      <c r="M17" s="34">
        <v>5450</v>
      </c>
      <c r="N17" s="34">
        <v>5450</v>
      </c>
      <c r="O17" s="34">
        <v>5450</v>
      </c>
      <c r="P17" s="33">
        <v>0.2</v>
      </c>
      <c r="Q17" s="3" t="s">
        <v>355</v>
      </c>
      <c r="R17" s="3" t="s">
        <v>694</v>
      </c>
      <c r="T17" s="12" t="s">
        <v>224</v>
      </c>
      <c r="U17" s="12" t="s">
        <v>695</v>
      </c>
    </row>
    <row r="18" spans="2:21" ht="15" thickBot="1">
      <c r="B18" s="3" t="s">
        <v>696</v>
      </c>
      <c r="C18" s="3" t="s">
        <v>223</v>
      </c>
      <c r="D18" s="3">
        <v>5</v>
      </c>
      <c r="E18" s="3">
        <v>5</v>
      </c>
      <c r="F18" s="3">
        <v>5</v>
      </c>
      <c r="G18" s="3">
        <v>5</v>
      </c>
      <c r="H18" s="3">
        <v>5</v>
      </c>
      <c r="I18" s="3">
        <v>5</v>
      </c>
      <c r="J18" s="3">
        <v>5</v>
      </c>
      <c r="K18" s="3">
        <v>5</v>
      </c>
      <c r="L18" s="3">
        <v>5</v>
      </c>
      <c r="M18" s="3">
        <v>5</v>
      </c>
      <c r="N18" s="3">
        <v>5</v>
      </c>
      <c r="O18" s="3">
        <v>5</v>
      </c>
      <c r="P18" s="33"/>
      <c r="Q18" s="3" t="s">
        <v>697</v>
      </c>
      <c r="R18" s="3"/>
      <c r="T18" s="12"/>
      <c r="U18" s="12" t="s">
        <v>698</v>
      </c>
    </row>
    <row r="19" spans="2:21" ht="15" thickBot="1">
      <c r="B19" s="30" t="s">
        <v>699</v>
      </c>
      <c r="C19" s="3" t="s">
        <v>223</v>
      </c>
      <c r="D19" s="3">
        <v>1</v>
      </c>
      <c r="E19" s="3">
        <v>1</v>
      </c>
      <c r="F19" s="3">
        <v>1</v>
      </c>
      <c r="G19" s="3">
        <v>1</v>
      </c>
      <c r="H19" s="3">
        <v>1</v>
      </c>
      <c r="I19" s="3">
        <v>1</v>
      </c>
      <c r="J19" s="3">
        <v>1</v>
      </c>
      <c r="K19" s="3">
        <v>1</v>
      </c>
      <c r="L19" s="3">
        <v>1</v>
      </c>
      <c r="M19" s="3">
        <v>1</v>
      </c>
      <c r="N19" s="3">
        <v>1</v>
      </c>
      <c r="O19" s="3">
        <v>1</v>
      </c>
      <c r="P19" s="3"/>
      <c r="Q19" s="3" t="s">
        <v>697</v>
      </c>
      <c r="R19" s="3"/>
      <c r="T19" s="12"/>
      <c r="U19" s="12" t="s">
        <v>700</v>
      </c>
    </row>
    <row r="20" spans="2:21" ht="15" thickBot="1">
      <c r="B20" s="1" t="s">
        <v>701</v>
      </c>
      <c r="C20" s="2" t="s">
        <v>216</v>
      </c>
      <c r="D20" s="2"/>
      <c r="E20" s="1"/>
      <c r="F20" s="1"/>
      <c r="G20" s="1"/>
      <c r="H20" s="1"/>
      <c r="I20" s="1"/>
      <c r="J20" s="1"/>
      <c r="K20" s="1"/>
      <c r="L20" s="1"/>
      <c r="M20" s="1"/>
      <c r="N20" s="1"/>
      <c r="O20" s="1"/>
      <c r="P20" s="1"/>
      <c r="Q20" s="1"/>
      <c r="R20" s="1" t="s">
        <v>387</v>
      </c>
      <c r="T20" s="12" t="s">
        <v>250</v>
      </c>
      <c r="U20" s="12" t="s">
        <v>702</v>
      </c>
    </row>
    <row r="21" spans="2:21" ht="15" thickBot="1">
      <c r="B21" s="3" t="s">
        <v>703</v>
      </c>
      <c r="C21" s="3"/>
      <c r="D21" s="3"/>
      <c r="E21" s="3"/>
      <c r="F21" s="3"/>
      <c r="G21" s="3"/>
      <c r="H21" s="3"/>
      <c r="I21" s="3"/>
      <c r="J21" s="3"/>
      <c r="K21" s="3"/>
      <c r="L21" s="3"/>
      <c r="M21" s="3"/>
      <c r="N21" s="3"/>
      <c r="O21" s="3"/>
      <c r="P21" s="33"/>
      <c r="Q21" s="82" t="s">
        <v>616</v>
      </c>
      <c r="R21" s="3"/>
      <c r="T21" s="12" t="s">
        <v>252</v>
      </c>
      <c r="U21" s="12" t="s">
        <v>704</v>
      </c>
    </row>
    <row r="22" spans="2:21" ht="15" thickBot="1">
      <c r="B22" s="36" t="s">
        <v>645</v>
      </c>
      <c r="C22" s="3" t="s">
        <v>605</v>
      </c>
      <c r="D22" s="3"/>
      <c r="E22" s="13">
        <v>140</v>
      </c>
      <c r="F22" s="13">
        <v>153</v>
      </c>
      <c r="G22" s="13">
        <v>162</v>
      </c>
      <c r="H22" s="13">
        <v>171</v>
      </c>
      <c r="I22" s="13">
        <v>184</v>
      </c>
      <c r="J22" s="13">
        <v>197</v>
      </c>
      <c r="K22" s="13">
        <v>215</v>
      </c>
      <c r="L22" s="13">
        <v>232</v>
      </c>
      <c r="M22" s="13">
        <v>250</v>
      </c>
      <c r="N22" s="13">
        <v>271</v>
      </c>
      <c r="O22" s="13">
        <v>293</v>
      </c>
      <c r="P22" s="33">
        <v>0.2</v>
      </c>
      <c r="Q22" s="82" t="s">
        <v>616</v>
      </c>
      <c r="R22" s="3"/>
      <c r="T22" s="12" t="s">
        <v>249</v>
      </c>
      <c r="U22" s="12" t="s">
        <v>705</v>
      </c>
    </row>
    <row r="23" spans="2:21" ht="15" thickBot="1">
      <c r="B23" s="36" t="s">
        <v>625</v>
      </c>
      <c r="C23" s="3" t="s">
        <v>605</v>
      </c>
      <c r="D23" s="3"/>
      <c r="E23" s="13">
        <v>261</v>
      </c>
      <c r="F23" s="13">
        <v>281</v>
      </c>
      <c r="G23" s="13">
        <v>294</v>
      </c>
      <c r="H23" s="13">
        <v>307</v>
      </c>
      <c r="I23" s="13">
        <v>328</v>
      </c>
      <c r="J23" s="13">
        <v>349</v>
      </c>
      <c r="K23" s="13">
        <v>375</v>
      </c>
      <c r="L23" s="13">
        <v>402</v>
      </c>
      <c r="M23" s="13">
        <v>429</v>
      </c>
      <c r="N23" s="13">
        <v>463</v>
      </c>
      <c r="O23" s="13">
        <v>497</v>
      </c>
      <c r="P23" s="33">
        <v>0.2</v>
      </c>
      <c r="Q23" s="82" t="s">
        <v>616</v>
      </c>
      <c r="R23" s="3"/>
      <c r="T23" s="12" t="s">
        <v>243</v>
      </c>
      <c r="U23" s="12" t="s">
        <v>706</v>
      </c>
    </row>
    <row r="24" spans="2:21" ht="15" thickBot="1">
      <c r="B24" s="36" t="s">
        <v>646</v>
      </c>
      <c r="C24" s="3" t="s">
        <v>605</v>
      </c>
      <c r="D24" s="3"/>
      <c r="E24" s="13">
        <v>287</v>
      </c>
      <c r="F24" s="13">
        <v>308</v>
      </c>
      <c r="G24" s="13">
        <v>324</v>
      </c>
      <c r="H24" s="13">
        <v>339</v>
      </c>
      <c r="I24" s="13">
        <v>361</v>
      </c>
      <c r="J24" s="13">
        <v>383</v>
      </c>
      <c r="K24" s="13">
        <v>413</v>
      </c>
      <c r="L24" s="13">
        <v>443</v>
      </c>
      <c r="M24" s="13">
        <v>472</v>
      </c>
      <c r="N24" s="13">
        <v>509</v>
      </c>
      <c r="O24" s="13">
        <v>546</v>
      </c>
      <c r="P24" s="33">
        <v>0.2</v>
      </c>
      <c r="Q24" s="82" t="s">
        <v>616</v>
      </c>
      <c r="R24" s="3"/>
      <c r="T24" s="12" t="s">
        <v>376</v>
      </c>
      <c r="U24" s="12" t="s">
        <v>707</v>
      </c>
    </row>
    <row r="25" spans="2:21" ht="15" thickBot="1">
      <c r="B25" s="30" t="s">
        <v>708</v>
      </c>
      <c r="C25" s="3"/>
      <c r="D25" s="3"/>
      <c r="E25" s="3"/>
      <c r="F25" s="3"/>
      <c r="G25" s="3"/>
      <c r="H25" s="3"/>
      <c r="I25" s="3"/>
      <c r="J25" s="3"/>
      <c r="K25" s="3"/>
      <c r="L25" s="3"/>
      <c r="M25" s="3"/>
      <c r="N25" s="3"/>
      <c r="O25" s="3"/>
      <c r="P25" s="33"/>
      <c r="Q25" s="3"/>
      <c r="R25" s="3"/>
      <c r="T25" s="12" t="s">
        <v>381</v>
      </c>
      <c r="U25" s="12" t="s">
        <v>709</v>
      </c>
    </row>
    <row r="26" spans="2:21" ht="15" thickBot="1">
      <c r="B26" s="36" t="s">
        <v>645</v>
      </c>
      <c r="C26" s="3" t="s">
        <v>605</v>
      </c>
      <c r="D26" s="13">
        <v>118</v>
      </c>
      <c r="E26" s="3"/>
      <c r="F26" s="13">
        <v>153</v>
      </c>
      <c r="G26" s="3"/>
      <c r="H26" s="3"/>
      <c r="I26" s="3"/>
      <c r="J26" s="3"/>
      <c r="K26" s="3"/>
      <c r="L26" s="3"/>
      <c r="M26" s="3"/>
      <c r="N26" s="3"/>
      <c r="O26" s="3"/>
      <c r="P26" s="33">
        <v>0.2</v>
      </c>
      <c r="Q26" s="3"/>
      <c r="R26" s="3"/>
      <c r="T26" s="12" t="s">
        <v>378</v>
      </c>
      <c r="U26" s="12" t="s">
        <v>664</v>
      </c>
    </row>
    <row r="27" spans="2:21" ht="15" thickBot="1">
      <c r="B27" s="36" t="s">
        <v>625</v>
      </c>
      <c r="C27" s="3" t="s">
        <v>605</v>
      </c>
      <c r="D27" s="13">
        <v>167</v>
      </c>
      <c r="E27" s="3"/>
      <c r="F27" s="13">
        <v>210</v>
      </c>
      <c r="G27" s="3"/>
      <c r="H27" s="3"/>
      <c r="I27" s="3"/>
      <c r="J27" s="3"/>
      <c r="K27" s="3"/>
      <c r="L27" s="3"/>
      <c r="M27" s="3"/>
      <c r="N27" s="3"/>
      <c r="O27" s="3"/>
      <c r="P27" s="33">
        <v>0.2</v>
      </c>
      <c r="Q27" s="3"/>
      <c r="R27" s="3"/>
      <c r="U27" s="12"/>
    </row>
    <row r="28" spans="2:21" ht="15" thickBot="1">
      <c r="B28" s="36" t="s">
        <v>646</v>
      </c>
      <c r="C28" s="3" t="s">
        <v>605</v>
      </c>
      <c r="D28" s="13">
        <v>250</v>
      </c>
      <c r="E28" s="3"/>
      <c r="F28" s="13">
        <v>308</v>
      </c>
      <c r="G28" s="3"/>
      <c r="H28" s="3"/>
      <c r="I28" s="3"/>
      <c r="J28" s="3"/>
      <c r="K28" s="3"/>
      <c r="L28" s="3"/>
      <c r="M28" s="3"/>
      <c r="N28" s="3"/>
      <c r="O28" s="3"/>
      <c r="P28" s="33">
        <v>0.2</v>
      </c>
      <c r="Q28" s="3"/>
      <c r="R28" s="3"/>
      <c r="U28" s="12"/>
    </row>
    <row r="30" spans="2:21">
      <c r="T30" s="4" t="s">
        <v>147</v>
      </c>
    </row>
    <row r="31" spans="2:21">
      <c r="B31" s="4" t="s">
        <v>214</v>
      </c>
      <c r="C31" s="4">
        <v>2030</v>
      </c>
      <c r="D31" s="4"/>
      <c r="T31" s="12" t="s">
        <v>151</v>
      </c>
      <c r="U31" s="12" t="s">
        <v>185</v>
      </c>
    </row>
    <row r="32" spans="2:21" ht="15" thickBot="1">
      <c r="B32" s="1" t="s">
        <v>215</v>
      </c>
      <c r="C32" s="2" t="s">
        <v>216</v>
      </c>
      <c r="D32" s="2"/>
      <c r="E32" s="1"/>
      <c r="F32" s="1"/>
      <c r="G32" s="1"/>
      <c r="H32" s="1"/>
      <c r="I32" s="1"/>
      <c r="J32" s="1"/>
      <c r="K32" s="1"/>
      <c r="L32" s="1"/>
      <c r="M32" s="1"/>
      <c r="N32" s="1"/>
      <c r="O32" s="1"/>
      <c r="P32" s="1" t="s">
        <v>217</v>
      </c>
      <c r="Q32" s="1" t="s">
        <v>147</v>
      </c>
      <c r="R32" s="1" t="s">
        <v>148</v>
      </c>
      <c r="T32" s="12" t="s">
        <v>184</v>
      </c>
      <c r="U32" s="12" t="s">
        <v>710</v>
      </c>
    </row>
    <row r="33" spans="2:29" ht="15" thickBot="1">
      <c r="B33" s="3" t="s">
        <v>220</v>
      </c>
      <c r="C33" s="30" t="s">
        <v>221</v>
      </c>
      <c r="D33" s="34">
        <v>3</v>
      </c>
      <c r="E33" s="34">
        <v>8</v>
      </c>
      <c r="F33" s="34">
        <v>11</v>
      </c>
      <c r="G33" s="34">
        <v>13</v>
      </c>
      <c r="H33" s="34">
        <v>16</v>
      </c>
      <c r="I33" s="34">
        <v>21</v>
      </c>
      <c r="J33" s="34">
        <v>26</v>
      </c>
      <c r="K33" s="34">
        <v>34</v>
      </c>
      <c r="L33" s="34">
        <v>43</v>
      </c>
      <c r="M33" s="34">
        <v>54</v>
      </c>
      <c r="N33" s="34">
        <v>68</v>
      </c>
      <c r="O33" s="34">
        <v>84</v>
      </c>
      <c r="P33" s="3"/>
      <c r="Q33" s="3" t="s">
        <v>305</v>
      </c>
      <c r="R33" s="3"/>
      <c r="T33" s="12" t="s">
        <v>186</v>
      </c>
      <c r="U33" s="12" t="s">
        <v>711</v>
      </c>
    </row>
    <row r="34" spans="2:29" ht="15" thickBot="1">
      <c r="B34" s="3" t="s">
        <v>685</v>
      </c>
      <c r="C34" s="30"/>
      <c r="D34" s="34">
        <v>50</v>
      </c>
      <c r="E34" s="34">
        <v>75</v>
      </c>
      <c r="F34" s="34">
        <v>90</v>
      </c>
      <c r="G34" s="34">
        <v>100</v>
      </c>
      <c r="H34" s="34">
        <v>110</v>
      </c>
      <c r="I34" s="34">
        <v>125</v>
      </c>
      <c r="J34" s="34">
        <v>140</v>
      </c>
      <c r="K34" s="34">
        <v>160</v>
      </c>
      <c r="L34" s="34">
        <v>180</v>
      </c>
      <c r="M34" s="34">
        <v>200</v>
      </c>
      <c r="N34" s="34">
        <v>225</v>
      </c>
      <c r="O34" s="34">
        <v>250</v>
      </c>
      <c r="P34" s="3"/>
      <c r="Q34" s="3"/>
      <c r="R34" s="3"/>
      <c r="T34" s="12" t="s">
        <v>188</v>
      </c>
      <c r="U34" s="12" t="s">
        <v>712</v>
      </c>
    </row>
    <row r="35" spans="2:29" ht="15" thickBot="1">
      <c r="B35" s="3" t="s">
        <v>686</v>
      </c>
      <c r="C35" s="5" t="s">
        <v>223</v>
      </c>
      <c r="D35" s="3">
        <v>20</v>
      </c>
      <c r="E35" s="3">
        <v>20</v>
      </c>
      <c r="F35" s="3">
        <v>20</v>
      </c>
      <c r="G35" s="3">
        <v>20</v>
      </c>
      <c r="H35" s="3">
        <v>20</v>
      </c>
      <c r="I35" s="3">
        <v>20</v>
      </c>
      <c r="J35" s="3">
        <v>20</v>
      </c>
      <c r="K35" s="3">
        <v>20</v>
      </c>
      <c r="L35" s="3">
        <v>20</v>
      </c>
      <c r="M35" s="3">
        <v>20</v>
      </c>
      <c r="N35" s="3">
        <v>20</v>
      </c>
      <c r="O35" s="3">
        <v>20</v>
      </c>
      <c r="P35" s="33"/>
      <c r="Q35" s="3" t="s">
        <v>355</v>
      </c>
      <c r="R35" s="3" t="s">
        <v>240</v>
      </c>
      <c r="T35" s="12" t="s">
        <v>192</v>
      </c>
      <c r="U35" s="12" t="s">
        <v>713</v>
      </c>
    </row>
    <row r="36" spans="2:29" ht="15" thickBot="1">
      <c r="B36" s="3" t="s">
        <v>648</v>
      </c>
      <c r="C36" s="5" t="s">
        <v>223</v>
      </c>
      <c r="D36" s="3">
        <v>0</v>
      </c>
      <c r="E36" s="3">
        <v>0</v>
      </c>
      <c r="F36" s="3">
        <v>0</v>
      </c>
      <c r="G36" s="3">
        <v>0</v>
      </c>
      <c r="H36" s="3">
        <v>0</v>
      </c>
      <c r="I36" s="3">
        <v>0</v>
      </c>
      <c r="J36" s="3">
        <v>0</v>
      </c>
      <c r="K36" s="3">
        <v>0</v>
      </c>
      <c r="L36" s="3">
        <v>0</v>
      </c>
      <c r="M36" s="3">
        <v>0</v>
      </c>
      <c r="N36" s="3">
        <v>0</v>
      </c>
      <c r="O36" s="3">
        <v>0</v>
      </c>
      <c r="P36" s="33"/>
      <c r="Q36" s="3"/>
      <c r="R36" s="3"/>
      <c r="T36" s="12" t="s">
        <v>172</v>
      </c>
      <c r="U36" s="12" t="s">
        <v>714</v>
      </c>
    </row>
    <row r="37" spans="2:29" ht="15" thickBot="1">
      <c r="B37" s="3" t="s">
        <v>649</v>
      </c>
      <c r="C37" s="5" t="s">
        <v>223</v>
      </c>
      <c r="D37" s="3">
        <v>0.5</v>
      </c>
      <c r="E37" s="3">
        <v>0.5</v>
      </c>
      <c r="F37" s="3">
        <v>0.5</v>
      </c>
      <c r="G37" s="3">
        <v>0.5</v>
      </c>
      <c r="H37" s="3">
        <v>0.5</v>
      </c>
      <c r="I37" s="3">
        <v>0.5</v>
      </c>
      <c r="J37" s="3">
        <v>0.5</v>
      </c>
      <c r="K37" s="3">
        <v>0.5</v>
      </c>
      <c r="L37" s="3">
        <v>0.5</v>
      </c>
      <c r="M37" s="3">
        <v>0.5</v>
      </c>
      <c r="N37" s="3">
        <v>0.5</v>
      </c>
      <c r="O37" s="3">
        <v>0.5</v>
      </c>
      <c r="P37" s="33"/>
      <c r="Q37" s="3"/>
      <c r="R37" s="3" t="s">
        <v>244</v>
      </c>
    </row>
    <row r="38" spans="2:29" ht="15" thickBot="1">
      <c r="B38" s="3" t="s">
        <v>600</v>
      </c>
      <c r="C38" s="5" t="s">
        <v>227</v>
      </c>
      <c r="D38" s="3">
        <v>0.5</v>
      </c>
      <c r="E38" s="3">
        <v>0.5</v>
      </c>
      <c r="F38" s="3">
        <v>0.5</v>
      </c>
      <c r="G38" s="3">
        <v>0.5</v>
      </c>
      <c r="H38" s="3">
        <v>0.5</v>
      </c>
      <c r="I38" s="3">
        <v>0.5</v>
      </c>
      <c r="J38" s="3">
        <v>0.5</v>
      </c>
      <c r="K38" s="3">
        <v>0.5</v>
      </c>
      <c r="L38" s="3">
        <v>0.5</v>
      </c>
      <c r="M38" s="3">
        <v>0.5</v>
      </c>
      <c r="N38" s="3">
        <v>0.5</v>
      </c>
      <c r="O38" s="3">
        <v>0.5</v>
      </c>
      <c r="P38" s="33"/>
      <c r="Q38" s="3"/>
      <c r="R38" s="3"/>
    </row>
    <row r="39" spans="2:29" ht="15" thickBot="1">
      <c r="B39" s="3" t="s">
        <v>618</v>
      </c>
      <c r="C39" s="5" t="s">
        <v>227</v>
      </c>
      <c r="D39" s="3">
        <v>50</v>
      </c>
      <c r="E39" s="3">
        <v>50</v>
      </c>
      <c r="F39" s="3">
        <v>50</v>
      </c>
      <c r="G39" s="3">
        <v>50</v>
      </c>
      <c r="H39" s="3">
        <v>50</v>
      </c>
      <c r="I39" s="3">
        <v>50</v>
      </c>
      <c r="J39" s="3">
        <v>50</v>
      </c>
      <c r="K39" s="3">
        <v>50</v>
      </c>
      <c r="L39" s="3">
        <v>50</v>
      </c>
      <c r="M39" s="3">
        <v>50</v>
      </c>
      <c r="N39" s="3">
        <v>50</v>
      </c>
      <c r="O39" s="3">
        <v>50</v>
      </c>
      <c r="P39" s="33"/>
      <c r="Q39" s="3"/>
      <c r="R39" s="3"/>
      <c r="T39" s="12" t="s">
        <v>715</v>
      </c>
    </row>
    <row r="40" spans="2:29" ht="15" thickBot="1">
      <c r="B40" s="1" t="s">
        <v>688</v>
      </c>
      <c r="C40" s="2" t="s">
        <v>216</v>
      </c>
      <c r="D40" s="2"/>
      <c r="E40" s="1"/>
      <c r="F40" s="1"/>
      <c r="G40" s="1"/>
      <c r="H40" s="1"/>
      <c r="I40" s="1"/>
      <c r="J40" s="1"/>
      <c r="K40" s="1"/>
      <c r="L40" s="1"/>
      <c r="M40" s="1"/>
      <c r="N40" s="1"/>
      <c r="O40" s="1"/>
      <c r="P40" s="1"/>
      <c r="Q40" s="1"/>
      <c r="R40" s="1" t="s">
        <v>689</v>
      </c>
      <c r="T40" s="43" t="s">
        <v>316</v>
      </c>
      <c r="U40" s="83">
        <v>13</v>
      </c>
      <c r="V40" s="83">
        <v>16</v>
      </c>
      <c r="W40" s="83">
        <v>21</v>
      </c>
      <c r="X40" s="83">
        <v>26</v>
      </c>
      <c r="Y40" s="83">
        <v>34</v>
      </c>
      <c r="Z40" s="83">
        <v>43</v>
      </c>
      <c r="AA40" s="83">
        <v>54</v>
      </c>
      <c r="AB40" s="83">
        <v>68</v>
      </c>
      <c r="AC40" s="83">
        <v>84</v>
      </c>
    </row>
    <row r="41" spans="2:29" ht="15" thickBot="1">
      <c r="B41" s="3" t="s">
        <v>629</v>
      </c>
      <c r="C41" s="3" t="s">
        <v>630</v>
      </c>
      <c r="D41" s="13">
        <v>109</v>
      </c>
      <c r="E41" s="13">
        <v>163</v>
      </c>
      <c r="F41" s="13">
        <v>195</v>
      </c>
      <c r="G41" s="13"/>
      <c r="H41" s="31"/>
      <c r="I41" s="31"/>
      <c r="J41" s="31"/>
      <c r="K41" s="31"/>
      <c r="L41" s="31"/>
      <c r="M41" s="31"/>
      <c r="N41" s="31"/>
      <c r="O41" s="31"/>
      <c r="P41" s="33">
        <v>0.25</v>
      </c>
      <c r="Q41" s="3" t="s">
        <v>522</v>
      </c>
      <c r="R41" s="3" t="s">
        <v>376</v>
      </c>
      <c r="T41" s="12">
        <v>2022</v>
      </c>
      <c r="U41" s="83">
        <v>174.9</v>
      </c>
      <c r="V41" s="83">
        <v>185.6</v>
      </c>
      <c r="W41" s="83">
        <v>202.2</v>
      </c>
      <c r="X41" s="83">
        <v>219.7</v>
      </c>
      <c r="Y41" s="83">
        <v>244.6</v>
      </c>
      <c r="Z41" s="83">
        <v>272.10000000000002</v>
      </c>
      <c r="AA41" s="83">
        <v>303</v>
      </c>
      <c r="AB41" s="83">
        <v>348.1</v>
      </c>
      <c r="AC41" s="83">
        <v>403.4</v>
      </c>
    </row>
    <row r="42" spans="2:29" ht="15" thickBot="1">
      <c r="B42" s="3" t="s">
        <v>690</v>
      </c>
      <c r="C42" s="3" t="s">
        <v>605</v>
      </c>
      <c r="D42" s="3"/>
      <c r="E42" s="13">
        <v>10</v>
      </c>
      <c r="F42" s="13">
        <v>13</v>
      </c>
      <c r="G42" s="13">
        <v>15</v>
      </c>
      <c r="H42" s="13">
        <v>17</v>
      </c>
      <c r="I42" s="13">
        <v>22</v>
      </c>
      <c r="J42" s="13">
        <v>27</v>
      </c>
      <c r="K42" s="13">
        <v>36</v>
      </c>
      <c r="L42" s="13">
        <v>48</v>
      </c>
      <c r="M42" s="13">
        <v>64</v>
      </c>
      <c r="N42" s="13">
        <v>92</v>
      </c>
      <c r="O42" s="13">
        <v>132</v>
      </c>
      <c r="P42" s="33">
        <v>0.3</v>
      </c>
      <c r="Q42" s="3" t="s">
        <v>522</v>
      </c>
      <c r="R42" s="3"/>
      <c r="T42" s="12">
        <v>2030</v>
      </c>
      <c r="U42" s="83">
        <v>209.9</v>
      </c>
      <c r="V42" s="83">
        <v>222.7</v>
      </c>
      <c r="W42" s="83">
        <v>242.6</v>
      </c>
      <c r="X42" s="83">
        <v>263.60000000000002</v>
      </c>
      <c r="Y42" s="83">
        <v>293.5</v>
      </c>
      <c r="Z42" s="83">
        <v>326.5</v>
      </c>
      <c r="AA42" s="83">
        <v>363.6</v>
      </c>
      <c r="AB42" s="83">
        <v>417.7</v>
      </c>
      <c r="AC42" s="83">
        <v>484.1</v>
      </c>
    </row>
    <row r="43" spans="2:29" ht="15" thickBot="1">
      <c r="B43" s="3" t="s">
        <v>692</v>
      </c>
      <c r="C43" s="3" t="s">
        <v>223</v>
      </c>
      <c r="D43" s="3">
        <v>50</v>
      </c>
      <c r="E43" s="3">
        <v>50</v>
      </c>
      <c r="F43" s="3">
        <v>50</v>
      </c>
      <c r="G43" s="3">
        <v>50</v>
      </c>
      <c r="H43" s="3">
        <v>50</v>
      </c>
      <c r="I43" s="3">
        <v>50</v>
      </c>
      <c r="J43" s="3">
        <v>50</v>
      </c>
      <c r="K43" s="3">
        <v>50</v>
      </c>
      <c r="L43" s="3">
        <v>50</v>
      </c>
      <c r="M43" s="3">
        <v>50</v>
      </c>
      <c r="N43" s="3">
        <v>50</v>
      </c>
      <c r="O43" s="3">
        <v>50</v>
      </c>
      <c r="P43" s="33"/>
      <c r="Q43" s="3" t="s">
        <v>522</v>
      </c>
      <c r="R43" s="3" t="s">
        <v>381</v>
      </c>
      <c r="T43" s="12">
        <v>2040</v>
      </c>
      <c r="U43" s="83">
        <v>251.9</v>
      </c>
      <c r="V43" s="83">
        <v>267.3</v>
      </c>
      <c r="W43" s="83">
        <v>291.2</v>
      </c>
      <c r="X43" s="83">
        <v>316.3</v>
      </c>
      <c r="Y43" s="83">
        <v>352.2</v>
      </c>
      <c r="Z43" s="83">
        <v>391.8</v>
      </c>
      <c r="AA43" s="83">
        <v>436.3</v>
      </c>
      <c r="AB43" s="83">
        <v>501.3</v>
      </c>
      <c r="AC43" s="83">
        <v>580.9</v>
      </c>
    </row>
    <row r="44" spans="2:29" ht="15" thickBot="1">
      <c r="B44" s="3" t="s">
        <v>667</v>
      </c>
      <c r="C44" s="3" t="s">
        <v>318</v>
      </c>
      <c r="D44" s="34">
        <v>5450</v>
      </c>
      <c r="E44" s="34">
        <v>5450</v>
      </c>
      <c r="F44" s="34">
        <v>5450</v>
      </c>
      <c r="G44" s="34">
        <v>5450</v>
      </c>
      <c r="H44" s="34">
        <v>5450</v>
      </c>
      <c r="I44" s="34">
        <v>5450</v>
      </c>
      <c r="J44" s="34">
        <v>5450</v>
      </c>
      <c r="K44" s="34">
        <v>5450</v>
      </c>
      <c r="L44" s="34">
        <v>5450</v>
      </c>
      <c r="M44" s="34">
        <v>5450</v>
      </c>
      <c r="N44" s="34">
        <v>5450</v>
      </c>
      <c r="O44" s="34">
        <v>5450</v>
      </c>
      <c r="P44" s="33">
        <v>0.3</v>
      </c>
      <c r="Q44" s="3" t="s">
        <v>355</v>
      </c>
      <c r="R44" s="3" t="s">
        <v>694</v>
      </c>
    </row>
    <row r="45" spans="2:29" ht="15" thickBot="1">
      <c r="B45" s="3" t="s">
        <v>696</v>
      </c>
      <c r="C45" s="3" t="s">
        <v>223</v>
      </c>
      <c r="D45" s="3">
        <v>5</v>
      </c>
      <c r="E45" s="3">
        <v>5</v>
      </c>
      <c r="F45" s="3">
        <v>5</v>
      </c>
      <c r="G45" s="3">
        <v>5</v>
      </c>
      <c r="H45" s="3">
        <v>5</v>
      </c>
      <c r="I45" s="3">
        <v>5</v>
      </c>
      <c r="J45" s="3">
        <v>5</v>
      </c>
      <c r="K45" s="3">
        <v>5</v>
      </c>
      <c r="L45" s="3">
        <v>5</v>
      </c>
      <c r="M45" s="3">
        <v>5</v>
      </c>
      <c r="N45" s="3">
        <v>5</v>
      </c>
      <c r="O45" s="3">
        <v>5</v>
      </c>
      <c r="P45" s="33"/>
      <c r="Q45" s="3" t="s">
        <v>697</v>
      </c>
      <c r="R45" s="3"/>
    </row>
    <row r="46" spans="2:29" ht="15" thickBot="1">
      <c r="B46" s="30" t="s">
        <v>699</v>
      </c>
      <c r="C46" s="3" t="s">
        <v>223</v>
      </c>
      <c r="D46" s="3">
        <v>1</v>
      </c>
      <c r="E46" s="3">
        <v>1</v>
      </c>
      <c r="F46" s="3">
        <v>1</v>
      </c>
      <c r="G46" s="3">
        <v>1</v>
      </c>
      <c r="H46" s="3">
        <v>1</v>
      </c>
      <c r="I46" s="3">
        <v>1</v>
      </c>
      <c r="J46" s="3">
        <v>1</v>
      </c>
      <c r="K46" s="3">
        <v>1</v>
      </c>
      <c r="L46" s="3">
        <v>1</v>
      </c>
      <c r="M46" s="3">
        <v>1</v>
      </c>
      <c r="N46" s="3">
        <v>1</v>
      </c>
      <c r="O46" s="3">
        <v>1</v>
      </c>
      <c r="P46" s="3"/>
      <c r="Q46" s="3" t="s">
        <v>697</v>
      </c>
      <c r="R46" s="3"/>
    </row>
    <row r="47" spans="2:29" ht="15" thickBot="1">
      <c r="B47" s="1" t="s">
        <v>701</v>
      </c>
      <c r="C47" s="2" t="s">
        <v>216</v>
      </c>
      <c r="D47" s="2"/>
      <c r="E47" s="1"/>
      <c r="F47" s="1"/>
      <c r="G47" s="1"/>
      <c r="H47" s="1"/>
      <c r="I47" s="1"/>
      <c r="J47" s="1"/>
      <c r="K47" s="1"/>
      <c r="L47" s="1"/>
      <c r="M47" s="1"/>
      <c r="N47" s="1"/>
      <c r="O47" s="1"/>
      <c r="P47" s="1"/>
      <c r="Q47" s="1"/>
      <c r="R47" s="1" t="s">
        <v>387</v>
      </c>
    </row>
    <row r="48" spans="2:29" ht="15" thickBot="1">
      <c r="B48" s="3" t="s">
        <v>703</v>
      </c>
      <c r="C48" s="3"/>
      <c r="D48" s="3"/>
      <c r="E48" s="3"/>
      <c r="F48" s="3"/>
      <c r="G48" s="3"/>
      <c r="H48" s="3"/>
      <c r="I48" s="3"/>
      <c r="J48" s="3"/>
      <c r="K48" s="3"/>
      <c r="L48" s="3"/>
      <c r="M48" s="3"/>
      <c r="N48" s="3"/>
      <c r="O48" s="3"/>
      <c r="P48" s="33"/>
      <c r="Q48" s="82" t="s">
        <v>616</v>
      </c>
      <c r="R48" s="3"/>
      <c r="T48" s="12"/>
    </row>
    <row r="49" spans="2:21" ht="15" thickBot="1">
      <c r="B49" s="36" t="s">
        <v>645</v>
      </c>
      <c r="C49" s="3" t="s">
        <v>605</v>
      </c>
      <c r="D49" s="3"/>
      <c r="E49" s="13">
        <v>167</v>
      </c>
      <c r="F49" s="13">
        <v>183</v>
      </c>
      <c r="G49" s="13">
        <v>195</v>
      </c>
      <c r="H49" s="13">
        <v>205</v>
      </c>
      <c r="I49" s="13">
        <v>221</v>
      </c>
      <c r="J49" s="13">
        <v>237</v>
      </c>
      <c r="K49" s="13">
        <v>258</v>
      </c>
      <c r="L49" s="13">
        <v>279</v>
      </c>
      <c r="M49" s="13">
        <v>300</v>
      </c>
      <c r="N49" s="13">
        <v>326</v>
      </c>
      <c r="O49" s="13">
        <v>352</v>
      </c>
      <c r="P49" s="33">
        <v>0.3</v>
      </c>
      <c r="Q49" s="82" t="s">
        <v>616</v>
      </c>
      <c r="R49" s="3"/>
    </row>
    <row r="50" spans="2:21" ht="15" thickBot="1">
      <c r="B50" s="36" t="s">
        <v>625</v>
      </c>
      <c r="C50" s="3" t="s">
        <v>605</v>
      </c>
      <c r="D50" s="3"/>
      <c r="E50" s="13">
        <v>313</v>
      </c>
      <c r="F50" s="13">
        <v>337</v>
      </c>
      <c r="G50" s="13">
        <v>353</v>
      </c>
      <c r="H50" s="13">
        <v>369</v>
      </c>
      <c r="I50" s="13">
        <v>394</v>
      </c>
      <c r="J50" s="13">
        <v>419</v>
      </c>
      <c r="K50" s="13">
        <v>450</v>
      </c>
      <c r="L50" s="13">
        <v>483</v>
      </c>
      <c r="M50" s="13">
        <v>515</v>
      </c>
      <c r="N50" s="13">
        <v>556</v>
      </c>
      <c r="O50" s="13">
        <v>596</v>
      </c>
      <c r="P50" s="33">
        <v>0.3</v>
      </c>
      <c r="Q50" s="82" t="s">
        <v>616</v>
      </c>
      <c r="R50" s="3"/>
      <c r="T50" s="4"/>
      <c r="U50" s="12"/>
    </row>
    <row r="51" spans="2:21" ht="15" thickBot="1">
      <c r="B51" s="36" t="s">
        <v>646</v>
      </c>
      <c r="C51" s="3" t="s">
        <v>605</v>
      </c>
      <c r="D51" s="3"/>
      <c r="E51" s="13">
        <v>344</v>
      </c>
      <c r="F51" s="13">
        <v>370</v>
      </c>
      <c r="G51" s="13">
        <v>388</v>
      </c>
      <c r="H51" s="13">
        <v>407</v>
      </c>
      <c r="I51" s="13">
        <v>433</v>
      </c>
      <c r="J51" s="13">
        <v>459</v>
      </c>
      <c r="K51" s="13">
        <v>496</v>
      </c>
      <c r="L51" s="13">
        <v>531</v>
      </c>
      <c r="M51" s="13">
        <v>566</v>
      </c>
      <c r="N51" s="13">
        <v>611</v>
      </c>
      <c r="O51" s="13">
        <v>655</v>
      </c>
      <c r="P51" s="33">
        <v>0.3</v>
      </c>
      <c r="Q51" s="82" t="s">
        <v>616</v>
      </c>
      <c r="R51" s="3"/>
      <c r="T51" s="12"/>
    </row>
    <row r="52" spans="2:21" ht="15" thickBot="1">
      <c r="B52" s="30" t="s">
        <v>708</v>
      </c>
      <c r="C52" s="3"/>
      <c r="D52" s="3"/>
      <c r="E52" s="3"/>
      <c r="F52" s="3"/>
      <c r="G52" s="3"/>
      <c r="H52" s="3"/>
      <c r="I52" s="3"/>
      <c r="J52" s="3"/>
      <c r="K52" s="3"/>
      <c r="L52" s="3"/>
      <c r="M52" s="3"/>
      <c r="N52" s="3"/>
      <c r="O52" s="3"/>
      <c r="P52" s="33"/>
      <c r="Q52" s="3"/>
      <c r="R52" s="3"/>
      <c r="T52" s="12"/>
    </row>
    <row r="53" spans="2:21" ht="15" thickBot="1">
      <c r="B53" s="36" t="s">
        <v>645</v>
      </c>
      <c r="C53" s="3" t="s">
        <v>605</v>
      </c>
      <c r="D53" s="13">
        <v>141</v>
      </c>
      <c r="E53" s="13"/>
      <c r="F53" s="13">
        <v>183</v>
      </c>
      <c r="G53" s="3"/>
      <c r="H53" s="3"/>
      <c r="I53" s="3"/>
      <c r="J53" s="3"/>
      <c r="K53" s="3"/>
      <c r="L53" s="3"/>
      <c r="M53" s="3"/>
      <c r="N53" s="3"/>
      <c r="O53" s="3"/>
      <c r="P53" s="33">
        <v>0.3</v>
      </c>
      <c r="Q53" s="3"/>
      <c r="R53" s="3"/>
    </row>
    <row r="54" spans="2:21" ht="15" thickBot="1">
      <c r="B54" s="36" t="s">
        <v>625</v>
      </c>
      <c r="C54" s="3" t="s">
        <v>605</v>
      </c>
      <c r="D54" s="13">
        <v>200</v>
      </c>
      <c r="E54" s="13"/>
      <c r="F54" s="13">
        <v>252</v>
      </c>
      <c r="G54" s="3"/>
      <c r="H54" s="3"/>
      <c r="I54" s="3"/>
      <c r="J54" s="3"/>
      <c r="K54" s="3"/>
      <c r="L54" s="3"/>
      <c r="M54" s="3"/>
      <c r="N54" s="3"/>
      <c r="O54" s="3"/>
      <c r="P54" s="33">
        <v>0.3</v>
      </c>
      <c r="Q54" s="3"/>
      <c r="R54" s="3"/>
    </row>
    <row r="55" spans="2:21" ht="15" thickBot="1">
      <c r="B55" s="36" t="s">
        <v>646</v>
      </c>
      <c r="C55" s="3" t="s">
        <v>605</v>
      </c>
      <c r="D55" s="13">
        <v>300</v>
      </c>
      <c r="E55" s="13"/>
      <c r="F55" s="13">
        <v>370</v>
      </c>
      <c r="G55" s="3"/>
      <c r="H55" s="3"/>
      <c r="I55" s="3"/>
      <c r="J55" s="3"/>
      <c r="K55" s="3"/>
      <c r="L55" s="3"/>
      <c r="M55" s="3"/>
      <c r="N55" s="3"/>
      <c r="O55" s="3"/>
      <c r="P55" s="33">
        <v>0.3</v>
      </c>
      <c r="Q55" s="3"/>
      <c r="R55" s="3"/>
    </row>
    <row r="58" spans="2:21">
      <c r="B58" s="4" t="s">
        <v>214</v>
      </c>
      <c r="C58" s="4">
        <v>2040</v>
      </c>
      <c r="D58" s="4"/>
    </row>
    <row r="59" spans="2:21" ht="15" thickBot="1">
      <c r="B59" s="1" t="s">
        <v>215</v>
      </c>
      <c r="C59" s="2" t="s">
        <v>216</v>
      </c>
      <c r="D59" s="2"/>
      <c r="E59" s="1"/>
      <c r="F59" s="1"/>
      <c r="G59" s="1"/>
      <c r="H59" s="1"/>
      <c r="I59" s="1"/>
      <c r="J59" s="1"/>
      <c r="K59" s="1"/>
      <c r="L59" s="1"/>
      <c r="M59" s="1"/>
      <c r="N59" s="1"/>
      <c r="O59" s="1"/>
      <c r="P59" s="1" t="s">
        <v>217</v>
      </c>
      <c r="Q59" s="1" t="s">
        <v>147</v>
      </c>
      <c r="R59" s="1" t="s">
        <v>148</v>
      </c>
    </row>
    <row r="60" spans="2:21" ht="15" thickBot="1">
      <c r="B60" s="3" t="s">
        <v>220</v>
      </c>
      <c r="C60" s="30" t="s">
        <v>221</v>
      </c>
      <c r="D60" s="34">
        <v>3</v>
      </c>
      <c r="E60" s="34">
        <v>8</v>
      </c>
      <c r="F60" s="34">
        <v>11</v>
      </c>
      <c r="G60" s="34">
        <v>13</v>
      </c>
      <c r="H60" s="34">
        <v>16</v>
      </c>
      <c r="I60" s="34">
        <v>21</v>
      </c>
      <c r="J60" s="34">
        <v>26</v>
      </c>
      <c r="K60" s="34">
        <v>34</v>
      </c>
      <c r="L60" s="34">
        <v>43</v>
      </c>
      <c r="M60" s="34">
        <v>54</v>
      </c>
      <c r="N60" s="34">
        <v>68</v>
      </c>
      <c r="O60" s="34">
        <v>84</v>
      </c>
      <c r="P60" s="3"/>
      <c r="Q60" s="3" t="s">
        <v>305</v>
      </c>
      <c r="R60" s="3"/>
    </row>
    <row r="61" spans="2:21" ht="15" thickBot="1">
      <c r="B61" s="3" t="s">
        <v>685</v>
      </c>
      <c r="C61" s="30"/>
      <c r="D61" s="34">
        <v>50</v>
      </c>
      <c r="E61" s="34">
        <v>75</v>
      </c>
      <c r="F61" s="34">
        <v>90</v>
      </c>
      <c r="G61" s="34">
        <v>100</v>
      </c>
      <c r="H61" s="34">
        <v>110</v>
      </c>
      <c r="I61" s="34">
        <v>125</v>
      </c>
      <c r="J61" s="34">
        <v>140</v>
      </c>
      <c r="K61" s="34">
        <v>160</v>
      </c>
      <c r="L61" s="34">
        <v>180</v>
      </c>
      <c r="M61" s="34">
        <v>200</v>
      </c>
      <c r="N61" s="34">
        <v>225</v>
      </c>
      <c r="O61" s="34">
        <v>250</v>
      </c>
      <c r="P61" s="3"/>
      <c r="Q61" s="3"/>
      <c r="R61" s="3"/>
    </row>
    <row r="62" spans="2:21" ht="15" thickBot="1">
      <c r="B62" s="3" t="s">
        <v>686</v>
      </c>
      <c r="C62" s="5" t="s">
        <v>223</v>
      </c>
      <c r="D62" s="3">
        <v>20</v>
      </c>
      <c r="E62" s="3">
        <v>20</v>
      </c>
      <c r="F62" s="3">
        <v>20</v>
      </c>
      <c r="G62" s="3">
        <v>20</v>
      </c>
      <c r="H62" s="3">
        <v>20</v>
      </c>
      <c r="I62" s="3">
        <v>20</v>
      </c>
      <c r="J62" s="3">
        <v>20</v>
      </c>
      <c r="K62" s="3">
        <v>20</v>
      </c>
      <c r="L62" s="3">
        <v>20</v>
      </c>
      <c r="M62" s="3">
        <v>20</v>
      </c>
      <c r="N62" s="3">
        <v>20</v>
      </c>
      <c r="O62" s="3">
        <v>20</v>
      </c>
      <c r="P62" s="33"/>
      <c r="Q62" s="3" t="s">
        <v>355</v>
      </c>
      <c r="R62" s="3" t="s">
        <v>240</v>
      </c>
    </row>
    <row r="63" spans="2:21" ht="15" thickBot="1">
      <c r="B63" s="3" t="s">
        <v>648</v>
      </c>
      <c r="C63" s="5" t="s">
        <v>223</v>
      </c>
      <c r="D63" s="3">
        <v>0</v>
      </c>
      <c r="E63" s="3">
        <v>0</v>
      </c>
      <c r="F63" s="3">
        <v>0</v>
      </c>
      <c r="G63" s="3">
        <v>0</v>
      </c>
      <c r="H63" s="3">
        <v>0</v>
      </c>
      <c r="I63" s="3">
        <v>0</v>
      </c>
      <c r="J63" s="3">
        <v>0</v>
      </c>
      <c r="K63" s="3">
        <v>0</v>
      </c>
      <c r="L63" s="3">
        <v>0</v>
      </c>
      <c r="M63" s="3">
        <v>0</v>
      </c>
      <c r="N63" s="3">
        <v>0</v>
      </c>
      <c r="O63" s="3">
        <v>0</v>
      </c>
      <c r="P63" s="33"/>
      <c r="Q63" s="3"/>
      <c r="R63" s="3"/>
    </row>
    <row r="64" spans="2:21" ht="15" thickBot="1">
      <c r="B64" s="3" t="s">
        <v>649</v>
      </c>
      <c r="C64" s="5" t="s">
        <v>223</v>
      </c>
      <c r="D64" s="3">
        <v>0.5</v>
      </c>
      <c r="E64" s="3">
        <v>0.5</v>
      </c>
      <c r="F64" s="3">
        <v>0.5</v>
      </c>
      <c r="G64" s="3">
        <v>0.5</v>
      </c>
      <c r="H64" s="3">
        <v>0.5</v>
      </c>
      <c r="I64" s="3">
        <v>0.5</v>
      </c>
      <c r="J64" s="3">
        <v>0.5</v>
      </c>
      <c r="K64" s="3">
        <v>0.5</v>
      </c>
      <c r="L64" s="3">
        <v>0.5</v>
      </c>
      <c r="M64" s="3">
        <v>0.5</v>
      </c>
      <c r="N64" s="3">
        <v>0.5</v>
      </c>
      <c r="O64" s="3">
        <v>0.5</v>
      </c>
      <c r="P64" s="33"/>
      <c r="Q64" s="3"/>
      <c r="R64" s="3" t="s">
        <v>244</v>
      </c>
    </row>
    <row r="65" spans="2:18" ht="15" thickBot="1">
      <c r="B65" s="3" t="s">
        <v>600</v>
      </c>
      <c r="C65" s="5" t="s">
        <v>227</v>
      </c>
      <c r="D65" s="3">
        <v>0.5</v>
      </c>
      <c r="E65" s="3">
        <v>0.5</v>
      </c>
      <c r="F65" s="3">
        <v>0.5</v>
      </c>
      <c r="G65" s="3">
        <v>0.5</v>
      </c>
      <c r="H65" s="3">
        <v>0.5</v>
      </c>
      <c r="I65" s="3">
        <v>0.5</v>
      </c>
      <c r="J65" s="3">
        <v>0.5</v>
      </c>
      <c r="K65" s="3">
        <v>0.5</v>
      </c>
      <c r="L65" s="3">
        <v>0.5</v>
      </c>
      <c r="M65" s="3">
        <v>0.5</v>
      </c>
      <c r="N65" s="3">
        <v>0.5</v>
      </c>
      <c r="O65" s="3">
        <v>0.5</v>
      </c>
      <c r="P65" s="33"/>
      <c r="Q65" s="3"/>
      <c r="R65" s="3"/>
    </row>
    <row r="66" spans="2:18" ht="15" thickBot="1">
      <c r="B66" s="3" t="s">
        <v>618</v>
      </c>
      <c r="C66" s="5" t="s">
        <v>227</v>
      </c>
      <c r="D66" s="3">
        <v>50</v>
      </c>
      <c r="E66" s="3">
        <v>50</v>
      </c>
      <c r="F66" s="3">
        <v>50</v>
      </c>
      <c r="G66" s="3">
        <v>50</v>
      </c>
      <c r="H66" s="3">
        <v>50</v>
      </c>
      <c r="I66" s="3">
        <v>50</v>
      </c>
      <c r="J66" s="3">
        <v>50</v>
      </c>
      <c r="K66" s="3">
        <v>50</v>
      </c>
      <c r="L66" s="3">
        <v>50</v>
      </c>
      <c r="M66" s="3">
        <v>50</v>
      </c>
      <c r="N66" s="3">
        <v>50</v>
      </c>
      <c r="O66" s="3">
        <v>50</v>
      </c>
      <c r="P66" s="33"/>
      <c r="Q66" s="3"/>
      <c r="R66" s="3"/>
    </row>
    <row r="67" spans="2:18" ht="15" thickBot="1">
      <c r="B67" s="1" t="s">
        <v>688</v>
      </c>
      <c r="C67" s="2" t="s">
        <v>216</v>
      </c>
      <c r="D67" s="2"/>
      <c r="E67" s="1"/>
      <c r="F67" s="1"/>
      <c r="G67" s="1"/>
      <c r="H67" s="1"/>
      <c r="I67" s="1"/>
      <c r="J67" s="1"/>
      <c r="K67" s="1"/>
      <c r="L67" s="1"/>
      <c r="M67" s="1"/>
      <c r="N67" s="1"/>
      <c r="O67" s="1"/>
      <c r="P67" s="1"/>
      <c r="Q67" s="1"/>
      <c r="R67" s="1" t="s">
        <v>689</v>
      </c>
    </row>
    <row r="68" spans="2:18" ht="15" thickBot="1">
      <c r="B68" s="3" t="s">
        <v>629</v>
      </c>
      <c r="C68" s="3" t="s">
        <v>630</v>
      </c>
      <c r="D68" s="13">
        <v>130</v>
      </c>
      <c r="E68" s="13">
        <v>195</v>
      </c>
      <c r="F68" s="13">
        <v>234</v>
      </c>
      <c r="G68" s="13"/>
      <c r="H68" s="31"/>
      <c r="I68" s="31"/>
      <c r="J68" s="31"/>
      <c r="K68" s="31"/>
      <c r="L68" s="31"/>
      <c r="M68" s="31"/>
      <c r="N68" s="31"/>
      <c r="O68" s="31"/>
      <c r="P68" s="33">
        <v>0.25</v>
      </c>
      <c r="Q68" s="3" t="s">
        <v>522</v>
      </c>
      <c r="R68" s="3" t="s">
        <v>376</v>
      </c>
    </row>
    <row r="69" spans="2:18" ht="15" thickBot="1">
      <c r="B69" s="3" t="s">
        <v>690</v>
      </c>
      <c r="C69" s="3" t="s">
        <v>605</v>
      </c>
      <c r="D69" s="3"/>
      <c r="E69" s="13">
        <v>13</v>
      </c>
      <c r="F69" s="13">
        <v>16</v>
      </c>
      <c r="G69" s="13">
        <v>18</v>
      </c>
      <c r="H69" s="13">
        <v>21</v>
      </c>
      <c r="I69" s="13">
        <v>26</v>
      </c>
      <c r="J69" s="13">
        <v>32</v>
      </c>
      <c r="K69" s="13">
        <v>43</v>
      </c>
      <c r="L69" s="13">
        <v>58</v>
      </c>
      <c r="M69" s="13">
        <v>77</v>
      </c>
      <c r="N69" s="13">
        <v>110</v>
      </c>
      <c r="O69" s="13">
        <v>159</v>
      </c>
      <c r="P69" s="33">
        <v>0.3</v>
      </c>
      <c r="Q69" s="3" t="s">
        <v>522</v>
      </c>
      <c r="R69" s="3"/>
    </row>
    <row r="70" spans="2:18" ht="15" thickBot="1">
      <c r="B70" s="3" t="s">
        <v>692</v>
      </c>
      <c r="C70" s="3" t="s">
        <v>223</v>
      </c>
      <c r="D70" s="3">
        <v>50</v>
      </c>
      <c r="E70" s="3">
        <v>50</v>
      </c>
      <c r="F70" s="3">
        <v>50</v>
      </c>
      <c r="G70" s="3">
        <v>50</v>
      </c>
      <c r="H70" s="3">
        <v>50</v>
      </c>
      <c r="I70" s="3">
        <v>50</v>
      </c>
      <c r="J70" s="3">
        <v>50</v>
      </c>
      <c r="K70" s="3">
        <v>50</v>
      </c>
      <c r="L70" s="3">
        <v>50</v>
      </c>
      <c r="M70" s="3">
        <v>50</v>
      </c>
      <c r="N70" s="3">
        <v>50</v>
      </c>
      <c r="O70" s="3">
        <v>50</v>
      </c>
      <c r="P70" s="33"/>
      <c r="Q70" s="3" t="s">
        <v>522</v>
      </c>
      <c r="R70" s="3" t="s">
        <v>381</v>
      </c>
    </row>
    <row r="71" spans="2:18" ht="15" thickBot="1">
      <c r="B71" s="3" t="s">
        <v>667</v>
      </c>
      <c r="C71" s="3" t="s">
        <v>318</v>
      </c>
      <c r="D71" s="34">
        <v>5450</v>
      </c>
      <c r="E71" s="34">
        <v>5450</v>
      </c>
      <c r="F71" s="34">
        <v>5450</v>
      </c>
      <c r="G71" s="34">
        <v>5450</v>
      </c>
      <c r="H71" s="34">
        <v>5450</v>
      </c>
      <c r="I71" s="34">
        <v>5450</v>
      </c>
      <c r="J71" s="34">
        <v>5450</v>
      </c>
      <c r="K71" s="34">
        <v>5450</v>
      </c>
      <c r="L71" s="34">
        <v>5450</v>
      </c>
      <c r="M71" s="34">
        <v>5450</v>
      </c>
      <c r="N71" s="34">
        <v>5450</v>
      </c>
      <c r="O71" s="34">
        <v>5450</v>
      </c>
      <c r="P71" s="33">
        <v>0.3</v>
      </c>
      <c r="Q71" s="3" t="s">
        <v>355</v>
      </c>
      <c r="R71" s="3" t="s">
        <v>694</v>
      </c>
    </row>
    <row r="72" spans="2:18" ht="15" thickBot="1">
      <c r="B72" s="3" t="s">
        <v>696</v>
      </c>
      <c r="C72" s="3" t="s">
        <v>223</v>
      </c>
      <c r="D72" s="3">
        <v>5</v>
      </c>
      <c r="E72" s="3">
        <v>5</v>
      </c>
      <c r="F72" s="3">
        <v>5</v>
      </c>
      <c r="G72" s="3">
        <v>5</v>
      </c>
      <c r="H72" s="3">
        <v>5</v>
      </c>
      <c r="I72" s="3">
        <v>5</v>
      </c>
      <c r="J72" s="3">
        <v>5</v>
      </c>
      <c r="K72" s="3">
        <v>5</v>
      </c>
      <c r="L72" s="3">
        <v>5</v>
      </c>
      <c r="M72" s="3">
        <v>5</v>
      </c>
      <c r="N72" s="3">
        <v>5</v>
      </c>
      <c r="O72" s="3">
        <v>5</v>
      </c>
      <c r="P72" s="33"/>
      <c r="Q72" s="3" t="s">
        <v>697</v>
      </c>
      <c r="R72" s="3"/>
    </row>
    <row r="73" spans="2:18" ht="15" thickBot="1">
      <c r="B73" s="30" t="s">
        <v>699</v>
      </c>
      <c r="C73" s="3" t="s">
        <v>223</v>
      </c>
      <c r="D73" s="3">
        <v>1</v>
      </c>
      <c r="E73" s="3">
        <v>1</v>
      </c>
      <c r="F73" s="3">
        <v>1</v>
      </c>
      <c r="G73" s="3">
        <v>1</v>
      </c>
      <c r="H73" s="3">
        <v>1</v>
      </c>
      <c r="I73" s="3">
        <v>1</v>
      </c>
      <c r="J73" s="3">
        <v>1</v>
      </c>
      <c r="K73" s="3">
        <v>1</v>
      </c>
      <c r="L73" s="3">
        <v>1</v>
      </c>
      <c r="M73" s="3">
        <v>1</v>
      </c>
      <c r="N73" s="3">
        <v>1</v>
      </c>
      <c r="O73" s="3">
        <v>1</v>
      </c>
      <c r="P73" s="3"/>
      <c r="Q73" s="3" t="s">
        <v>697</v>
      </c>
      <c r="R73" s="3"/>
    </row>
    <row r="74" spans="2:18" ht="15" thickBot="1">
      <c r="B74" s="1" t="s">
        <v>701</v>
      </c>
      <c r="C74" s="2" t="s">
        <v>216</v>
      </c>
      <c r="D74" s="2"/>
      <c r="E74" s="1"/>
      <c r="F74" s="1"/>
      <c r="G74" s="1"/>
      <c r="H74" s="1"/>
      <c r="I74" s="1"/>
      <c r="J74" s="1"/>
      <c r="K74" s="1"/>
      <c r="L74" s="1"/>
      <c r="M74" s="1"/>
      <c r="N74" s="1"/>
      <c r="O74" s="1"/>
      <c r="P74" s="1"/>
      <c r="Q74" s="1"/>
      <c r="R74" s="1" t="s">
        <v>387</v>
      </c>
    </row>
    <row r="75" spans="2:18" ht="15" thickBot="1">
      <c r="B75" s="3" t="s">
        <v>703</v>
      </c>
      <c r="C75" s="3"/>
      <c r="D75" s="3"/>
      <c r="E75" s="3"/>
      <c r="F75" s="3"/>
      <c r="G75" s="3"/>
      <c r="H75" s="3"/>
      <c r="I75" s="3"/>
      <c r="J75" s="3"/>
      <c r="K75" s="3"/>
      <c r="L75" s="3"/>
      <c r="M75" s="3"/>
      <c r="N75" s="3"/>
      <c r="O75" s="3"/>
      <c r="P75" s="33"/>
      <c r="Q75" s="82" t="s">
        <v>616</v>
      </c>
      <c r="R75" s="3"/>
    </row>
    <row r="76" spans="2:18" ht="15" thickBot="1">
      <c r="B76" s="36" t="s">
        <v>645</v>
      </c>
      <c r="C76" s="3" t="s">
        <v>605</v>
      </c>
      <c r="D76" s="3"/>
      <c r="E76" s="13">
        <v>201</v>
      </c>
      <c r="F76" s="13">
        <v>220</v>
      </c>
      <c r="G76" s="13">
        <v>234</v>
      </c>
      <c r="H76" s="13">
        <v>246</v>
      </c>
      <c r="I76" s="13">
        <v>265</v>
      </c>
      <c r="J76" s="13">
        <v>284</v>
      </c>
      <c r="K76" s="13">
        <v>309</v>
      </c>
      <c r="L76" s="13">
        <v>334</v>
      </c>
      <c r="M76" s="13">
        <v>359</v>
      </c>
      <c r="N76" s="13">
        <v>391</v>
      </c>
      <c r="O76" s="13">
        <v>422</v>
      </c>
      <c r="P76" s="33">
        <v>0.4</v>
      </c>
      <c r="Q76" s="82" t="s">
        <v>616</v>
      </c>
      <c r="R76" s="3"/>
    </row>
    <row r="77" spans="2:18" ht="15" thickBot="1">
      <c r="B77" s="36" t="s">
        <v>625</v>
      </c>
      <c r="C77" s="3" t="s">
        <v>605</v>
      </c>
      <c r="D77" s="3"/>
      <c r="E77" s="13">
        <v>375</v>
      </c>
      <c r="F77" s="13">
        <v>405</v>
      </c>
      <c r="G77" s="13">
        <v>424</v>
      </c>
      <c r="H77" s="13">
        <v>443</v>
      </c>
      <c r="I77" s="13">
        <v>472</v>
      </c>
      <c r="J77" s="13">
        <v>502</v>
      </c>
      <c r="K77" s="13">
        <v>540</v>
      </c>
      <c r="L77" s="13">
        <v>579</v>
      </c>
      <c r="M77" s="13">
        <v>618</v>
      </c>
      <c r="N77" s="13">
        <v>667</v>
      </c>
      <c r="O77" s="13">
        <v>716</v>
      </c>
      <c r="P77" s="33">
        <v>0.4</v>
      </c>
      <c r="Q77" s="82" t="s">
        <v>616</v>
      </c>
      <c r="R77" s="3"/>
    </row>
    <row r="78" spans="2:18" ht="15" thickBot="1">
      <c r="B78" s="36" t="s">
        <v>646</v>
      </c>
      <c r="C78" s="3" t="s">
        <v>605</v>
      </c>
      <c r="D78" s="3"/>
      <c r="E78" s="13">
        <v>413</v>
      </c>
      <c r="F78" s="13">
        <v>444</v>
      </c>
      <c r="G78" s="13">
        <v>466</v>
      </c>
      <c r="H78" s="13">
        <v>488</v>
      </c>
      <c r="I78" s="13">
        <v>520</v>
      </c>
      <c r="J78" s="13">
        <v>551</v>
      </c>
      <c r="K78" s="13">
        <v>595</v>
      </c>
      <c r="L78" s="13">
        <v>637</v>
      </c>
      <c r="M78" s="13">
        <v>680</v>
      </c>
      <c r="N78" s="13">
        <v>733</v>
      </c>
      <c r="O78" s="13">
        <v>786</v>
      </c>
      <c r="P78" s="33">
        <v>0.4</v>
      </c>
      <c r="Q78" s="82" t="s">
        <v>616</v>
      </c>
      <c r="R78" s="3"/>
    </row>
    <row r="79" spans="2:18" ht="15" thickBot="1">
      <c r="B79" s="30" t="s">
        <v>708</v>
      </c>
      <c r="C79" s="3"/>
      <c r="D79" s="3"/>
      <c r="E79" s="3"/>
      <c r="F79" s="3"/>
      <c r="G79" s="3"/>
      <c r="H79" s="3"/>
      <c r="I79" s="3"/>
      <c r="J79" s="3"/>
      <c r="K79" s="3"/>
      <c r="L79" s="3"/>
      <c r="M79" s="3"/>
      <c r="N79" s="3"/>
      <c r="O79" s="3"/>
      <c r="P79" s="33"/>
      <c r="Q79" s="3"/>
      <c r="R79" s="3"/>
    </row>
    <row r="80" spans="2:18" ht="15" thickBot="1">
      <c r="B80" s="36" t="s">
        <v>645</v>
      </c>
      <c r="C80" s="3" t="s">
        <v>605</v>
      </c>
      <c r="D80" s="13">
        <v>170</v>
      </c>
      <c r="E80" s="3"/>
      <c r="F80" s="13">
        <v>220</v>
      </c>
      <c r="G80" s="3"/>
      <c r="H80" s="3"/>
      <c r="I80" s="3"/>
      <c r="J80" s="3"/>
      <c r="K80" s="3"/>
      <c r="L80" s="3"/>
      <c r="M80" s="3"/>
      <c r="N80" s="3"/>
      <c r="O80" s="3"/>
      <c r="P80" s="33">
        <v>0.4</v>
      </c>
      <c r="Q80" s="3"/>
      <c r="R80" s="3"/>
    </row>
    <row r="81" spans="2:18" ht="15" thickBot="1">
      <c r="B81" s="36" t="s">
        <v>625</v>
      </c>
      <c r="C81" s="3" t="s">
        <v>605</v>
      </c>
      <c r="D81" s="13">
        <v>240</v>
      </c>
      <c r="E81" s="3"/>
      <c r="F81" s="13">
        <v>303</v>
      </c>
      <c r="G81" s="3"/>
      <c r="H81" s="3"/>
      <c r="I81" s="3"/>
      <c r="J81" s="3"/>
      <c r="K81" s="3"/>
      <c r="L81" s="3"/>
      <c r="M81" s="3"/>
      <c r="N81" s="3"/>
      <c r="O81" s="3"/>
      <c r="P81" s="33">
        <v>0.4</v>
      </c>
      <c r="Q81" s="3"/>
      <c r="R81" s="3"/>
    </row>
    <row r="82" spans="2:18" ht="15" thickBot="1">
      <c r="B82" s="36" t="s">
        <v>646</v>
      </c>
      <c r="C82" s="3" t="s">
        <v>605</v>
      </c>
      <c r="D82" s="13">
        <v>359</v>
      </c>
      <c r="E82" s="3"/>
      <c r="F82" s="13">
        <v>444</v>
      </c>
      <c r="G82" s="3"/>
      <c r="H82" s="3"/>
      <c r="I82" s="3"/>
      <c r="J82" s="3"/>
      <c r="K82" s="3"/>
      <c r="L82" s="3"/>
      <c r="M82" s="3"/>
      <c r="N82" s="3"/>
      <c r="O82" s="3"/>
      <c r="P82" s="33">
        <v>0.4</v>
      </c>
      <c r="Q82" s="3"/>
      <c r="R82" s="3"/>
    </row>
  </sheetData>
  <sheetProtection algorithmName="SHA-512" hashValue="wEJHqmG5oDkpnEpbztBsm9zdf41csjLxhkq7GSrPXF9M1BeXs8tvahNuDvXmwQU216ifbceilQAsGIg7x4QZDQ==" saltValue="jLTIKVMXEylzusWIfftsIg==" spinCount="100000" sheet="1" objects="1" scenarios="1"/>
  <mergeCells count="1">
    <mergeCell ref="J2:P3"/>
  </mergeCells>
  <conditionalFormatting sqref="P35:P39">
    <cfRule type="colorScale" priority="4">
      <colorScale>
        <cfvo type="num" val="0"/>
        <cfvo type="num" val="0.5"/>
        <color theme="0"/>
        <color theme="5"/>
      </colorScale>
    </cfRule>
  </conditionalFormatting>
  <conditionalFormatting sqref="P41:P45 P48:P55">
    <cfRule type="colorScale" priority="2">
      <colorScale>
        <cfvo type="num" val="0"/>
        <cfvo type="num" val="0.5"/>
        <color theme="0"/>
        <color theme="5"/>
      </colorScale>
    </cfRule>
  </conditionalFormatting>
  <conditionalFormatting sqref="P62:P66">
    <cfRule type="colorScale" priority="3">
      <colorScale>
        <cfvo type="num" val="0"/>
        <cfvo type="num" val="0.5"/>
        <color theme="0"/>
        <color theme="5"/>
      </colorScale>
    </cfRule>
  </conditionalFormatting>
  <conditionalFormatting sqref="P68:P72 P75:P82">
    <cfRule type="colorScale" priority="1">
      <colorScale>
        <cfvo type="num" val="0"/>
        <cfvo type="num" val="0.5"/>
        <color theme="0"/>
        <color theme="5"/>
      </colorScale>
    </cfRule>
  </conditionalFormatting>
  <conditionalFormatting sqref="AF15:AF16 P8:P12 P14:P18 P21:P28">
    <cfRule type="colorScale" priority="5">
      <colorScale>
        <cfvo type="num" val="0"/>
        <cfvo type="num" val="0.5"/>
        <color theme="0"/>
        <color theme="5"/>
      </colorScale>
    </cfRule>
  </conditionalFormatting>
  <conditionalFormatting sqref="AF15:AF16">
    <cfRule type="colorScale" priority="6">
      <colorScale>
        <cfvo type="min"/>
        <cfvo type="max"/>
        <color theme="0"/>
        <color theme="5"/>
      </colorScale>
    </cfRule>
  </conditionalFormatting>
  <hyperlinks>
    <hyperlink ref="A1" location="Inhalt!A1" display="Zum Inhalt" xr:uid="{08841ACB-B5DE-4AF6-A78E-8D74130B42D7}"/>
  </hyperlinks>
  <pageMargins left="0.7" right="0.7" top="0.78740157499999996" bottom="0.78740157499999996" header="0.3" footer="0.3"/>
  <pageSetup paperSize="9" orientation="portrait" verticalDpi="0"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A69E-7D16-4E2B-A5C3-C1CF3698B980}">
  <sheetPr codeName="Tabelle48"/>
  <dimension ref="A1:Y50"/>
  <sheetViews>
    <sheetView zoomScaleNormal="100" workbookViewId="0"/>
  </sheetViews>
  <sheetFormatPr baseColWidth="10" defaultColWidth="11.44140625" defaultRowHeight="14.4"/>
  <cols>
    <col min="2" max="2" width="33.33203125" bestFit="1" customWidth="1"/>
    <col min="4" max="6" width="11" bestFit="1" customWidth="1"/>
    <col min="7" max="7" width="11.33203125" bestFit="1" customWidth="1"/>
    <col min="8" max="8" width="12.33203125" bestFit="1" customWidth="1"/>
    <col min="13" max="13" width="12.6640625" customWidth="1"/>
  </cols>
  <sheetData>
    <row r="1" spans="1:25" ht="28.2" thickBot="1">
      <c r="A1" s="99" t="s">
        <v>143</v>
      </c>
    </row>
    <row r="2" spans="1:25" ht="14.7" customHeight="1">
      <c r="G2" s="142" t="s">
        <v>212</v>
      </c>
      <c r="H2" s="143"/>
      <c r="I2" s="143"/>
      <c r="J2" s="143"/>
      <c r="K2" s="143"/>
      <c r="L2" s="84"/>
    </row>
    <row r="3" spans="1:25" ht="18.45" customHeight="1" thickBot="1">
      <c r="B3" s="4" t="s">
        <v>213</v>
      </c>
      <c r="C3" s="4" t="s">
        <v>54</v>
      </c>
      <c r="D3" s="4"/>
      <c r="G3" s="145"/>
      <c r="H3" s="146"/>
      <c r="I3" s="146"/>
      <c r="J3" s="146"/>
      <c r="K3" s="146"/>
      <c r="L3" s="84"/>
    </row>
    <row r="4" spans="1:25">
      <c r="B4" s="4" t="s">
        <v>214</v>
      </c>
      <c r="C4" s="4">
        <v>2023</v>
      </c>
      <c r="D4" s="4"/>
    </row>
    <row r="5" spans="1:25" ht="15" thickBot="1">
      <c r="B5" s="1" t="s">
        <v>215</v>
      </c>
      <c r="C5" s="2" t="s">
        <v>216</v>
      </c>
      <c r="D5" s="2"/>
      <c r="E5" s="1"/>
      <c r="F5" s="2"/>
      <c r="G5" s="1"/>
      <c r="H5" s="1"/>
      <c r="I5" s="1" t="s">
        <v>217</v>
      </c>
      <c r="J5" s="1" t="s">
        <v>147</v>
      </c>
      <c r="K5" s="1" t="s">
        <v>148</v>
      </c>
      <c r="M5" s="4" t="s">
        <v>218</v>
      </c>
      <c r="N5" s="12" t="s">
        <v>219</v>
      </c>
    </row>
    <row r="6" spans="1:25" ht="15" thickBot="1">
      <c r="B6" s="3" t="s">
        <v>220</v>
      </c>
      <c r="C6" s="30" t="s">
        <v>221</v>
      </c>
      <c r="D6" s="31">
        <v>5</v>
      </c>
      <c r="E6" s="3">
        <v>10</v>
      </c>
      <c r="F6" s="31">
        <v>50</v>
      </c>
      <c r="G6" s="3">
        <v>200</v>
      </c>
      <c r="H6" s="3">
        <v>700</v>
      </c>
      <c r="I6" s="3"/>
      <c r="J6" s="3"/>
      <c r="K6" s="3" t="s">
        <v>252</v>
      </c>
      <c r="M6" s="4" t="s">
        <v>214</v>
      </c>
      <c r="N6" s="4">
        <v>2023</v>
      </c>
      <c r="O6" s="4">
        <v>2030</v>
      </c>
      <c r="P6" s="4">
        <v>2040</v>
      </c>
    </row>
    <row r="7" spans="1:25" ht="15" thickBot="1">
      <c r="B7" s="3" t="s">
        <v>222</v>
      </c>
      <c r="C7" s="5" t="s">
        <v>223</v>
      </c>
      <c r="D7" s="61">
        <v>95</v>
      </c>
      <c r="E7" s="13">
        <v>97</v>
      </c>
      <c r="F7" s="61">
        <v>99</v>
      </c>
      <c r="G7" s="13">
        <v>99</v>
      </c>
      <c r="H7" s="13">
        <v>99</v>
      </c>
      <c r="I7" s="33"/>
      <c r="J7" s="3" t="s">
        <v>151</v>
      </c>
      <c r="K7" s="3" t="s">
        <v>240</v>
      </c>
      <c r="M7" s="12" t="s">
        <v>225</v>
      </c>
      <c r="N7" s="12">
        <v>2641.4</v>
      </c>
      <c r="O7" s="12">
        <v>2537.6</v>
      </c>
      <c r="P7" s="12">
        <v>2413.5</v>
      </c>
    </row>
    <row r="8" spans="1:25" ht="15" thickBot="1">
      <c r="B8" s="3" t="s">
        <v>226</v>
      </c>
      <c r="C8" s="5" t="s">
        <v>227</v>
      </c>
      <c r="D8" s="3">
        <v>25</v>
      </c>
      <c r="E8" s="3">
        <v>25</v>
      </c>
      <c r="F8" s="32">
        <v>25</v>
      </c>
      <c r="G8" s="3">
        <v>25</v>
      </c>
      <c r="H8" s="3">
        <v>25</v>
      </c>
      <c r="I8" s="3"/>
      <c r="J8" s="3" t="s">
        <v>522</v>
      </c>
      <c r="K8" s="3"/>
      <c r="M8" s="12" t="s">
        <v>228</v>
      </c>
      <c r="N8" s="12">
        <v>-0.64800000000000002</v>
      </c>
      <c r="O8" s="12">
        <v>-0.64800000000000002</v>
      </c>
      <c r="P8" s="12">
        <v>-0.64800000000000002</v>
      </c>
      <c r="Y8" s="44"/>
    </row>
    <row r="9" spans="1:25" ht="15" thickBot="1">
      <c r="B9" s="1" t="s">
        <v>229</v>
      </c>
      <c r="C9" s="2" t="s">
        <v>216</v>
      </c>
      <c r="D9" s="2"/>
      <c r="E9" s="1"/>
      <c r="F9" s="1"/>
      <c r="G9" s="1"/>
      <c r="H9" s="1"/>
      <c r="I9" s="1"/>
      <c r="J9" s="1"/>
      <c r="K9" s="1"/>
      <c r="Y9" s="44"/>
    </row>
    <row r="10" spans="1:25" ht="15" thickBot="1">
      <c r="B10" s="3" t="s">
        <v>230</v>
      </c>
      <c r="C10" s="3" t="s">
        <v>231</v>
      </c>
      <c r="D10" s="13">
        <v>708</v>
      </c>
      <c r="E10" s="13">
        <v>530</v>
      </c>
      <c r="F10" s="13">
        <v>245</v>
      </c>
      <c r="G10" s="13">
        <v>90</v>
      </c>
      <c r="H10" s="13">
        <v>34</v>
      </c>
      <c r="I10" s="33">
        <v>0.2</v>
      </c>
      <c r="J10" s="3" t="s">
        <v>448</v>
      </c>
      <c r="K10" s="3" t="s">
        <v>249</v>
      </c>
      <c r="M10" s="4" t="s">
        <v>234</v>
      </c>
      <c r="N10" s="12" t="s">
        <v>716</v>
      </c>
    </row>
    <row r="11" spans="1:25" ht="15" thickBot="1">
      <c r="B11" s="36" t="s">
        <v>236</v>
      </c>
      <c r="C11" s="3" t="s">
        <v>223</v>
      </c>
      <c r="D11" s="3">
        <v>70</v>
      </c>
      <c r="E11" s="3">
        <v>70</v>
      </c>
      <c r="F11" s="3">
        <v>70</v>
      </c>
      <c r="G11" s="3">
        <v>70</v>
      </c>
      <c r="H11" s="3">
        <v>70</v>
      </c>
      <c r="I11" s="3"/>
      <c r="J11" s="3"/>
      <c r="K11" s="3"/>
    </row>
    <row r="12" spans="1:25" ht="15" thickBot="1">
      <c r="B12" s="36" t="s">
        <v>237</v>
      </c>
      <c r="C12" s="3" t="s">
        <v>223</v>
      </c>
      <c r="D12" s="3">
        <v>30</v>
      </c>
      <c r="E12" s="3">
        <v>30</v>
      </c>
      <c r="F12" s="3">
        <v>30</v>
      </c>
      <c r="G12" s="3">
        <v>30</v>
      </c>
      <c r="H12" s="3">
        <v>30</v>
      </c>
      <c r="I12" s="3"/>
      <c r="J12" s="3"/>
      <c r="K12" s="3" t="s">
        <v>244</v>
      </c>
      <c r="M12" s="4" t="s">
        <v>148</v>
      </c>
    </row>
    <row r="13" spans="1:25" ht="15" thickBot="1">
      <c r="B13" s="30" t="s">
        <v>263</v>
      </c>
      <c r="C13" s="3" t="s">
        <v>239</v>
      </c>
      <c r="D13" s="34">
        <v>3500</v>
      </c>
      <c r="E13" s="34">
        <v>5300</v>
      </c>
      <c r="F13" s="34">
        <v>12300</v>
      </c>
      <c r="G13" s="34">
        <v>18000</v>
      </c>
      <c r="H13" s="34">
        <v>24000</v>
      </c>
      <c r="I13" s="33">
        <v>0.2</v>
      </c>
      <c r="J13" s="3"/>
      <c r="K13" s="3"/>
      <c r="M13" s="12" t="s">
        <v>240</v>
      </c>
      <c r="N13" s="12" t="s">
        <v>717</v>
      </c>
    </row>
    <row r="14" spans="1:25" ht="15" thickBot="1">
      <c r="B14" s="3" t="s">
        <v>242</v>
      </c>
      <c r="C14" s="3" t="s">
        <v>309</v>
      </c>
      <c r="D14" s="13">
        <v>10</v>
      </c>
      <c r="E14" s="13">
        <v>10</v>
      </c>
      <c r="F14" s="13">
        <v>3</v>
      </c>
      <c r="G14" s="13">
        <v>1</v>
      </c>
      <c r="H14" s="13">
        <v>1</v>
      </c>
      <c r="I14" s="3"/>
      <c r="J14" s="3" t="s">
        <v>522</v>
      </c>
      <c r="K14" s="3" t="s">
        <v>224</v>
      </c>
      <c r="M14" s="12" t="s">
        <v>244</v>
      </c>
      <c r="N14" s="12" t="s">
        <v>718</v>
      </c>
    </row>
    <row r="15" spans="1:25" ht="15" thickBot="1">
      <c r="B15" s="1" t="s">
        <v>246</v>
      </c>
      <c r="C15" s="2" t="s">
        <v>216</v>
      </c>
      <c r="D15" s="1"/>
      <c r="E15" s="1"/>
      <c r="F15" s="1"/>
      <c r="G15" s="1"/>
      <c r="H15" s="1"/>
      <c r="I15" s="1"/>
      <c r="J15" s="1"/>
      <c r="K15" s="1"/>
      <c r="M15" s="12" t="s">
        <v>224</v>
      </c>
      <c r="N15" s="12" t="s">
        <v>719</v>
      </c>
    </row>
    <row r="16" spans="1:25" ht="15" thickBot="1">
      <c r="B16" s="3" t="s">
        <v>248</v>
      </c>
      <c r="C16" s="3" t="s">
        <v>231</v>
      </c>
      <c r="D16" s="13">
        <v>162</v>
      </c>
      <c r="E16" s="13">
        <v>162</v>
      </c>
      <c r="F16" s="13">
        <v>98</v>
      </c>
      <c r="G16" s="13">
        <v>64</v>
      </c>
      <c r="H16" s="13">
        <v>43</v>
      </c>
      <c r="I16" s="13"/>
      <c r="J16" s="13" t="s">
        <v>172</v>
      </c>
      <c r="K16" s="13" t="s">
        <v>243</v>
      </c>
      <c r="M16" s="12" t="s">
        <v>250</v>
      </c>
      <c r="N16" s="12" t="s">
        <v>720</v>
      </c>
    </row>
    <row r="17" spans="2:14" ht="15" thickBot="1">
      <c r="B17" s="38" t="s">
        <v>263</v>
      </c>
      <c r="C17" s="39" t="s">
        <v>239</v>
      </c>
      <c r="D17" s="40">
        <v>4300</v>
      </c>
      <c r="E17" s="40">
        <v>6900</v>
      </c>
      <c r="F17" s="40">
        <v>17200</v>
      </c>
      <c r="G17" s="40">
        <v>30800</v>
      </c>
      <c r="H17" s="40">
        <v>54200</v>
      </c>
      <c r="I17" s="33">
        <v>0.2</v>
      </c>
      <c r="J17" s="40"/>
      <c r="K17" s="40"/>
      <c r="M17" s="12" t="s">
        <v>252</v>
      </c>
      <c r="N17" s="12" t="s">
        <v>721</v>
      </c>
    </row>
    <row r="18" spans="2:14">
      <c r="D18" s="10"/>
      <c r="E18" s="10"/>
      <c r="F18" s="10"/>
      <c r="G18" s="10"/>
      <c r="H18" s="10"/>
      <c r="M18" s="12" t="s">
        <v>249</v>
      </c>
      <c r="N18" s="12" t="s">
        <v>722</v>
      </c>
    </row>
    <row r="19" spans="2:14">
      <c r="M19" s="12" t="s">
        <v>243</v>
      </c>
      <c r="N19" s="12" t="s">
        <v>255</v>
      </c>
    </row>
    <row r="20" spans="2:14">
      <c r="B20" s="4" t="s">
        <v>214</v>
      </c>
      <c r="C20" s="4">
        <v>2030</v>
      </c>
      <c r="D20" s="4"/>
      <c r="M20" s="4"/>
      <c r="N20" s="12"/>
    </row>
    <row r="21" spans="2:14" ht="15" thickBot="1">
      <c r="B21" s="1" t="s">
        <v>215</v>
      </c>
      <c r="C21" s="2" t="s">
        <v>216</v>
      </c>
      <c r="D21" s="2"/>
      <c r="E21" s="1"/>
      <c r="F21" s="2"/>
      <c r="G21" s="1"/>
      <c r="H21" s="1"/>
      <c r="I21" s="1"/>
      <c r="J21" s="1"/>
      <c r="K21" s="1"/>
      <c r="M21" s="4" t="s">
        <v>147</v>
      </c>
    </row>
    <row r="22" spans="2:14" ht="15" thickBot="1">
      <c r="B22" s="3" t="s">
        <v>220</v>
      </c>
      <c r="C22" s="30" t="s">
        <v>221</v>
      </c>
      <c r="D22" s="31">
        <v>5</v>
      </c>
      <c r="E22" s="3">
        <v>10</v>
      </c>
      <c r="F22" s="31">
        <v>50</v>
      </c>
      <c r="G22" s="3">
        <v>200</v>
      </c>
      <c r="H22" s="3">
        <v>700</v>
      </c>
      <c r="I22" s="3"/>
      <c r="J22" s="3"/>
      <c r="K22" s="3"/>
      <c r="M22" s="12" t="s">
        <v>151</v>
      </c>
      <c r="N22" s="12" t="s">
        <v>185</v>
      </c>
    </row>
    <row r="23" spans="2:14" ht="15" thickBot="1">
      <c r="B23" s="3" t="s">
        <v>222</v>
      </c>
      <c r="C23" s="5" t="s">
        <v>223</v>
      </c>
      <c r="D23" s="61">
        <v>97</v>
      </c>
      <c r="E23" s="13">
        <v>98</v>
      </c>
      <c r="F23" s="61">
        <v>99</v>
      </c>
      <c r="G23" s="13">
        <v>99</v>
      </c>
      <c r="H23" s="13">
        <v>99</v>
      </c>
      <c r="I23" s="3"/>
      <c r="J23" s="3" t="s">
        <v>151</v>
      </c>
      <c r="K23" s="3" t="s">
        <v>240</v>
      </c>
      <c r="M23" s="12" t="s">
        <v>184</v>
      </c>
      <c r="N23" s="12" t="s">
        <v>264</v>
      </c>
    </row>
    <row r="24" spans="2:14" ht="15" thickBot="1">
      <c r="B24" s="3" t="s">
        <v>226</v>
      </c>
      <c r="C24" s="5" t="s">
        <v>227</v>
      </c>
      <c r="D24" s="3">
        <v>25</v>
      </c>
      <c r="E24" s="3">
        <v>25</v>
      </c>
      <c r="F24" s="32">
        <v>25</v>
      </c>
      <c r="G24" s="3">
        <v>25</v>
      </c>
      <c r="H24" s="3">
        <v>25</v>
      </c>
      <c r="I24" s="3"/>
      <c r="J24" s="3" t="s">
        <v>522</v>
      </c>
      <c r="K24" s="3"/>
      <c r="M24" s="12" t="s">
        <v>186</v>
      </c>
      <c r="N24" s="12" t="s">
        <v>476</v>
      </c>
    </row>
    <row r="25" spans="2:14" ht="15" thickBot="1">
      <c r="B25" s="1" t="s">
        <v>229</v>
      </c>
      <c r="C25" s="2" t="s">
        <v>216</v>
      </c>
      <c r="D25" s="2"/>
      <c r="E25" s="1"/>
      <c r="F25" s="1"/>
      <c r="G25" s="1"/>
      <c r="H25" s="1"/>
      <c r="I25" s="1"/>
      <c r="J25" s="1"/>
      <c r="K25" s="1"/>
      <c r="M25" s="12" t="s">
        <v>188</v>
      </c>
      <c r="N25" s="12" t="s">
        <v>265</v>
      </c>
    </row>
    <row r="26" spans="2:14" ht="15" thickBot="1">
      <c r="B26" s="3" t="s">
        <v>230</v>
      </c>
      <c r="C26" s="3" t="s">
        <v>231</v>
      </c>
      <c r="D26" s="13">
        <v>680</v>
      </c>
      <c r="E26" s="13">
        <v>509</v>
      </c>
      <c r="F26" s="13">
        <v>236</v>
      </c>
      <c r="G26" s="13">
        <v>86</v>
      </c>
      <c r="H26" s="13">
        <v>33</v>
      </c>
      <c r="I26" s="33">
        <v>0.25</v>
      </c>
      <c r="J26" s="3" t="s">
        <v>448</v>
      </c>
      <c r="K26" s="3" t="s">
        <v>723</v>
      </c>
      <c r="M26" s="12" t="s">
        <v>192</v>
      </c>
      <c r="N26" s="12" t="s">
        <v>724</v>
      </c>
    </row>
    <row r="27" spans="2:14" ht="15" thickBot="1">
      <c r="B27" s="36" t="s">
        <v>236</v>
      </c>
      <c r="C27" s="3" t="s">
        <v>223</v>
      </c>
      <c r="D27" s="3">
        <v>70</v>
      </c>
      <c r="E27" s="3">
        <v>70</v>
      </c>
      <c r="F27" s="3">
        <v>70</v>
      </c>
      <c r="G27" s="3">
        <v>70</v>
      </c>
      <c r="H27" s="3">
        <v>70</v>
      </c>
      <c r="I27" s="3"/>
      <c r="J27" s="3"/>
      <c r="K27" s="3"/>
      <c r="M27" s="12" t="s">
        <v>172</v>
      </c>
      <c r="N27" s="12" t="s">
        <v>267</v>
      </c>
    </row>
    <row r="28" spans="2:14" ht="15" thickBot="1">
      <c r="B28" s="36" t="s">
        <v>237</v>
      </c>
      <c r="C28" s="3" t="s">
        <v>223</v>
      </c>
      <c r="D28" s="3">
        <v>30</v>
      </c>
      <c r="E28" s="3">
        <v>30</v>
      </c>
      <c r="F28" s="3">
        <v>30</v>
      </c>
      <c r="G28" s="3">
        <v>30</v>
      </c>
      <c r="H28" s="3">
        <v>30</v>
      </c>
      <c r="I28" s="3"/>
      <c r="J28" s="3"/>
      <c r="K28" s="3" t="s">
        <v>244</v>
      </c>
    </row>
    <row r="29" spans="2:14" ht="15" thickBot="1">
      <c r="B29" s="30" t="s">
        <v>263</v>
      </c>
      <c r="C29" s="3" t="s">
        <v>239</v>
      </c>
      <c r="D29" s="34">
        <v>3400</v>
      </c>
      <c r="E29" s="34">
        <v>5100</v>
      </c>
      <c r="F29" s="34">
        <v>11800</v>
      </c>
      <c r="G29" s="34">
        <v>17300</v>
      </c>
      <c r="H29" s="34">
        <v>23100</v>
      </c>
      <c r="I29" s="33">
        <v>0.25</v>
      </c>
      <c r="J29" s="3"/>
      <c r="K29" s="3"/>
    </row>
    <row r="30" spans="2:14" ht="15" thickBot="1">
      <c r="B30" s="3" t="s">
        <v>242</v>
      </c>
      <c r="C30" s="3" t="s">
        <v>309</v>
      </c>
      <c r="D30" s="13">
        <v>10</v>
      </c>
      <c r="E30" s="13">
        <v>10</v>
      </c>
      <c r="F30" s="13">
        <v>3</v>
      </c>
      <c r="G30" s="13">
        <v>1</v>
      </c>
      <c r="H30" s="13">
        <v>1</v>
      </c>
      <c r="I30" s="3"/>
      <c r="J30" s="3" t="s">
        <v>522</v>
      </c>
      <c r="K30" s="3" t="s">
        <v>269</v>
      </c>
      <c r="M30" s="12"/>
    </row>
    <row r="31" spans="2:14" ht="15" thickBot="1">
      <c r="B31" s="1" t="s">
        <v>246</v>
      </c>
      <c r="C31" s="2" t="s">
        <v>216</v>
      </c>
      <c r="D31" s="1"/>
      <c r="E31" s="1"/>
      <c r="F31" s="1"/>
      <c r="G31" s="1"/>
      <c r="H31" s="1"/>
      <c r="I31" s="1"/>
      <c r="J31" s="1"/>
      <c r="K31" s="1"/>
      <c r="M31" s="12"/>
    </row>
    <row r="32" spans="2:14" ht="15" thickBot="1">
      <c r="B32" s="3" t="s">
        <v>248</v>
      </c>
      <c r="C32" s="3" t="s">
        <v>231</v>
      </c>
      <c r="D32" s="13">
        <v>162</v>
      </c>
      <c r="E32" s="13">
        <v>162</v>
      </c>
      <c r="F32" s="13">
        <v>162</v>
      </c>
      <c r="G32" s="13">
        <v>162</v>
      </c>
      <c r="H32" s="13">
        <v>162</v>
      </c>
      <c r="I32" s="13"/>
      <c r="J32" s="13" t="s">
        <v>172</v>
      </c>
      <c r="K32" s="13" t="s">
        <v>243</v>
      </c>
    </row>
    <row r="33" spans="2:14" ht="15" thickBot="1">
      <c r="B33" s="38" t="s">
        <v>263</v>
      </c>
      <c r="C33" s="39" t="s">
        <v>239</v>
      </c>
      <c r="D33" s="40">
        <v>4200</v>
      </c>
      <c r="E33" s="40">
        <v>6700</v>
      </c>
      <c r="F33" s="40">
        <v>19900</v>
      </c>
      <c r="G33" s="40">
        <v>49700</v>
      </c>
      <c r="H33" s="40">
        <v>136600</v>
      </c>
      <c r="I33" s="33">
        <v>0.25</v>
      </c>
      <c r="J33" s="40"/>
      <c r="K33" s="40"/>
      <c r="M33" s="4"/>
      <c r="N33" s="12"/>
    </row>
    <row r="34" spans="2:14">
      <c r="D34" s="10"/>
      <c r="E34" s="10"/>
      <c r="F34" s="10"/>
      <c r="G34" s="10"/>
      <c r="H34" s="10"/>
      <c r="M34" s="12"/>
    </row>
    <row r="35" spans="2:14">
      <c r="M35" s="12"/>
    </row>
    <row r="36" spans="2:14">
      <c r="B36" s="4" t="s">
        <v>214</v>
      </c>
      <c r="C36" s="4">
        <v>2040</v>
      </c>
      <c r="D36" s="4"/>
    </row>
    <row r="37" spans="2:14" ht="15" thickBot="1">
      <c r="B37" s="1" t="s">
        <v>215</v>
      </c>
      <c r="C37" s="2" t="s">
        <v>216</v>
      </c>
      <c r="D37" s="2"/>
      <c r="E37" s="1"/>
      <c r="F37" s="2"/>
      <c r="G37" s="1"/>
      <c r="H37" s="1"/>
      <c r="I37" s="1"/>
      <c r="J37" s="1"/>
      <c r="K37" s="1"/>
    </row>
    <row r="38" spans="2:14" ht="15" thickBot="1">
      <c r="B38" s="3" t="s">
        <v>220</v>
      </c>
      <c r="C38" s="30" t="s">
        <v>221</v>
      </c>
      <c r="D38" s="31">
        <v>5</v>
      </c>
      <c r="E38" s="3">
        <v>10</v>
      </c>
      <c r="F38" s="31">
        <v>50</v>
      </c>
      <c r="G38" s="3">
        <v>200</v>
      </c>
      <c r="H38" s="3">
        <v>700</v>
      </c>
      <c r="I38" s="3"/>
      <c r="J38" s="3"/>
      <c r="K38" s="3"/>
    </row>
    <row r="39" spans="2:14" ht="15" thickBot="1">
      <c r="B39" s="3" t="s">
        <v>222</v>
      </c>
      <c r="C39" s="5" t="s">
        <v>223</v>
      </c>
      <c r="D39" s="61">
        <v>99</v>
      </c>
      <c r="E39" s="13">
        <v>99</v>
      </c>
      <c r="F39" s="61">
        <v>99</v>
      </c>
      <c r="G39" s="13">
        <v>99</v>
      </c>
      <c r="H39" s="13">
        <v>99</v>
      </c>
      <c r="I39" s="3"/>
      <c r="J39" s="3" t="s">
        <v>151</v>
      </c>
      <c r="K39" s="3" t="s">
        <v>240</v>
      </c>
    </row>
    <row r="40" spans="2:14" ht="15" thickBot="1">
      <c r="B40" s="3" t="s">
        <v>226</v>
      </c>
      <c r="C40" s="5" t="s">
        <v>227</v>
      </c>
      <c r="D40" s="3">
        <v>25</v>
      </c>
      <c r="E40" s="3">
        <v>25</v>
      </c>
      <c r="F40" s="32">
        <v>25</v>
      </c>
      <c r="G40" s="3">
        <v>25</v>
      </c>
      <c r="H40" s="3">
        <v>25</v>
      </c>
      <c r="I40" s="3"/>
      <c r="J40" s="3" t="s">
        <v>522</v>
      </c>
      <c r="K40" s="3"/>
    </row>
    <row r="41" spans="2:14" ht="15" thickBot="1">
      <c r="B41" s="1" t="s">
        <v>229</v>
      </c>
      <c r="C41" s="2" t="s">
        <v>216</v>
      </c>
      <c r="D41" s="2"/>
      <c r="E41" s="1"/>
      <c r="F41" s="1"/>
      <c r="G41" s="1"/>
      <c r="H41" s="1"/>
      <c r="I41" s="1"/>
      <c r="J41" s="1"/>
      <c r="K41" s="1"/>
    </row>
    <row r="42" spans="2:14" ht="15" thickBot="1">
      <c r="B42" s="3" t="s">
        <v>230</v>
      </c>
      <c r="C42" s="3" t="s">
        <v>231</v>
      </c>
      <c r="D42" s="13">
        <v>647</v>
      </c>
      <c r="E42" s="13">
        <v>484</v>
      </c>
      <c r="F42" s="13">
        <v>224</v>
      </c>
      <c r="G42" s="13">
        <v>82</v>
      </c>
      <c r="H42" s="13">
        <v>31</v>
      </c>
      <c r="I42" s="33">
        <v>0.3</v>
      </c>
      <c r="J42" s="3" t="s">
        <v>448</v>
      </c>
      <c r="K42" s="3" t="s">
        <v>723</v>
      </c>
    </row>
    <row r="43" spans="2:14" ht="15" thickBot="1">
      <c r="B43" s="36" t="s">
        <v>236</v>
      </c>
      <c r="C43" s="3" t="s">
        <v>223</v>
      </c>
      <c r="D43" s="3">
        <v>70</v>
      </c>
      <c r="E43" s="3">
        <v>70</v>
      </c>
      <c r="F43" s="3">
        <v>70</v>
      </c>
      <c r="G43" s="3">
        <v>70</v>
      </c>
      <c r="H43" s="3">
        <v>70</v>
      </c>
      <c r="I43" s="3"/>
      <c r="J43" s="3"/>
      <c r="K43" s="3"/>
    </row>
    <row r="44" spans="2:14" ht="15" thickBot="1">
      <c r="B44" s="36" t="s">
        <v>237</v>
      </c>
      <c r="C44" s="3" t="s">
        <v>223</v>
      </c>
      <c r="D44" s="3">
        <v>30</v>
      </c>
      <c r="E44" s="3">
        <v>30</v>
      </c>
      <c r="F44" s="3">
        <v>30</v>
      </c>
      <c r="G44" s="3">
        <v>30</v>
      </c>
      <c r="H44" s="3">
        <v>30</v>
      </c>
      <c r="I44" s="3"/>
      <c r="J44" s="3"/>
      <c r="K44" s="3" t="s">
        <v>244</v>
      </c>
    </row>
    <row r="45" spans="2:14" ht="15" thickBot="1">
      <c r="B45" s="30" t="s">
        <v>263</v>
      </c>
      <c r="C45" s="3" t="s">
        <v>239</v>
      </c>
      <c r="D45" s="34">
        <v>3200</v>
      </c>
      <c r="E45" s="34">
        <v>4800</v>
      </c>
      <c r="F45" s="34">
        <v>11200</v>
      </c>
      <c r="G45" s="34">
        <v>16400</v>
      </c>
      <c r="H45" s="34">
        <v>22000</v>
      </c>
      <c r="I45" s="33">
        <v>0.3</v>
      </c>
      <c r="J45" s="3"/>
      <c r="K45" s="3"/>
    </row>
    <row r="46" spans="2:14" ht="15" thickBot="1">
      <c r="B46" s="3" t="s">
        <v>242</v>
      </c>
      <c r="C46" s="3" t="s">
        <v>309</v>
      </c>
      <c r="D46" s="13">
        <v>10</v>
      </c>
      <c r="E46" s="13">
        <v>10</v>
      </c>
      <c r="F46" s="13">
        <v>3</v>
      </c>
      <c r="G46" s="13">
        <v>1</v>
      </c>
      <c r="H46" s="13">
        <v>1</v>
      </c>
      <c r="I46" s="3"/>
      <c r="J46" s="3" t="s">
        <v>522</v>
      </c>
      <c r="K46" s="3" t="s">
        <v>269</v>
      </c>
    </row>
    <row r="47" spans="2:14" ht="15" thickBot="1">
      <c r="B47" s="1" t="s">
        <v>246</v>
      </c>
      <c r="C47" s="2" t="s">
        <v>216</v>
      </c>
      <c r="D47" s="1"/>
      <c r="E47" s="1"/>
      <c r="F47" s="1"/>
      <c r="G47" s="1"/>
      <c r="H47" s="1"/>
      <c r="I47" s="1"/>
      <c r="J47" s="1"/>
      <c r="K47" s="1"/>
    </row>
    <row r="48" spans="2:14" ht="15" thickBot="1">
      <c r="B48" s="3" t="s">
        <v>248</v>
      </c>
      <c r="C48" s="3" t="s">
        <v>231</v>
      </c>
      <c r="D48" s="13">
        <v>162</v>
      </c>
      <c r="E48" s="13">
        <v>162</v>
      </c>
      <c r="F48" s="13">
        <v>162</v>
      </c>
      <c r="G48" s="13">
        <v>162</v>
      </c>
      <c r="H48" s="13">
        <v>162</v>
      </c>
      <c r="I48" s="13"/>
      <c r="J48" s="13" t="s">
        <v>172</v>
      </c>
      <c r="K48" s="13" t="s">
        <v>243</v>
      </c>
    </row>
    <row r="49" spans="2:11" ht="15" thickBot="1">
      <c r="B49" s="38" t="s">
        <v>263</v>
      </c>
      <c r="C49" s="39" t="s">
        <v>239</v>
      </c>
      <c r="D49" s="40">
        <v>4000</v>
      </c>
      <c r="E49" s="40">
        <v>6400</v>
      </c>
      <c r="F49" s="40">
        <v>19300</v>
      </c>
      <c r="G49" s="40">
        <v>48800</v>
      </c>
      <c r="H49" s="40">
        <v>135500</v>
      </c>
      <c r="I49" s="33">
        <v>0.3</v>
      </c>
      <c r="J49" s="40"/>
      <c r="K49" s="40"/>
    </row>
    <row r="50" spans="2:11">
      <c r="D50" s="10"/>
      <c r="E50" s="10"/>
      <c r="F50" s="10"/>
      <c r="G50" s="10"/>
      <c r="H50" s="10"/>
    </row>
  </sheetData>
  <sheetProtection algorithmName="SHA-512" hashValue="mV9fezYM+tywiSO5SYVGzyNtueNYXlXISDQU0lVUE/CJ9zeeJmt9gYWsWjnR4F3VL3qxzrUDF4JH9eBDX6mNdA==" saltValue="5B3dFkgECPEwuLUp6XAKsA==" spinCount="100000" sheet="1" objects="1" scenarios="1"/>
  <mergeCells count="1">
    <mergeCell ref="G2:K3"/>
  </mergeCells>
  <conditionalFormatting sqref="I7 I10 I23 I39 Y8:Y9 I26 I42 I13:I14 I29:I30 I45:I46">
    <cfRule type="colorScale" priority="4">
      <colorScale>
        <cfvo type="num" val="0"/>
        <cfvo type="num" val="0.5"/>
        <color theme="0"/>
        <color theme="5"/>
      </colorScale>
    </cfRule>
  </conditionalFormatting>
  <conditionalFormatting sqref="I17">
    <cfRule type="colorScale" priority="3">
      <colorScale>
        <cfvo type="num" val="0"/>
        <cfvo type="num" val="0.5"/>
        <color theme="0"/>
        <color theme="5"/>
      </colorScale>
    </cfRule>
  </conditionalFormatting>
  <conditionalFormatting sqref="I33">
    <cfRule type="colorScale" priority="2">
      <colorScale>
        <cfvo type="num" val="0"/>
        <cfvo type="num" val="0.5"/>
        <color theme="0"/>
        <color theme="5"/>
      </colorScale>
    </cfRule>
  </conditionalFormatting>
  <conditionalFormatting sqref="I49">
    <cfRule type="colorScale" priority="1">
      <colorScale>
        <cfvo type="num" val="0"/>
        <cfvo type="num" val="0.5"/>
        <color theme="0"/>
        <color theme="5"/>
      </colorScale>
    </cfRule>
  </conditionalFormatting>
  <conditionalFormatting sqref="Y8:Y9">
    <cfRule type="colorScale" priority="5">
      <colorScale>
        <cfvo type="min"/>
        <cfvo type="max"/>
        <color theme="0"/>
        <color theme="5"/>
      </colorScale>
    </cfRule>
  </conditionalFormatting>
  <hyperlinks>
    <hyperlink ref="A1" location="Inhalt!A1" display="Zum Inhalt" xr:uid="{5BE26679-D71D-4717-B021-4A8F373BF4BD}"/>
  </hyperlinks>
  <pageMargins left="0.7" right="0.7" top="0.78740157499999996" bottom="0.78740157499999996" header="0.3" footer="0.3"/>
  <pageSetup paperSize="9" orientation="portrait" verticalDpi="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E457A-AD0F-4622-9A64-5800114846E3}">
  <sheetPr codeName="Tabelle49"/>
  <dimension ref="A1:U60"/>
  <sheetViews>
    <sheetView zoomScaleNormal="100" workbookViewId="0"/>
  </sheetViews>
  <sheetFormatPr baseColWidth="10" defaultColWidth="11.44140625" defaultRowHeight="14.4"/>
  <cols>
    <col min="2" max="2" width="31.44140625" bestFit="1" customWidth="1"/>
    <col min="3" max="3" width="16.33203125" customWidth="1"/>
    <col min="4" max="4" width="11.6640625" bestFit="1" customWidth="1"/>
    <col min="10" max="10" width="12.6640625" customWidth="1"/>
  </cols>
  <sheetData>
    <row r="1" spans="1:13" ht="28.2" thickBot="1">
      <c r="A1" s="99" t="s">
        <v>143</v>
      </c>
    </row>
    <row r="2" spans="1:13" ht="22.2" customHeight="1">
      <c r="G2" s="142" t="s">
        <v>212</v>
      </c>
      <c r="H2" s="143"/>
      <c r="I2" s="143"/>
      <c r="J2" s="143"/>
      <c r="K2" s="144"/>
    </row>
    <row r="3" spans="1:13" ht="22.2" customHeight="1" thickBot="1">
      <c r="B3" s="4" t="s">
        <v>213</v>
      </c>
      <c r="C3" s="4" t="s">
        <v>61</v>
      </c>
      <c r="G3" s="145"/>
      <c r="H3" s="146"/>
      <c r="I3" s="146"/>
      <c r="J3" s="146"/>
      <c r="K3" s="147"/>
    </row>
    <row r="4" spans="1:13">
      <c r="B4" s="4" t="s">
        <v>214</v>
      </c>
      <c r="C4" s="4">
        <v>2023</v>
      </c>
    </row>
    <row r="5" spans="1:13" ht="15" thickBot="1">
      <c r="B5" s="1" t="s">
        <v>215</v>
      </c>
      <c r="C5" s="2" t="s">
        <v>216</v>
      </c>
      <c r="D5" s="148"/>
      <c r="E5" s="148"/>
      <c r="F5" s="1" t="s">
        <v>217</v>
      </c>
      <c r="G5" s="1" t="s">
        <v>147</v>
      </c>
      <c r="H5" s="1" t="s">
        <v>148</v>
      </c>
      <c r="J5" s="4" t="s">
        <v>218</v>
      </c>
      <c r="K5" s="12" t="s">
        <v>725</v>
      </c>
    </row>
    <row r="6" spans="1:13" ht="15" thickBot="1">
      <c r="B6" s="3" t="s">
        <v>726</v>
      </c>
      <c r="C6" s="30" t="s">
        <v>727</v>
      </c>
      <c r="D6" s="41">
        <v>20000</v>
      </c>
      <c r="E6" s="62">
        <v>70000</v>
      </c>
      <c r="F6" s="3"/>
      <c r="G6" s="3" t="s">
        <v>290</v>
      </c>
      <c r="H6" s="3" t="s">
        <v>300</v>
      </c>
      <c r="J6" s="4" t="s">
        <v>214</v>
      </c>
      <c r="K6" s="4">
        <v>2023</v>
      </c>
      <c r="L6" s="4">
        <v>2030</v>
      </c>
      <c r="M6" s="4">
        <v>2040</v>
      </c>
    </row>
    <row r="7" spans="1:13" ht="15" thickBot="1">
      <c r="B7" s="3" t="s">
        <v>728</v>
      </c>
      <c r="C7" s="30" t="s">
        <v>729</v>
      </c>
      <c r="D7" s="3">
        <v>90</v>
      </c>
      <c r="E7" s="31">
        <v>90</v>
      </c>
      <c r="F7" s="33"/>
      <c r="G7" s="3" t="s">
        <v>290</v>
      </c>
      <c r="H7" s="3"/>
      <c r="J7" s="12" t="s">
        <v>225</v>
      </c>
      <c r="K7" s="12">
        <v>25487</v>
      </c>
      <c r="L7" s="12">
        <v>24477</v>
      </c>
      <c r="M7" s="12">
        <v>22938</v>
      </c>
    </row>
    <row r="8" spans="1:13" ht="15" thickBot="1">
      <c r="B8" s="3" t="s">
        <v>730</v>
      </c>
      <c r="C8" s="30" t="s">
        <v>729</v>
      </c>
      <c r="D8" s="3">
        <v>35</v>
      </c>
      <c r="E8" s="31">
        <v>35</v>
      </c>
      <c r="F8" s="3"/>
      <c r="G8" s="3" t="s">
        <v>305</v>
      </c>
      <c r="H8" s="3" t="s">
        <v>224</v>
      </c>
      <c r="J8" s="12" t="s">
        <v>228</v>
      </c>
      <c r="K8" s="12">
        <v>-0.42599999999999999</v>
      </c>
      <c r="L8" s="12">
        <v>-0.42599999999999999</v>
      </c>
      <c r="M8" s="12">
        <v>-0.42599999999999999</v>
      </c>
    </row>
    <row r="9" spans="1:13" ht="15" thickBot="1">
      <c r="B9" s="3" t="s">
        <v>731</v>
      </c>
      <c r="C9" s="30" t="s">
        <v>732</v>
      </c>
      <c r="D9" s="41">
        <v>1500</v>
      </c>
      <c r="E9" s="62">
        <v>4500</v>
      </c>
      <c r="F9" s="3"/>
      <c r="G9" s="3" t="s">
        <v>290</v>
      </c>
      <c r="H9" s="3" t="s">
        <v>249</v>
      </c>
      <c r="J9" s="12"/>
    </row>
    <row r="10" spans="1:13" ht="15" thickBot="1">
      <c r="B10" s="3" t="s">
        <v>733</v>
      </c>
      <c r="C10" s="30" t="s">
        <v>223</v>
      </c>
      <c r="D10" s="46">
        <v>70</v>
      </c>
      <c r="E10" s="61">
        <v>70</v>
      </c>
      <c r="F10" s="52">
        <v>0.1</v>
      </c>
      <c r="G10" s="3" t="s">
        <v>305</v>
      </c>
      <c r="H10" s="3" t="s">
        <v>304</v>
      </c>
      <c r="J10" s="4" t="s">
        <v>234</v>
      </c>
      <c r="K10" s="12" t="s">
        <v>306</v>
      </c>
    </row>
    <row r="11" spans="1:13" ht="15" thickBot="1">
      <c r="B11" s="3" t="s">
        <v>734</v>
      </c>
      <c r="C11" s="5" t="s">
        <v>223</v>
      </c>
      <c r="D11" s="46">
        <v>30</v>
      </c>
      <c r="E11" s="61">
        <v>30</v>
      </c>
      <c r="F11" s="52">
        <v>0.3</v>
      </c>
      <c r="G11" s="3" t="s">
        <v>305</v>
      </c>
      <c r="H11" s="3" t="s">
        <v>249</v>
      </c>
      <c r="J11" s="12"/>
    </row>
    <row r="12" spans="1:13" ht="15" thickBot="1">
      <c r="B12" s="3" t="s">
        <v>735</v>
      </c>
      <c r="C12" s="5" t="s">
        <v>736</v>
      </c>
      <c r="D12" s="3">
        <v>7.0000000000000007E-2</v>
      </c>
      <c r="E12" s="85">
        <v>7.0000000000000007E-2</v>
      </c>
      <c r="F12" s="52">
        <v>0.4</v>
      </c>
      <c r="G12" s="3" t="s">
        <v>305</v>
      </c>
      <c r="H12" s="3"/>
      <c r="J12" s="4" t="s">
        <v>148</v>
      </c>
    </row>
    <row r="13" spans="1:13" ht="15" thickBot="1">
      <c r="B13" s="3" t="s">
        <v>226</v>
      </c>
      <c r="C13" s="5" t="s">
        <v>227</v>
      </c>
      <c r="D13" s="3">
        <v>20</v>
      </c>
      <c r="E13" s="32">
        <v>20</v>
      </c>
      <c r="F13" s="3"/>
      <c r="G13" s="3" t="s">
        <v>737</v>
      </c>
      <c r="H13" s="3" t="s">
        <v>250</v>
      </c>
      <c r="J13" s="12" t="s">
        <v>240</v>
      </c>
      <c r="K13" s="12" t="s">
        <v>738</v>
      </c>
    </row>
    <row r="14" spans="1:13" ht="15" thickBot="1">
      <c r="B14" s="1" t="s">
        <v>229</v>
      </c>
      <c r="C14" s="2" t="s">
        <v>216</v>
      </c>
      <c r="D14" s="1"/>
      <c r="E14" s="1"/>
      <c r="F14" s="1"/>
      <c r="G14" s="1"/>
      <c r="H14" s="1"/>
      <c r="J14" s="12" t="s">
        <v>244</v>
      </c>
      <c r="K14" s="12" t="s">
        <v>739</v>
      </c>
    </row>
    <row r="15" spans="1:13" ht="21" thickBot="1">
      <c r="B15" s="3" t="s">
        <v>230</v>
      </c>
      <c r="C15" s="82" t="s">
        <v>740</v>
      </c>
      <c r="D15" s="41">
        <v>1131</v>
      </c>
      <c r="E15" s="41">
        <v>709</v>
      </c>
      <c r="F15" s="33">
        <v>0.15</v>
      </c>
      <c r="G15" s="3" t="s">
        <v>741</v>
      </c>
      <c r="H15" s="3" t="s">
        <v>252</v>
      </c>
      <c r="J15" s="12" t="s">
        <v>224</v>
      </c>
      <c r="K15" s="12" t="s">
        <v>742</v>
      </c>
    </row>
    <row r="16" spans="1:13" ht="15" thickBot="1">
      <c r="B16" s="36" t="s">
        <v>236</v>
      </c>
      <c r="C16" s="3" t="s">
        <v>223</v>
      </c>
      <c r="D16" s="46">
        <v>75</v>
      </c>
      <c r="E16" s="46">
        <v>75</v>
      </c>
      <c r="F16" s="3"/>
      <c r="G16" s="3" t="s">
        <v>305</v>
      </c>
      <c r="H16" s="3"/>
      <c r="J16" s="12" t="s">
        <v>250</v>
      </c>
      <c r="K16" s="12" t="s">
        <v>743</v>
      </c>
    </row>
    <row r="17" spans="2:11" ht="15" thickBot="1">
      <c r="B17" s="36" t="s">
        <v>237</v>
      </c>
      <c r="C17" s="3" t="s">
        <v>223</v>
      </c>
      <c r="D17" s="46">
        <v>25</v>
      </c>
      <c r="E17" s="46">
        <v>25</v>
      </c>
      <c r="F17" s="3"/>
      <c r="G17" s="3" t="s">
        <v>305</v>
      </c>
      <c r="H17" s="3"/>
      <c r="J17" s="12" t="s">
        <v>252</v>
      </c>
      <c r="K17" s="12" t="s">
        <v>744</v>
      </c>
    </row>
    <row r="18" spans="2:11" ht="15" thickBot="1">
      <c r="B18" s="30" t="s">
        <v>263</v>
      </c>
      <c r="C18" s="3" t="s">
        <v>428</v>
      </c>
      <c r="D18" s="41">
        <v>1697</v>
      </c>
      <c r="E18" s="41">
        <v>3189</v>
      </c>
      <c r="F18" s="33">
        <v>0.15</v>
      </c>
      <c r="G18" s="3"/>
      <c r="H18" s="3" t="s">
        <v>252</v>
      </c>
      <c r="J18" s="12" t="s">
        <v>249</v>
      </c>
      <c r="K18" s="12" t="s">
        <v>745</v>
      </c>
    </row>
    <row r="19" spans="2:11" ht="21" thickBot="1">
      <c r="B19" s="3" t="s">
        <v>242</v>
      </c>
      <c r="C19" s="82" t="s">
        <v>746</v>
      </c>
      <c r="D19" s="42">
        <v>3.7</v>
      </c>
      <c r="E19" s="42">
        <v>3.7</v>
      </c>
      <c r="F19" s="3"/>
      <c r="G19" s="3" t="s">
        <v>747</v>
      </c>
      <c r="H19" s="3"/>
      <c r="J19" s="12"/>
      <c r="K19" s="12"/>
    </row>
    <row r="20" spans="2:11">
      <c r="D20" s="11"/>
      <c r="E20" s="11"/>
      <c r="F20" s="12"/>
      <c r="G20" s="12"/>
      <c r="H20" s="12"/>
    </row>
    <row r="21" spans="2:11">
      <c r="D21" s="9"/>
      <c r="E21" s="9"/>
      <c r="F21" s="12"/>
      <c r="G21" s="12"/>
      <c r="H21" s="12"/>
      <c r="J21" s="4" t="s">
        <v>147</v>
      </c>
    </row>
    <row r="22" spans="2:11">
      <c r="B22" s="4" t="s">
        <v>214</v>
      </c>
      <c r="C22" s="4">
        <v>2030</v>
      </c>
      <c r="F22" s="56"/>
      <c r="G22" s="56"/>
      <c r="H22" s="56"/>
      <c r="J22" s="12" t="s">
        <v>151</v>
      </c>
      <c r="K22" s="12" t="s">
        <v>185</v>
      </c>
    </row>
    <row r="23" spans="2:11" ht="15" thickBot="1">
      <c r="B23" s="1" t="s">
        <v>215</v>
      </c>
      <c r="C23" s="2" t="s">
        <v>216</v>
      </c>
      <c r="D23" s="1"/>
      <c r="E23" s="2"/>
      <c r="F23" s="1" t="s">
        <v>217</v>
      </c>
      <c r="G23" s="1" t="s">
        <v>147</v>
      </c>
      <c r="H23" s="1" t="s">
        <v>148</v>
      </c>
      <c r="J23" s="12" t="s">
        <v>184</v>
      </c>
      <c r="K23" s="12" t="s">
        <v>748</v>
      </c>
    </row>
    <row r="24" spans="2:11" ht="15" thickBot="1">
      <c r="B24" s="3" t="s">
        <v>726</v>
      </c>
      <c r="C24" s="30" t="s">
        <v>727</v>
      </c>
      <c r="D24" s="41">
        <v>20000</v>
      </c>
      <c r="E24" s="62">
        <v>70000</v>
      </c>
      <c r="F24" s="3"/>
      <c r="G24" s="3" t="s">
        <v>290</v>
      </c>
      <c r="H24" s="3" t="s">
        <v>300</v>
      </c>
      <c r="J24" s="12" t="s">
        <v>186</v>
      </c>
      <c r="K24" s="12" t="s">
        <v>749</v>
      </c>
    </row>
    <row r="25" spans="2:11" ht="15" thickBot="1">
      <c r="B25" s="3" t="s">
        <v>728</v>
      </c>
      <c r="C25" s="30" t="s">
        <v>729</v>
      </c>
      <c r="D25" s="3">
        <v>90</v>
      </c>
      <c r="E25" s="31">
        <v>90</v>
      </c>
      <c r="F25" s="33"/>
      <c r="G25" s="3" t="s">
        <v>290</v>
      </c>
      <c r="H25" s="3"/>
      <c r="J25" s="12" t="s">
        <v>188</v>
      </c>
      <c r="K25" s="12" t="s">
        <v>750</v>
      </c>
    </row>
    <row r="26" spans="2:11" ht="15" thickBot="1">
      <c r="B26" s="3" t="s">
        <v>730</v>
      </c>
      <c r="C26" s="30" t="s">
        <v>729</v>
      </c>
      <c r="D26" s="3">
        <v>35</v>
      </c>
      <c r="E26" s="31">
        <v>35</v>
      </c>
      <c r="F26" s="3"/>
      <c r="G26" s="3" t="s">
        <v>305</v>
      </c>
      <c r="H26" s="3" t="s">
        <v>224</v>
      </c>
      <c r="J26" s="12" t="s">
        <v>192</v>
      </c>
      <c r="K26" s="12" t="s">
        <v>751</v>
      </c>
    </row>
    <row r="27" spans="2:11" ht="15" thickBot="1">
      <c r="B27" s="3" t="s">
        <v>731</v>
      </c>
      <c r="C27" s="30" t="s">
        <v>732</v>
      </c>
      <c r="D27" s="41">
        <v>1500</v>
      </c>
      <c r="E27" s="41">
        <v>4500</v>
      </c>
      <c r="F27" s="3"/>
      <c r="G27" s="3" t="s">
        <v>290</v>
      </c>
      <c r="H27" s="3" t="s">
        <v>249</v>
      </c>
      <c r="J27" s="12" t="s">
        <v>172</v>
      </c>
      <c r="K27" s="12" t="s">
        <v>752</v>
      </c>
    </row>
    <row r="28" spans="2:11" ht="15" thickBot="1">
      <c r="B28" s="3" t="s">
        <v>733</v>
      </c>
      <c r="C28" s="30" t="s">
        <v>223</v>
      </c>
      <c r="D28" s="46">
        <v>70</v>
      </c>
      <c r="E28" s="61">
        <v>70</v>
      </c>
      <c r="F28" s="52">
        <v>0.1</v>
      </c>
      <c r="G28" s="3" t="s">
        <v>305</v>
      </c>
      <c r="H28" s="3" t="s">
        <v>304</v>
      </c>
      <c r="J28" s="12" t="s">
        <v>179</v>
      </c>
      <c r="K28" s="12" t="s">
        <v>753</v>
      </c>
    </row>
    <row r="29" spans="2:11" ht="15" thickBot="1">
      <c r="B29" s="3" t="s">
        <v>734</v>
      </c>
      <c r="C29" s="5" t="s">
        <v>223</v>
      </c>
      <c r="D29" s="46">
        <v>30</v>
      </c>
      <c r="E29" s="61">
        <v>30</v>
      </c>
      <c r="F29" s="52">
        <v>0.3</v>
      </c>
      <c r="G29" s="3" t="s">
        <v>305</v>
      </c>
      <c r="H29" s="3" t="s">
        <v>249</v>
      </c>
      <c r="J29" s="12" t="s">
        <v>196</v>
      </c>
      <c r="K29" s="12" t="s">
        <v>754</v>
      </c>
    </row>
    <row r="30" spans="2:11" ht="15" thickBot="1">
      <c r="B30" s="3" t="s">
        <v>735</v>
      </c>
      <c r="C30" s="5" t="s">
        <v>736</v>
      </c>
      <c r="D30" s="3">
        <v>7.0000000000000007E-2</v>
      </c>
      <c r="E30" s="85">
        <v>7.0000000000000007E-2</v>
      </c>
      <c r="F30" s="52">
        <v>0.4</v>
      </c>
      <c r="G30" s="3" t="s">
        <v>305</v>
      </c>
      <c r="H30" s="3"/>
      <c r="J30" s="12"/>
    </row>
    <row r="31" spans="2:11" ht="15" thickBot="1">
      <c r="B31" s="3" t="s">
        <v>226</v>
      </c>
      <c r="C31" s="5" t="s">
        <v>227</v>
      </c>
      <c r="D31" s="3">
        <v>20</v>
      </c>
      <c r="E31" s="32">
        <v>20</v>
      </c>
      <c r="F31" s="3"/>
      <c r="G31" s="3" t="s">
        <v>737</v>
      </c>
      <c r="H31" s="3" t="s">
        <v>250</v>
      </c>
      <c r="J31" s="12"/>
    </row>
    <row r="32" spans="2:11" ht="15" thickBot="1">
      <c r="B32" s="1" t="s">
        <v>229</v>
      </c>
      <c r="C32" s="2" t="s">
        <v>216</v>
      </c>
      <c r="D32" s="1"/>
      <c r="E32" s="1"/>
      <c r="F32" s="1"/>
      <c r="G32" s="1"/>
      <c r="H32" s="1"/>
    </row>
    <row r="33" spans="2:21" ht="21" thickBot="1">
      <c r="B33" s="3" t="s">
        <v>230</v>
      </c>
      <c r="C33" s="82" t="s">
        <v>740</v>
      </c>
      <c r="D33" s="41">
        <v>1087</v>
      </c>
      <c r="E33" s="41">
        <v>681</v>
      </c>
      <c r="F33" s="33">
        <v>0.2</v>
      </c>
      <c r="G33" s="3" t="s">
        <v>741</v>
      </c>
      <c r="H33" s="3" t="s">
        <v>252</v>
      </c>
    </row>
    <row r="34" spans="2:21" ht="15" thickBot="1">
      <c r="B34" s="36" t="s">
        <v>236</v>
      </c>
      <c r="C34" s="3" t="s">
        <v>223</v>
      </c>
      <c r="D34" s="46">
        <v>75</v>
      </c>
      <c r="E34" s="46">
        <v>75</v>
      </c>
      <c r="F34" s="3"/>
      <c r="G34" s="3" t="s">
        <v>305</v>
      </c>
      <c r="H34" s="3"/>
    </row>
    <row r="35" spans="2:21" ht="15" thickBot="1">
      <c r="B35" s="36" t="s">
        <v>237</v>
      </c>
      <c r="C35" s="3" t="s">
        <v>223</v>
      </c>
      <c r="D35" s="46">
        <v>25</v>
      </c>
      <c r="E35" s="46">
        <v>25</v>
      </c>
      <c r="F35" s="3"/>
      <c r="G35" s="3" t="s">
        <v>305</v>
      </c>
      <c r="H35" s="3"/>
      <c r="S35" s="10"/>
      <c r="U35" s="10"/>
    </row>
    <row r="36" spans="2:21" ht="15" thickBot="1">
      <c r="B36" s="30" t="s">
        <v>263</v>
      </c>
      <c r="C36" s="3" t="s">
        <v>428</v>
      </c>
      <c r="D36" s="41">
        <v>1630</v>
      </c>
      <c r="E36" s="41">
        <v>3063</v>
      </c>
      <c r="F36" s="33">
        <v>0.2</v>
      </c>
      <c r="G36" s="3"/>
      <c r="H36" s="3" t="s">
        <v>252</v>
      </c>
      <c r="S36" s="11"/>
      <c r="T36" s="11"/>
      <c r="U36" s="11"/>
    </row>
    <row r="37" spans="2:21" ht="21" thickBot="1">
      <c r="B37" s="3" t="s">
        <v>242</v>
      </c>
      <c r="C37" s="82" t="s">
        <v>746</v>
      </c>
      <c r="D37" s="42">
        <v>3.7</v>
      </c>
      <c r="E37" s="42">
        <v>3.7</v>
      </c>
      <c r="F37" s="3"/>
      <c r="G37" s="3" t="s">
        <v>747</v>
      </c>
      <c r="H37" s="3"/>
      <c r="S37" s="10"/>
      <c r="U37" s="10"/>
    </row>
    <row r="38" spans="2:21">
      <c r="D38" s="44"/>
      <c r="E38" s="44"/>
      <c r="F38" s="12"/>
      <c r="G38" s="12"/>
      <c r="H38" s="12"/>
      <c r="S38" s="10"/>
      <c r="U38" s="10"/>
    </row>
    <row r="39" spans="2:21">
      <c r="F39" s="12"/>
      <c r="G39" s="12"/>
      <c r="H39" s="12"/>
      <c r="S39" s="10"/>
      <c r="U39" s="10"/>
    </row>
    <row r="40" spans="2:21">
      <c r="B40" s="4" t="s">
        <v>214</v>
      </c>
      <c r="C40" s="4">
        <v>2040</v>
      </c>
      <c r="F40" s="56"/>
      <c r="G40" s="56"/>
      <c r="H40" s="56"/>
      <c r="R40" s="45"/>
      <c r="S40" s="45"/>
      <c r="T40" s="45"/>
      <c r="U40" s="45"/>
    </row>
    <row r="41" spans="2:21" ht="15" thickBot="1">
      <c r="B41" s="1" t="s">
        <v>215</v>
      </c>
      <c r="C41" s="2" t="s">
        <v>216</v>
      </c>
      <c r="D41" s="1"/>
      <c r="E41" s="2"/>
      <c r="F41" s="1" t="s">
        <v>217</v>
      </c>
      <c r="G41" s="1" t="s">
        <v>147</v>
      </c>
      <c r="H41" s="1" t="s">
        <v>148</v>
      </c>
      <c r="R41" s="45"/>
      <c r="S41" s="45"/>
      <c r="T41" s="45"/>
      <c r="U41" s="45"/>
    </row>
    <row r="42" spans="2:21" ht="15" thickBot="1">
      <c r="B42" s="3" t="s">
        <v>726</v>
      </c>
      <c r="C42" s="30" t="s">
        <v>727</v>
      </c>
      <c r="D42" s="41">
        <v>20000</v>
      </c>
      <c r="E42" s="62">
        <v>70000</v>
      </c>
      <c r="F42" s="3"/>
      <c r="G42" s="3" t="s">
        <v>290</v>
      </c>
      <c r="H42" s="3" t="s">
        <v>300</v>
      </c>
      <c r="R42" s="45"/>
      <c r="S42" s="45"/>
      <c r="T42" s="45"/>
      <c r="U42" s="45"/>
    </row>
    <row r="43" spans="2:21" ht="15" thickBot="1">
      <c r="B43" s="3" t="s">
        <v>728</v>
      </c>
      <c r="C43" s="30" t="s">
        <v>729</v>
      </c>
      <c r="D43" s="3">
        <v>90</v>
      </c>
      <c r="E43" s="31">
        <v>90</v>
      </c>
      <c r="F43" s="33"/>
      <c r="G43" s="3" t="s">
        <v>290</v>
      </c>
      <c r="H43" s="3"/>
    </row>
    <row r="44" spans="2:21" ht="15" thickBot="1">
      <c r="B44" s="3" t="s">
        <v>730</v>
      </c>
      <c r="C44" s="30" t="s">
        <v>729</v>
      </c>
      <c r="D44" s="3">
        <v>35</v>
      </c>
      <c r="E44" s="31">
        <v>35</v>
      </c>
      <c r="F44" s="3"/>
      <c r="G44" s="3" t="s">
        <v>305</v>
      </c>
      <c r="H44" s="3" t="s">
        <v>224</v>
      </c>
      <c r="J44" s="4"/>
      <c r="K44" s="12"/>
    </row>
    <row r="45" spans="2:21" ht="15" thickBot="1">
      <c r="B45" s="3" t="s">
        <v>731</v>
      </c>
      <c r="C45" s="30" t="s">
        <v>732</v>
      </c>
      <c r="D45" s="41">
        <v>1500</v>
      </c>
      <c r="E45" s="41">
        <v>4500</v>
      </c>
      <c r="F45" s="3"/>
      <c r="G45" s="3" t="s">
        <v>290</v>
      </c>
      <c r="H45" s="3" t="s">
        <v>249</v>
      </c>
      <c r="J45" s="12"/>
      <c r="K45" s="12"/>
    </row>
    <row r="46" spans="2:21" ht="15" thickBot="1">
      <c r="B46" s="3" t="s">
        <v>733</v>
      </c>
      <c r="C46" s="30" t="s">
        <v>223</v>
      </c>
      <c r="D46" s="46">
        <v>70</v>
      </c>
      <c r="E46" s="61">
        <v>70</v>
      </c>
      <c r="F46" s="52">
        <v>0.1</v>
      </c>
      <c r="G46" s="3" t="s">
        <v>305</v>
      </c>
      <c r="H46" s="3" t="s">
        <v>304</v>
      </c>
      <c r="J46" s="12"/>
      <c r="K46" s="12"/>
    </row>
    <row r="47" spans="2:21" ht="15" thickBot="1">
      <c r="B47" s="3" t="s">
        <v>734</v>
      </c>
      <c r="C47" s="5" t="s">
        <v>223</v>
      </c>
      <c r="D47" s="46">
        <v>30</v>
      </c>
      <c r="E47" s="61">
        <v>30</v>
      </c>
      <c r="F47" s="52">
        <v>0.3</v>
      </c>
      <c r="G47" s="3" t="s">
        <v>305</v>
      </c>
      <c r="H47" s="3" t="s">
        <v>249</v>
      </c>
      <c r="J47" s="12"/>
    </row>
    <row r="48" spans="2:21" ht="15" thickBot="1">
      <c r="B48" s="3" t="s">
        <v>735</v>
      </c>
      <c r="C48" s="5" t="s">
        <v>736</v>
      </c>
      <c r="D48" s="3">
        <v>7.0000000000000007E-2</v>
      </c>
      <c r="E48" s="85">
        <v>7.0000000000000007E-2</v>
      </c>
      <c r="F48" s="52">
        <v>0.4</v>
      </c>
      <c r="G48" s="3" t="s">
        <v>305</v>
      </c>
      <c r="H48" s="3"/>
      <c r="J48" s="12"/>
    </row>
    <row r="49" spans="2:10" ht="15" thickBot="1">
      <c r="B49" s="3" t="s">
        <v>226</v>
      </c>
      <c r="C49" s="5" t="s">
        <v>227</v>
      </c>
      <c r="D49" s="3">
        <v>20</v>
      </c>
      <c r="E49" s="32">
        <v>20</v>
      </c>
      <c r="F49" s="3"/>
      <c r="G49" s="3" t="s">
        <v>737</v>
      </c>
      <c r="H49" s="3" t="s">
        <v>250</v>
      </c>
      <c r="J49" s="12"/>
    </row>
    <row r="50" spans="2:10" ht="15" thickBot="1">
      <c r="B50" s="1" t="s">
        <v>229</v>
      </c>
      <c r="C50" s="2" t="s">
        <v>216</v>
      </c>
      <c r="D50" s="1"/>
      <c r="E50" s="1"/>
      <c r="F50" s="1"/>
      <c r="G50" s="1"/>
      <c r="H50" s="1"/>
      <c r="J50" s="12"/>
    </row>
    <row r="51" spans="2:10" ht="21" thickBot="1">
      <c r="B51" s="3" t="s">
        <v>230</v>
      </c>
      <c r="C51" s="82" t="s">
        <v>740</v>
      </c>
      <c r="D51" s="41">
        <v>1018</v>
      </c>
      <c r="E51" s="41">
        <v>638</v>
      </c>
      <c r="F51" s="33">
        <v>0.3</v>
      </c>
      <c r="G51" s="3" t="s">
        <v>741</v>
      </c>
      <c r="H51" s="3" t="s">
        <v>252</v>
      </c>
    </row>
    <row r="52" spans="2:10" ht="15" thickBot="1">
      <c r="B52" s="36" t="s">
        <v>236</v>
      </c>
      <c r="C52" s="3" t="s">
        <v>223</v>
      </c>
      <c r="D52" s="46">
        <v>75</v>
      </c>
      <c r="E52" s="46">
        <v>75</v>
      </c>
      <c r="F52" s="3"/>
      <c r="G52" s="3" t="s">
        <v>305</v>
      </c>
      <c r="H52" s="3"/>
    </row>
    <row r="53" spans="2:10" ht="15" thickBot="1">
      <c r="B53" s="36" t="s">
        <v>237</v>
      </c>
      <c r="C53" s="3" t="s">
        <v>755</v>
      </c>
      <c r="D53" s="46">
        <v>25</v>
      </c>
      <c r="E53" s="46">
        <v>25</v>
      </c>
      <c r="F53" s="3"/>
      <c r="G53" s="3" t="s">
        <v>305</v>
      </c>
      <c r="H53" s="3"/>
    </row>
    <row r="54" spans="2:10" ht="15" thickBot="1">
      <c r="B54" s="30" t="s">
        <v>263</v>
      </c>
      <c r="C54" s="3" t="s">
        <v>428</v>
      </c>
      <c r="D54" s="41">
        <v>1527</v>
      </c>
      <c r="E54" s="41">
        <v>2870</v>
      </c>
      <c r="F54" s="33">
        <v>0.3</v>
      </c>
      <c r="G54" s="3"/>
      <c r="H54" s="3" t="s">
        <v>252</v>
      </c>
    </row>
    <row r="55" spans="2:10" ht="21" thickBot="1">
      <c r="B55" s="3" t="s">
        <v>242</v>
      </c>
      <c r="C55" s="82" t="s">
        <v>746</v>
      </c>
      <c r="D55" s="42">
        <v>3.7</v>
      </c>
      <c r="E55" s="42">
        <v>3.7</v>
      </c>
      <c r="F55" s="3"/>
      <c r="G55" s="3" t="s">
        <v>747</v>
      </c>
      <c r="H55" s="3"/>
    </row>
    <row r="56" spans="2:10">
      <c r="D56" s="44"/>
      <c r="E56" s="44"/>
      <c r="F56" s="12"/>
      <c r="G56" s="12"/>
      <c r="H56" s="12"/>
    </row>
    <row r="57" spans="2:10">
      <c r="F57" s="12"/>
      <c r="G57" s="12"/>
      <c r="H57" s="12"/>
    </row>
    <row r="58" spans="2:10">
      <c r="F58" s="56"/>
      <c r="G58" s="56"/>
      <c r="H58" s="56"/>
    </row>
    <row r="59" spans="2:10">
      <c r="F59" s="83"/>
      <c r="G59" s="83"/>
      <c r="H59" s="83"/>
    </row>
    <row r="60" spans="2:10">
      <c r="F60" s="12"/>
      <c r="G60" s="12"/>
      <c r="H60" s="12"/>
    </row>
  </sheetData>
  <sheetProtection algorithmName="SHA-512" hashValue="4mdIZQuUVuZ7xXlb4RZQ0maPJbPeTU2/wh/SgNYWxADVJinaw5RHYrnRg6qGY2Lw11c2vfHJG+Po+O3p9M155w==" saltValue="RPLzLVWhubFdpMCBDIV5PA==" spinCount="100000" sheet="1" objects="1" scenarios="1"/>
  <mergeCells count="2">
    <mergeCell ref="G2:K3"/>
    <mergeCell ref="D5:E5"/>
  </mergeCells>
  <conditionalFormatting sqref="F7 F15 F18:F19">
    <cfRule type="colorScale" priority="8">
      <colorScale>
        <cfvo type="num" val="0"/>
        <cfvo type="num" val="0.5"/>
        <color theme="0"/>
        <color theme="5"/>
      </colorScale>
    </cfRule>
  </conditionalFormatting>
  <conditionalFormatting sqref="F10:F12">
    <cfRule type="colorScale" priority="5">
      <colorScale>
        <cfvo type="num" val="0"/>
        <cfvo type="num" val="0.5"/>
        <color theme="0"/>
        <color theme="5"/>
      </colorScale>
    </cfRule>
  </conditionalFormatting>
  <conditionalFormatting sqref="F25 F33 F36:F37">
    <cfRule type="colorScale" priority="7">
      <colorScale>
        <cfvo type="num" val="0"/>
        <cfvo type="num" val="0.5"/>
        <color theme="0"/>
        <color theme="5"/>
      </colorScale>
    </cfRule>
  </conditionalFormatting>
  <conditionalFormatting sqref="F28:F29">
    <cfRule type="colorScale" priority="4">
      <colorScale>
        <cfvo type="num" val="0"/>
        <cfvo type="num" val="0.5"/>
        <color theme="0"/>
        <color theme="5"/>
      </colorScale>
    </cfRule>
  </conditionalFormatting>
  <conditionalFormatting sqref="F30">
    <cfRule type="colorScale" priority="2">
      <colorScale>
        <cfvo type="num" val="0"/>
        <cfvo type="num" val="0.5"/>
        <color theme="0"/>
        <color theme="5"/>
      </colorScale>
    </cfRule>
  </conditionalFormatting>
  <conditionalFormatting sqref="F43 F51 F54:F55">
    <cfRule type="colorScale" priority="6">
      <colorScale>
        <cfvo type="num" val="0"/>
        <cfvo type="num" val="0.5"/>
        <color theme="0"/>
        <color theme="5"/>
      </colorScale>
    </cfRule>
  </conditionalFormatting>
  <conditionalFormatting sqref="F46:F47">
    <cfRule type="colorScale" priority="3">
      <colorScale>
        <cfvo type="num" val="0"/>
        <cfvo type="num" val="0.5"/>
        <color theme="0"/>
        <color theme="5"/>
      </colorScale>
    </cfRule>
  </conditionalFormatting>
  <conditionalFormatting sqref="F48">
    <cfRule type="colorScale" priority="1">
      <colorScale>
        <cfvo type="num" val="0"/>
        <cfvo type="num" val="0.5"/>
        <color theme="0"/>
        <color theme="5"/>
      </colorScale>
    </cfRule>
  </conditionalFormatting>
  <hyperlinks>
    <hyperlink ref="A1" location="Inhalt!A1" display="Zum Inhalt" xr:uid="{C058D6FF-6AD7-498A-8C56-8C180DCD2896}"/>
  </hyperlinks>
  <pageMargins left="0.7" right="0.7" top="0.78740157499999996" bottom="0.78740157499999996" header="0.3" footer="0.3"/>
  <pageSetup paperSize="9" orientation="portrait" verticalDpi="0"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DC66-174A-4716-9857-655A168F390D}">
  <sheetPr codeName="Tabelle50"/>
  <dimension ref="A1:M57"/>
  <sheetViews>
    <sheetView zoomScaleNormal="100" workbookViewId="0"/>
  </sheetViews>
  <sheetFormatPr baseColWidth="10" defaultColWidth="11.44140625" defaultRowHeight="14.4"/>
  <cols>
    <col min="2" max="2" width="31.44140625" bestFit="1" customWidth="1"/>
    <col min="3" max="3" width="16.44140625" customWidth="1"/>
    <col min="10" max="10" width="12.6640625" customWidth="1"/>
  </cols>
  <sheetData>
    <row r="1" spans="1:13" ht="28.2" thickBot="1">
      <c r="A1" s="99" t="s">
        <v>143</v>
      </c>
    </row>
    <row r="2" spans="1:13">
      <c r="G2" s="142" t="s">
        <v>212</v>
      </c>
      <c r="H2" s="143"/>
      <c r="I2" s="143"/>
      <c r="J2" s="143"/>
      <c r="K2" s="144"/>
    </row>
    <row r="3" spans="1:13" ht="15" thickBot="1">
      <c r="B3" s="4" t="s">
        <v>213</v>
      </c>
      <c r="C3" s="4" t="s">
        <v>65</v>
      </c>
      <c r="G3" s="145"/>
      <c r="H3" s="146"/>
      <c r="I3" s="146"/>
      <c r="J3" s="146"/>
      <c r="K3" s="147"/>
    </row>
    <row r="4" spans="1:13">
      <c r="B4" s="4" t="s">
        <v>214</v>
      </c>
      <c r="C4" s="4">
        <v>2023</v>
      </c>
    </row>
    <row r="5" spans="1:13" ht="15" thickBot="1">
      <c r="B5" s="1" t="s">
        <v>215</v>
      </c>
      <c r="C5" s="2" t="s">
        <v>216</v>
      </c>
      <c r="D5" s="148" t="s">
        <v>756</v>
      </c>
      <c r="E5" s="148"/>
      <c r="F5" s="1" t="s">
        <v>217</v>
      </c>
      <c r="G5" s="1" t="s">
        <v>147</v>
      </c>
      <c r="H5" s="1" t="s">
        <v>148</v>
      </c>
      <c r="J5" s="4" t="s">
        <v>218</v>
      </c>
      <c r="K5" s="12" t="s">
        <v>725</v>
      </c>
    </row>
    <row r="6" spans="1:13" ht="15" thickBot="1">
      <c r="B6" s="3" t="s">
        <v>726</v>
      </c>
      <c r="C6" s="30" t="s">
        <v>727</v>
      </c>
      <c r="D6" s="41">
        <v>1000</v>
      </c>
      <c r="E6" s="62">
        <v>3000</v>
      </c>
      <c r="F6" s="3"/>
      <c r="G6" s="3"/>
      <c r="H6" s="3" t="s">
        <v>224</v>
      </c>
      <c r="J6" s="4" t="s">
        <v>214</v>
      </c>
      <c r="K6" s="4">
        <v>2023</v>
      </c>
      <c r="L6" s="4">
        <v>2030</v>
      </c>
      <c r="M6" s="4">
        <v>2040</v>
      </c>
    </row>
    <row r="7" spans="1:13" ht="15" thickBot="1">
      <c r="B7" s="3" t="s">
        <v>757</v>
      </c>
      <c r="C7" s="30" t="s">
        <v>758</v>
      </c>
      <c r="D7" s="3">
        <v>55</v>
      </c>
      <c r="E7" s="31">
        <v>55</v>
      </c>
      <c r="F7" s="33"/>
      <c r="G7" s="3" t="s">
        <v>305</v>
      </c>
      <c r="H7" s="3" t="s">
        <v>240</v>
      </c>
      <c r="J7" s="12" t="s">
        <v>225</v>
      </c>
      <c r="K7" s="12">
        <v>45862</v>
      </c>
      <c r="L7" s="12">
        <v>41276</v>
      </c>
      <c r="M7" s="12">
        <v>36689</v>
      </c>
    </row>
    <row r="8" spans="1:13" ht="15" thickBot="1">
      <c r="B8" s="3" t="s">
        <v>731</v>
      </c>
      <c r="C8" s="30" t="s">
        <v>732</v>
      </c>
      <c r="D8" s="3">
        <v>60</v>
      </c>
      <c r="E8" s="31">
        <v>175</v>
      </c>
      <c r="F8" s="3"/>
      <c r="G8" s="3" t="s">
        <v>305</v>
      </c>
      <c r="H8" s="3" t="s">
        <v>240</v>
      </c>
      <c r="J8" s="12" t="s">
        <v>228</v>
      </c>
      <c r="K8" s="12">
        <v>-0.45600000000000002</v>
      </c>
      <c r="L8" s="12">
        <v>-0.45600000000000002</v>
      </c>
      <c r="M8" s="12">
        <v>-0.45600000000000002</v>
      </c>
    </row>
    <row r="9" spans="1:13" ht="15" thickBot="1">
      <c r="B9" s="3" t="s">
        <v>733</v>
      </c>
      <c r="C9" s="30" t="s">
        <v>223</v>
      </c>
      <c r="D9" s="46">
        <v>70</v>
      </c>
      <c r="E9" s="61">
        <v>70</v>
      </c>
      <c r="F9" s="52">
        <v>0.1</v>
      </c>
      <c r="G9" s="3" t="s">
        <v>737</v>
      </c>
      <c r="H9" s="3" t="s">
        <v>244</v>
      </c>
      <c r="J9" s="12"/>
    </row>
    <row r="10" spans="1:13" ht="15" thickBot="1">
      <c r="B10" s="3" t="s">
        <v>734</v>
      </c>
      <c r="C10" s="5" t="s">
        <v>223</v>
      </c>
      <c r="D10" s="46">
        <v>30</v>
      </c>
      <c r="E10" s="61">
        <v>30</v>
      </c>
      <c r="F10" s="52">
        <v>0.3</v>
      </c>
      <c r="G10" s="3" t="s">
        <v>737</v>
      </c>
      <c r="H10" s="3" t="s">
        <v>252</v>
      </c>
      <c r="J10" s="4" t="s">
        <v>234</v>
      </c>
      <c r="K10" s="12" t="s">
        <v>306</v>
      </c>
    </row>
    <row r="11" spans="1:13" ht="15" thickBot="1">
      <c r="B11" s="3" t="s">
        <v>735</v>
      </c>
      <c r="C11" s="5" t="s">
        <v>736</v>
      </c>
      <c r="D11" s="3">
        <v>7.0000000000000007E-2</v>
      </c>
      <c r="E11" s="85">
        <v>7.0000000000000007E-2</v>
      </c>
      <c r="F11" s="52">
        <v>0.4</v>
      </c>
      <c r="G11" s="3" t="s">
        <v>305</v>
      </c>
      <c r="H11" s="3"/>
    </row>
    <row r="12" spans="1:13" ht="15" thickBot="1">
      <c r="B12" s="3" t="s">
        <v>226</v>
      </c>
      <c r="C12" s="5" t="s">
        <v>227</v>
      </c>
      <c r="D12" s="3">
        <v>30</v>
      </c>
      <c r="E12" s="32">
        <v>50</v>
      </c>
      <c r="F12" s="3"/>
      <c r="G12" s="3" t="s">
        <v>305</v>
      </c>
      <c r="H12" s="3" t="s">
        <v>224</v>
      </c>
      <c r="J12" s="4" t="s">
        <v>148</v>
      </c>
    </row>
    <row r="13" spans="1:13" ht="15" thickBot="1">
      <c r="B13" s="1" t="s">
        <v>229</v>
      </c>
      <c r="C13" s="2" t="s">
        <v>216</v>
      </c>
      <c r="D13" s="1"/>
      <c r="E13" s="1"/>
      <c r="F13" s="1"/>
      <c r="G13" s="1"/>
      <c r="H13" s="1"/>
      <c r="J13" s="12" t="s">
        <v>240</v>
      </c>
      <c r="K13" s="12" t="s">
        <v>759</v>
      </c>
    </row>
    <row r="14" spans="1:13" ht="21" thickBot="1">
      <c r="B14" s="3" t="s">
        <v>230</v>
      </c>
      <c r="C14" s="82" t="s">
        <v>740</v>
      </c>
      <c r="D14" s="41">
        <v>7088</v>
      </c>
      <c r="E14" s="41">
        <v>4350</v>
      </c>
      <c r="F14" s="33">
        <v>0.15</v>
      </c>
      <c r="G14" s="3" t="s">
        <v>760</v>
      </c>
      <c r="H14" s="3" t="s">
        <v>224</v>
      </c>
      <c r="J14" s="12" t="s">
        <v>244</v>
      </c>
      <c r="K14" s="12" t="s">
        <v>739</v>
      </c>
    </row>
    <row r="15" spans="1:13" ht="15" thickBot="1">
      <c r="B15" s="36" t="s">
        <v>236</v>
      </c>
      <c r="C15" s="3" t="s">
        <v>223</v>
      </c>
      <c r="D15" s="3">
        <v>75</v>
      </c>
      <c r="E15" s="3">
        <v>75</v>
      </c>
      <c r="F15" s="3"/>
      <c r="G15" s="3" t="s">
        <v>305</v>
      </c>
      <c r="H15" s="3"/>
      <c r="J15" s="12" t="s">
        <v>224</v>
      </c>
      <c r="K15" s="12" t="s">
        <v>761</v>
      </c>
    </row>
    <row r="16" spans="1:13" ht="15" thickBot="1">
      <c r="B16" s="36" t="s">
        <v>237</v>
      </c>
      <c r="C16" s="3" t="s">
        <v>223</v>
      </c>
      <c r="D16" s="3">
        <v>25</v>
      </c>
      <c r="E16" s="3">
        <v>25</v>
      </c>
      <c r="F16" s="3"/>
      <c r="G16" s="3" t="s">
        <v>305</v>
      </c>
      <c r="H16" s="3"/>
      <c r="J16" s="12" t="s">
        <v>250</v>
      </c>
      <c r="K16" s="12" t="s">
        <v>762</v>
      </c>
    </row>
    <row r="17" spans="2:11" ht="15" thickBot="1">
      <c r="B17" s="30" t="s">
        <v>263</v>
      </c>
      <c r="C17" s="3" t="s">
        <v>428</v>
      </c>
      <c r="D17" s="41">
        <v>425</v>
      </c>
      <c r="E17" s="41">
        <v>761</v>
      </c>
      <c r="F17" s="33">
        <v>0.15</v>
      </c>
      <c r="G17" s="3" t="s">
        <v>305</v>
      </c>
      <c r="H17" s="3"/>
      <c r="J17" s="12" t="s">
        <v>252</v>
      </c>
      <c r="K17" s="12" t="s">
        <v>745</v>
      </c>
    </row>
    <row r="18" spans="2:11" ht="21" thickBot="1">
      <c r="B18" s="3" t="s">
        <v>242</v>
      </c>
      <c r="C18" s="82" t="s">
        <v>746</v>
      </c>
      <c r="D18" s="42">
        <v>3.7</v>
      </c>
      <c r="E18" s="42">
        <v>3.7</v>
      </c>
      <c r="F18" s="3"/>
      <c r="G18" s="3" t="s">
        <v>747</v>
      </c>
      <c r="H18" s="3" t="s">
        <v>250</v>
      </c>
      <c r="J18" s="4" t="s">
        <v>147</v>
      </c>
    </row>
    <row r="19" spans="2:11">
      <c r="F19" s="12"/>
      <c r="G19" s="12"/>
      <c r="H19" s="12"/>
      <c r="J19" s="12" t="s">
        <v>151</v>
      </c>
      <c r="K19" s="12" t="s">
        <v>185</v>
      </c>
    </row>
    <row r="20" spans="2:11">
      <c r="F20" s="12"/>
      <c r="G20" s="12"/>
      <c r="H20" s="12"/>
      <c r="J20" s="12" t="s">
        <v>184</v>
      </c>
      <c r="K20" s="12" t="s">
        <v>763</v>
      </c>
    </row>
    <row r="21" spans="2:11">
      <c r="B21" s="4" t="s">
        <v>214</v>
      </c>
      <c r="C21" s="4">
        <v>2030</v>
      </c>
      <c r="F21" s="56"/>
      <c r="G21" s="56"/>
      <c r="H21" s="56"/>
      <c r="J21" s="12" t="s">
        <v>186</v>
      </c>
      <c r="K21" s="12" t="s">
        <v>749</v>
      </c>
    </row>
    <row r="22" spans="2:11" ht="15" thickBot="1">
      <c r="B22" s="1" t="s">
        <v>215</v>
      </c>
      <c r="C22" s="2" t="s">
        <v>216</v>
      </c>
      <c r="D22" s="1"/>
      <c r="E22" s="2"/>
      <c r="F22" s="1" t="s">
        <v>217</v>
      </c>
      <c r="G22" s="1" t="s">
        <v>147</v>
      </c>
      <c r="H22" s="1" t="s">
        <v>148</v>
      </c>
      <c r="J22" s="12" t="s">
        <v>188</v>
      </c>
      <c r="K22" s="12" t="s">
        <v>750</v>
      </c>
    </row>
    <row r="23" spans="2:11" ht="15" thickBot="1">
      <c r="B23" s="3" t="s">
        <v>726</v>
      </c>
      <c r="C23" s="30" t="s">
        <v>727</v>
      </c>
      <c r="D23" s="41">
        <v>1000</v>
      </c>
      <c r="E23" s="62">
        <v>3000</v>
      </c>
      <c r="F23" s="3"/>
      <c r="G23" s="3"/>
      <c r="H23" s="3" t="s">
        <v>224</v>
      </c>
      <c r="J23" s="12" t="s">
        <v>192</v>
      </c>
      <c r="K23" s="12" t="s">
        <v>751</v>
      </c>
    </row>
    <row r="24" spans="2:11" ht="15" thickBot="1">
      <c r="B24" s="3" t="s">
        <v>757</v>
      </c>
      <c r="C24" s="30" t="s">
        <v>758</v>
      </c>
      <c r="D24" s="3">
        <v>55</v>
      </c>
      <c r="E24" s="31">
        <v>55</v>
      </c>
      <c r="F24" s="33"/>
      <c r="G24" s="3" t="s">
        <v>305</v>
      </c>
      <c r="H24" s="3" t="s">
        <v>240</v>
      </c>
      <c r="J24" s="12" t="s">
        <v>172</v>
      </c>
      <c r="K24" s="12" t="s">
        <v>752</v>
      </c>
    </row>
    <row r="25" spans="2:11" ht="15" thickBot="1">
      <c r="B25" s="3" t="s">
        <v>731</v>
      </c>
      <c r="C25" s="30" t="s">
        <v>732</v>
      </c>
      <c r="D25" s="3">
        <v>60</v>
      </c>
      <c r="E25" s="31">
        <v>175</v>
      </c>
      <c r="F25" s="3"/>
      <c r="G25" s="3" t="s">
        <v>305</v>
      </c>
      <c r="H25" s="3" t="s">
        <v>240</v>
      </c>
      <c r="J25" s="12" t="s">
        <v>179</v>
      </c>
      <c r="K25" s="12" t="s">
        <v>753</v>
      </c>
    </row>
    <row r="26" spans="2:11" ht="15" thickBot="1">
      <c r="B26" s="3" t="s">
        <v>733</v>
      </c>
      <c r="C26" s="30" t="s">
        <v>223</v>
      </c>
      <c r="D26" s="46">
        <v>70</v>
      </c>
      <c r="E26" s="61">
        <v>70</v>
      </c>
      <c r="F26" s="52">
        <v>0.1</v>
      </c>
      <c r="G26" s="3" t="s">
        <v>737</v>
      </c>
      <c r="H26" s="3" t="s">
        <v>244</v>
      </c>
      <c r="J26" s="12" t="s">
        <v>196</v>
      </c>
      <c r="K26" s="12" t="s">
        <v>754</v>
      </c>
    </row>
    <row r="27" spans="2:11" ht="15" thickBot="1">
      <c r="B27" s="3" t="s">
        <v>734</v>
      </c>
      <c r="C27" s="5" t="s">
        <v>223</v>
      </c>
      <c r="D27" s="46">
        <v>30</v>
      </c>
      <c r="E27" s="61">
        <v>30</v>
      </c>
      <c r="F27" s="52">
        <v>0.3</v>
      </c>
      <c r="G27" s="3" t="s">
        <v>737</v>
      </c>
      <c r="H27" s="3"/>
      <c r="J27" s="12" t="s">
        <v>198</v>
      </c>
      <c r="K27" s="12" t="s">
        <v>764</v>
      </c>
    </row>
    <row r="28" spans="2:11" ht="15" thickBot="1">
      <c r="B28" s="3" t="s">
        <v>735</v>
      </c>
      <c r="C28" s="5" t="s">
        <v>736</v>
      </c>
      <c r="D28" s="3">
        <v>7.0000000000000007E-2</v>
      </c>
      <c r="E28" s="85">
        <v>7.0000000000000007E-2</v>
      </c>
      <c r="F28" s="52">
        <v>0.4</v>
      </c>
      <c r="G28" s="3" t="s">
        <v>305</v>
      </c>
      <c r="H28" s="3" t="s">
        <v>224</v>
      </c>
      <c r="J28" s="12"/>
    </row>
    <row r="29" spans="2:11" ht="15" thickBot="1">
      <c r="B29" s="3" t="s">
        <v>226</v>
      </c>
      <c r="C29" s="5" t="s">
        <v>227</v>
      </c>
      <c r="D29" s="3">
        <v>30</v>
      </c>
      <c r="E29" s="32">
        <v>50</v>
      </c>
      <c r="F29" s="3"/>
      <c r="G29" s="3" t="s">
        <v>305</v>
      </c>
      <c r="H29" s="3" t="s">
        <v>224</v>
      </c>
    </row>
    <row r="30" spans="2:11" ht="15" thickBot="1">
      <c r="B30" s="1" t="s">
        <v>229</v>
      </c>
      <c r="C30" s="2" t="s">
        <v>216</v>
      </c>
      <c r="D30" s="1"/>
      <c r="E30" s="1"/>
      <c r="F30" s="1"/>
      <c r="G30" s="1"/>
      <c r="H30" s="1"/>
    </row>
    <row r="31" spans="2:11" ht="21" thickBot="1">
      <c r="B31" s="3" t="s">
        <v>230</v>
      </c>
      <c r="C31" s="82" t="s">
        <v>740</v>
      </c>
      <c r="D31" s="41">
        <v>6379</v>
      </c>
      <c r="E31" s="41">
        <v>3915</v>
      </c>
      <c r="F31" s="33">
        <v>0.2</v>
      </c>
      <c r="G31" s="3" t="s">
        <v>760</v>
      </c>
      <c r="H31" s="3" t="s">
        <v>224</v>
      </c>
    </row>
    <row r="32" spans="2:11" ht="15" thickBot="1">
      <c r="B32" s="36" t="s">
        <v>236</v>
      </c>
      <c r="C32" s="3" t="s">
        <v>223</v>
      </c>
      <c r="D32" s="3">
        <v>75</v>
      </c>
      <c r="E32" s="3">
        <v>75</v>
      </c>
      <c r="F32" s="3"/>
      <c r="G32" s="3" t="s">
        <v>305</v>
      </c>
      <c r="H32" s="3"/>
    </row>
    <row r="33" spans="2:11" ht="15" thickBot="1">
      <c r="B33" s="36" t="s">
        <v>237</v>
      </c>
      <c r="C33" s="3" t="s">
        <v>223</v>
      </c>
      <c r="D33" s="3">
        <v>25</v>
      </c>
      <c r="E33" s="3">
        <v>25</v>
      </c>
      <c r="F33" s="3"/>
      <c r="G33" s="3" t="s">
        <v>305</v>
      </c>
      <c r="H33" s="3"/>
    </row>
    <row r="34" spans="2:11" ht="15" thickBot="1">
      <c r="B34" s="30" t="s">
        <v>263</v>
      </c>
      <c r="C34" s="3" t="s">
        <v>428</v>
      </c>
      <c r="D34" s="41">
        <v>383</v>
      </c>
      <c r="E34" s="41">
        <v>685</v>
      </c>
      <c r="F34" s="33">
        <v>0.2</v>
      </c>
      <c r="G34" s="3" t="s">
        <v>305</v>
      </c>
      <c r="H34" s="3"/>
    </row>
    <row r="35" spans="2:11" ht="21" thickBot="1">
      <c r="B35" s="3" t="s">
        <v>242</v>
      </c>
      <c r="C35" s="82" t="s">
        <v>746</v>
      </c>
      <c r="D35" s="42">
        <v>3.7</v>
      </c>
      <c r="E35" s="42">
        <v>3.7</v>
      </c>
      <c r="F35" s="3"/>
      <c r="G35" s="3" t="s">
        <v>747</v>
      </c>
      <c r="H35" s="3" t="s">
        <v>250</v>
      </c>
    </row>
    <row r="36" spans="2:11">
      <c r="D36" s="44"/>
      <c r="E36" s="44"/>
      <c r="F36" s="12"/>
      <c r="G36" s="12"/>
      <c r="H36" s="12"/>
    </row>
    <row r="37" spans="2:11">
      <c r="F37" s="12"/>
      <c r="G37" s="12"/>
      <c r="H37" s="12"/>
    </row>
    <row r="38" spans="2:11">
      <c r="B38" s="4" t="s">
        <v>214</v>
      </c>
      <c r="C38" s="4">
        <v>2040</v>
      </c>
      <c r="F38" s="56"/>
      <c r="G38" s="56"/>
      <c r="H38" s="56"/>
    </row>
    <row r="39" spans="2:11" ht="15" thickBot="1">
      <c r="B39" s="1" t="s">
        <v>215</v>
      </c>
      <c r="C39" s="2" t="s">
        <v>216</v>
      </c>
      <c r="D39" s="1"/>
      <c r="E39" s="2"/>
      <c r="F39" s="1" t="s">
        <v>217</v>
      </c>
      <c r="G39" s="1" t="s">
        <v>147</v>
      </c>
      <c r="H39" s="1" t="s">
        <v>148</v>
      </c>
    </row>
    <row r="40" spans="2:11" ht="15" thickBot="1">
      <c r="B40" s="3" t="s">
        <v>726</v>
      </c>
      <c r="C40" s="30" t="s">
        <v>727</v>
      </c>
      <c r="D40" s="41">
        <v>1000</v>
      </c>
      <c r="E40" s="41">
        <v>3000</v>
      </c>
      <c r="F40" s="3"/>
      <c r="G40" s="3"/>
      <c r="H40" s="3" t="s">
        <v>224</v>
      </c>
    </row>
    <row r="41" spans="2:11" ht="15" thickBot="1">
      <c r="B41" s="3" t="s">
        <v>757</v>
      </c>
      <c r="C41" s="30" t="s">
        <v>758</v>
      </c>
      <c r="D41" s="3">
        <v>55</v>
      </c>
      <c r="E41" s="31">
        <v>55</v>
      </c>
      <c r="F41" s="33"/>
      <c r="G41" s="3" t="s">
        <v>305</v>
      </c>
      <c r="H41" s="3" t="s">
        <v>240</v>
      </c>
    </row>
    <row r="42" spans="2:11" ht="15" thickBot="1">
      <c r="B42" s="3" t="s">
        <v>731</v>
      </c>
      <c r="C42" s="30" t="s">
        <v>732</v>
      </c>
      <c r="D42" s="3">
        <v>60</v>
      </c>
      <c r="E42" s="31">
        <v>175</v>
      </c>
      <c r="F42" s="3"/>
      <c r="G42" s="3" t="s">
        <v>305</v>
      </c>
      <c r="H42" s="3" t="s">
        <v>240</v>
      </c>
      <c r="J42" s="4"/>
      <c r="K42" s="12"/>
    </row>
    <row r="43" spans="2:11" ht="15" thickBot="1">
      <c r="B43" s="3" t="s">
        <v>733</v>
      </c>
      <c r="C43" s="30" t="s">
        <v>223</v>
      </c>
      <c r="D43" s="46">
        <v>70</v>
      </c>
      <c r="E43" s="61">
        <v>70</v>
      </c>
      <c r="F43" s="52">
        <v>0.1</v>
      </c>
      <c r="G43" s="3" t="s">
        <v>737</v>
      </c>
      <c r="H43" s="3" t="s">
        <v>244</v>
      </c>
      <c r="J43" s="12"/>
      <c r="K43" s="12"/>
    </row>
    <row r="44" spans="2:11" ht="15" thickBot="1">
      <c r="B44" s="3" t="s">
        <v>734</v>
      </c>
      <c r="C44" s="5" t="s">
        <v>223</v>
      </c>
      <c r="D44" s="46">
        <v>30</v>
      </c>
      <c r="E44" s="61">
        <v>30</v>
      </c>
      <c r="F44" s="52">
        <v>0.3</v>
      </c>
      <c r="G44" s="3" t="s">
        <v>737</v>
      </c>
      <c r="H44" s="3"/>
      <c r="J44" s="12"/>
      <c r="K44" s="12"/>
    </row>
    <row r="45" spans="2:11" ht="15" thickBot="1">
      <c r="B45" s="3" t="s">
        <v>735</v>
      </c>
      <c r="C45" s="5" t="s">
        <v>736</v>
      </c>
      <c r="D45" s="3">
        <v>7.0000000000000007E-2</v>
      </c>
      <c r="E45" s="85">
        <v>7.0000000000000007E-2</v>
      </c>
      <c r="F45" s="52">
        <v>0.4</v>
      </c>
      <c r="G45" s="3" t="s">
        <v>305</v>
      </c>
      <c r="H45" s="3" t="s">
        <v>224</v>
      </c>
      <c r="J45" s="12"/>
    </row>
    <row r="46" spans="2:11" ht="15" thickBot="1">
      <c r="B46" s="3" t="s">
        <v>226</v>
      </c>
      <c r="C46" s="5" t="s">
        <v>227</v>
      </c>
      <c r="D46" s="3">
        <v>30</v>
      </c>
      <c r="E46" s="32">
        <v>50</v>
      </c>
      <c r="F46" s="3"/>
      <c r="G46" s="3" t="s">
        <v>305</v>
      </c>
      <c r="H46" s="3" t="s">
        <v>224</v>
      </c>
      <c r="J46" s="12"/>
    </row>
    <row r="47" spans="2:11" ht="15" thickBot="1">
      <c r="B47" s="1" t="s">
        <v>229</v>
      </c>
      <c r="C47" s="2" t="s">
        <v>216</v>
      </c>
      <c r="D47" s="1"/>
      <c r="E47" s="1"/>
      <c r="F47" s="1"/>
      <c r="G47" s="1"/>
      <c r="H47" s="1"/>
      <c r="J47" s="12"/>
    </row>
    <row r="48" spans="2:11" ht="21" thickBot="1">
      <c r="B48" s="3" t="s">
        <v>230</v>
      </c>
      <c r="C48" s="82" t="s">
        <v>740</v>
      </c>
      <c r="D48" s="41">
        <v>5670</v>
      </c>
      <c r="E48" s="41">
        <v>3480</v>
      </c>
      <c r="F48" s="33">
        <v>0.3</v>
      </c>
      <c r="G48" s="3" t="s">
        <v>760</v>
      </c>
      <c r="H48" s="3" t="s">
        <v>224</v>
      </c>
    </row>
    <row r="49" spans="2:8" ht="15" thickBot="1">
      <c r="B49" s="36" t="s">
        <v>236</v>
      </c>
      <c r="C49" s="3" t="s">
        <v>223</v>
      </c>
      <c r="D49" s="3">
        <v>75</v>
      </c>
      <c r="E49" s="3">
        <v>75</v>
      </c>
      <c r="F49" s="3"/>
      <c r="G49" s="3" t="s">
        <v>305</v>
      </c>
      <c r="H49" s="3"/>
    </row>
    <row r="50" spans="2:8" ht="15" thickBot="1">
      <c r="B50" s="36" t="s">
        <v>237</v>
      </c>
      <c r="C50" s="3" t="s">
        <v>223</v>
      </c>
      <c r="D50" s="3">
        <v>25</v>
      </c>
      <c r="E50" s="3">
        <v>25</v>
      </c>
      <c r="F50" s="3"/>
      <c r="G50" s="3" t="s">
        <v>305</v>
      </c>
      <c r="H50" s="3"/>
    </row>
    <row r="51" spans="2:8" ht="15" thickBot="1">
      <c r="B51" s="30" t="s">
        <v>263</v>
      </c>
      <c r="C51" s="3" t="s">
        <v>428</v>
      </c>
      <c r="D51" s="41">
        <v>340</v>
      </c>
      <c r="E51" s="41">
        <v>609</v>
      </c>
      <c r="F51" s="33">
        <v>0.3</v>
      </c>
      <c r="G51" s="3" t="s">
        <v>305</v>
      </c>
      <c r="H51" s="3"/>
    </row>
    <row r="52" spans="2:8" ht="21" thickBot="1">
      <c r="B52" s="3" t="s">
        <v>242</v>
      </c>
      <c r="C52" s="82" t="s">
        <v>746</v>
      </c>
      <c r="D52" s="42">
        <v>3.7</v>
      </c>
      <c r="E52" s="42">
        <v>3.7</v>
      </c>
      <c r="F52" s="3"/>
      <c r="G52" s="3" t="s">
        <v>747</v>
      </c>
      <c r="H52" s="3" t="s">
        <v>250</v>
      </c>
    </row>
    <row r="53" spans="2:8">
      <c r="D53" s="44"/>
      <c r="E53" s="44"/>
      <c r="F53" s="12"/>
      <c r="G53" s="12"/>
      <c r="H53" s="12"/>
    </row>
    <row r="54" spans="2:8">
      <c r="F54" s="12"/>
      <c r="G54" s="12"/>
      <c r="H54" s="12"/>
    </row>
    <row r="55" spans="2:8">
      <c r="F55" s="56"/>
      <c r="G55" s="56"/>
      <c r="H55" s="56"/>
    </row>
    <row r="56" spans="2:8">
      <c r="F56" s="83"/>
      <c r="G56" s="83"/>
      <c r="H56" s="83"/>
    </row>
    <row r="57" spans="2:8">
      <c r="F57" s="12"/>
      <c r="G57" s="12"/>
      <c r="H57" s="12"/>
    </row>
  </sheetData>
  <sheetProtection algorithmName="SHA-512" hashValue="7pwlRi4XvfL5n1YEAFUh99wUTIjcoiGKMxieK+gt50k6nxPeSkUpYu/cv37+wVayrSz1+fnwBgRyxx5hrAGEmQ==" saltValue="pQYLR3SiPOwP1YV0Mi3tuQ==" spinCount="100000" sheet="1" objects="1" scenarios="1"/>
  <mergeCells count="2">
    <mergeCell ref="G2:K3"/>
    <mergeCell ref="D5:E5"/>
  </mergeCells>
  <conditionalFormatting sqref="F7 F14 F17:F18">
    <cfRule type="colorScale" priority="11">
      <colorScale>
        <cfvo type="num" val="0"/>
        <cfvo type="num" val="0.5"/>
        <color theme="0"/>
        <color theme="5"/>
      </colorScale>
    </cfRule>
  </conditionalFormatting>
  <conditionalFormatting sqref="F9:F10">
    <cfRule type="colorScale" priority="8">
      <colorScale>
        <cfvo type="num" val="0"/>
        <cfvo type="num" val="0.5"/>
        <color theme="0"/>
        <color theme="5"/>
      </colorScale>
    </cfRule>
  </conditionalFormatting>
  <conditionalFormatting sqref="F11">
    <cfRule type="colorScale" priority="3">
      <colorScale>
        <cfvo type="num" val="0"/>
        <cfvo type="num" val="0.5"/>
        <color theme="0"/>
        <color theme="5"/>
      </colorScale>
    </cfRule>
  </conditionalFormatting>
  <conditionalFormatting sqref="F24 F31 F34:F35">
    <cfRule type="colorScale" priority="10">
      <colorScale>
        <cfvo type="num" val="0"/>
        <cfvo type="num" val="0.5"/>
        <color theme="0"/>
        <color theme="5"/>
      </colorScale>
    </cfRule>
  </conditionalFormatting>
  <conditionalFormatting sqref="F26">
    <cfRule type="colorScale" priority="7">
      <colorScale>
        <cfvo type="num" val="0"/>
        <cfvo type="num" val="0.5"/>
        <color theme="0"/>
        <color theme="5"/>
      </colorScale>
    </cfRule>
  </conditionalFormatting>
  <conditionalFormatting sqref="F27">
    <cfRule type="colorScale" priority="6">
      <colorScale>
        <cfvo type="num" val="0"/>
        <cfvo type="num" val="0.5"/>
        <color theme="0"/>
        <color theme="5"/>
      </colorScale>
    </cfRule>
  </conditionalFormatting>
  <conditionalFormatting sqref="F28">
    <cfRule type="colorScale" priority="2">
      <colorScale>
        <cfvo type="num" val="0"/>
        <cfvo type="num" val="0.5"/>
        <color theme="0"/>
        <color theme="5"/>
      </colorScale>
    </cfRule>
  </conditionalFormatting>
  <conditionalFormatting sqref="F41 F48 F51:F52">
    <cfRule type="colorScale" priority="9">
      <colorScale>
        <cfvo type="num" val="0"/>
        <cfvo type="num" val="0.5"/>
        <color theme="0"/>
        <color theme="5"/>
      </colorScale>
    </cfRule>
  </conditionalFormatting>
  <conditionalFormatting sqref="F43">
    <cfRule type="colorScale" priority="4">
      <colorScale>
        <cfvo type="num" val="0"/>
        <cfvo type="num" val="0.5"/>
        <color theme="0"/>
        <color theme="5"/>
      </colorScale>
    </cfRule>
  </conditionalFormatting>
  <conditionalFormatting sqref="F44">
    <cfRule type="colorScale" priority="5">
      <colorScale>
        <cfvo type="num" val="0"/>
        <cfvo type="num" val="0.5"/>
        <color theme="0"/>
        <color theme="5"/>
      </colorScale>
    </cfRule>
  </conditionalFormatting>
  <conditionalFormatting sqref="F45">
    <cfRule type="colorScale" priority="1">
      <colorScale>
        <cfvo type="num" val="0"/>
        <cfvo type="num" val="0.5"/>
        <color theme="0"/>
        <color theme="5"/>
      </colorScale>
    </cfRule>
  </conditionalFormatting>
  <hyperlinks>
    <hyperlink ref="A1" location="Inhalt!A1" display="Zum Inhalt" xr:uid="{D4ADE53B-A732-41BB-8805-C31E0CB7E9F9}"/>
  </hyperlinks>
  <pageMargins left="0.7" right="0.7" top="0.78740157499999996" bottom="0.78740157499999996" header="0.3" footer="0.3"/>
  <pageSetup paperSize="9" orientation="portrait" verticalDpi="0"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A6800-D81C-478D-9053-FC1897838498}">
  <sheetPr codeName="Tabelle51"/>
  <dimension ref="A1:Z43"/>
  <sheetViews>
    <sheetView zoomScaleNormal="100" workbookViewId="0"/>
  </sheetViews>
  <sheetFormatPr baseColWidth="10" defaultColWidth="11.44140625" defaultRowHeight="14.4"/>
  <cols>
    <col min="2" max="2" width="28.33203125" bestFit="1" customWidth="1"/>
    <col min="3" max="3" width="12.33203125" bestFit="1" customWidth="1"/>
    <col min="14" max="14" width="12.6640625" customWidth="1"/>
  </cols>
  <sheetData>
    <row r="1" spans="1:26" ht="28.2" thickBot="1">
      <c r="A1" s="99" t="s">
        <v>143</v>
      </c>
    </row>
    <row r="2" spans="1:26" ht="23.7" customHeight="1">
      <c r="G2" s="142" t="s">
        <v>212</v>
      </c>
      <c r="H2" s="143"/>
      <c r="I2" s="143"/>
      <c r="J2" s="143"/>
      <c r="K2" s="143"/>
      <c r="L2" s="144"/>
    </row>
    <row r="3" spans="1:26" ht="15" thickBot="1">
      <c r="B3" s="4" t="s">
        <v>213</v>
      </c>
      <c r="C3" s="4" t="s">
        <v>69</v>
      </c>
      <c r="G3" s="145"/>
      <c r="H3" s="146"/>
      <c r="I3" s="146"/>
      <c r="J3" s="146"/>
      <c r="K3" s="146"/>
      <c r="L3" s="147"/>
    </row>
    <row r="4" spans="1:26">
      <c r="B4" s="4" t="s">
        <v>214</v>
      </c>
      <c r="C4" s="4">
        <v>2023</v>
      </c>
    </row>
    <row r="5" spans="1:26" ht="15" thickBot="1">
      <c r="B5" s="1" t="s">
        <v>215</v>
      </c>
      <c r="C5" s="2" t="s">
        <v>216</v>
      </c>
      <c r="D5" s="1"/>
      <c r="E5" s="2"/>
      <c r="F5" s="1"/>
      <c r="G5" s="1"/>
      <c r="H5" s="1"/>
      <c r="I5" s="1"/>
      <c r="J5" s="1" t="s">
        <v>217</v>
      </c>
      <c r="K5" s="1" t="s">
        <v>147</v>
      </c>
      <c r="L5" s="1" t="s">
        <v>148</v>
      </c>
      <c r="N5" s="4" t="s">
        <v>218</v>
      </c>
      <c r="O5" s="12" t="s">
        <v>765</v>
      </c>
    </row>
    <row r="6" spans="1:26" ht="15" thickBot="1">
      <c r="B6" s="3" t="s">
        <v>766</v>
      </c>
      <c r="C6" s="30" t="s">
        <v>260</v>
      </c>
      <c r="D6" s="3">
        <v>130</v>
      </c>
      <c r="E6" s="31">
        <v>150</v>
      </c>
      <c r="F6" s="3">
        <v>300</v>
      </c>
      <c r="G6" s="3">
        <v>301</v>
      </c>
      <c r="H6" s="3">
        <v>500</v>
      </c>
      <c r="I6" s="3">
        <v>1000</v>
      </c>
      <c r="J6" s="3"/>
      <c r="K6" s="3" t="s">
        <v>151</v>
      </c>
      <c r="L6" s="3"/>
      <c r="N6" s="4" t="s">
        <v>214</v>
      </c>
      <c r="O6" s="4">
        <v>2023</v>
      </c>
      <c r="P6" s="4">
        <v>2030</v>
      </c>
      <c r="Q6" s="4">
        <v>2040</v>
      </c>
    </row>
    <row r="7" spans="1:26" ht="15" thickBot="1">
      <c r="B7" s="3" t="s">
        <v>767</v>
      </c>
      <c r="C7" s="30" t="s">
        <v>729</v>
      </c>
      <c r="D7" s="3">
        <v>95</v>
      </c>
      <c r="E7" s="31">
        <v>95</v>
      </c>
      <c r="F7" s="3">
        <v>95</v>
      </c>
      <c r="G7" s="3">
        <v>95</v>
      </c>
      <c r="H7" s="3">
        <v>95</v>
      </c>
      <c r="I7" s="3">
        <v>95</v>
      </c>
      <c r="J7" s="3"/>
      <c r="K7" s="3" t="s">
        <v>151</v>
      </c>
      <c r="L7" s="3"/>
      <c r="N7" s="12" t="s">
        <v>225</v>
      </c>
      <c r="O7" s="12">
        <v>17.876999999999999</v>
      </c>
      <c r="P7" s="12">
        <v>17.876999999999999</v>
      </c>
      <c r="Q7" s="12">
        <v>17.876999999999999</v>
      </c>
    </row>
    <row r="8" spans="1:26" ht="15" thickBot="1">
      <c r="B8" s="3" t="s">
        <v>768</v>
      </c>
      <c r="C8" s="5" t="s">
        <v>769</v>
      </c>
      <c r="D8" s="3">
        <v>1.25</v>
      </c>
      <c r="E8" s="86">
        <v>1.3</v>
      </c>
      <c r="F8" s="3">
        <v>1.5</v>
      </c>
      <c r="G8" s="3">
        <v>1.92</v>
      </c>
      <c r="H8" s="37">
        <v>2</v>
      </c>
      <c r="I8" s="37">
        <v>2</v>
      </c>
      <c r="J8" s="33"/>
      <c r="K8" s="3" t="s">
        <v>151</v>
      </c>
      <c r="L8" s="3"/>
      <c r="N8" s="12" t="s">
        <v>228</v>
      </c>
      <c r="O8" s="12">
        <v>-0.34100000000000003</v>
      </c>
      <c r="P8" s="12">
        <v>-0.34100000000000003</v>
      </c>
      <c r="Q8" s="12">
        <v>-0.34100000000000003</v>
      </c>
    </row>
    <row r="9" spans="1:26" ht="15" thickBot="1">
      <c r="B9" s="3" t="s">
        <v>226</v>
      </c>
      <c r="C9" s="5" t="s">
        <v>227</v>
      </c>
      <c r="D9" s="3">
        <v>20</v>
      </c>
      <c r="E9" s="32">
        <v>20</v>
      </c>
      <c r="F9" s="3">
        <v>20</v>
      </c>
      <c r="G9" s="3">
        <v>20</v>
      </c>
      <c r="H9" s="3">
        <v>20</v>
      </c>
      <c r="I9" s="3">
        <v>20</v>
      </c>
      <c r="J9" s="3"/>
      <c r="K9" s="3" t="s">
        <v>188</v>
      </c>
      <c r="L9" s="3"/>
      <c r="N9" s="12"/>
      <c r="O9" s="12"/>
      <c r="Z9" s="44"/>
    </row>
    <row r="10" spans="1:26" ht="15" thickBot="1">
      <c r="B10" s="1" t="s">
        <v>463</v>
      </c>
      <c r="C10" s="2" t="s">
        <v>216</v>
      </c>
      <c r="D10" s="1"/>
      <c r="E10" s="1"/>
      <c r="F10" s="1"/>
      <c r="G10" s="1"/>
      <c r="H10" s="1"/>
      <c r="I10" s="1"/>
      <c r="J10" s="1"/>
      <c r="K10" s="1"/>
      <c r="L10" s="1"/>
      <c r="O10" s="12"/>
      <c r="Z10" s="44"/>
    </row>
    <row r="11" spans="1:26" ht="15" thickBot="1">
      <c r="B11" s="3" t="s">
        <v>230</v>
      </c>
      <c r="C11" s="3" t="s">
        <v>262</v>
      </c>
      <c r="D11" s="51">
        <v>3.4</v>
      </c>
      <c r="E11" s="51">
        <v>3.24</v>
      </c>
      <c r="F11" s="51">
        <v>2.58</v>
      </c>
      <c r="G11" s="51">
        <v>2.58</v>
      </c>
      <c r="H11" s="51">
        <v>2.0499999999999998</v>
      </c>
      <c r="I11" s="51">
        <v>1.73</v>
      </c>
      <c r="J11" s="33">
        <v>0.2</v>
      </c>
      <c r="K11" s="3" t="s">
        <v>616</v>
      </c>
      <c r="L11" s="3"/>
      <c r="N11" s="4" t="s">
        <v>234</v>
      </c>
      <c r="O11" s="12" t="s">
        <v>306</v>
      </c>
    </row>
    <row r="12" spans="1:26" ht="15" thickBot="1">
      <c r="B12" s="36" t="s">
        <v>236</v>
      </c>
      <c r="C12" s="3" t="s">
        <v>223</v>
      </c>
      <c r="D12" s="3">
        <v>75</v>
      </c>
      <c r="E12" s="3">
        <v>75</v>
      </c>
      <c r="F12" s="3">
        <v>75</v>
      </c>
      <c r="G12" s="3">
        <v>75</v>
      </c>
      <c r="H12" s="3">
        <v>75</v>
      </c>
      <c r="I12" s="3">
        <v>75</v>
      </c>
      <c r="J12" s="3"/>
      <c r="K12" s="3" t="s">
        <v>151</v>
      </c>
      <c r="L12" s="3"/>
    </row>
    <row r="13" spans="1:26" ht="15" thickBot="1">
      <c r="B13" s="36" t="s">
        <v>237</v>
      </c>
      <c r="C13" s="3" t="s">
        <v>223</v>
      </c>
      <c r="D13" s="3">
        <v>25</v>
      </c>
      <c r="E13" s="3">
        <v>25</v>
      </c>
      <c r="F13" s="3">
        <v>25</v>
      </c>
      <c r="G13" s="3">
        <v>25</v>
      </c>
      <c r="H13" s="3">
        <v>25</v>
      </c>
      <c r="I13" s="3">
        <v>25</v>
      </c>
      <c r="J13" s="3"/>
      <c r="K13" s="3" t="s">
        <v>151</v>
      </c>
      <c r="L13" s="3"/>
      <c r="N13" s="4" t="s">
        <v>147</v>
      </c>
    </row>
    <row r="14" spans="1:26" ht="15" thickBot="1">
      <c r="B14" s="30" t="s">
        <v>263</v>
      </c>
      <c r="C14" s="3" t="s">
        <v>239</v>
      </c>
      <c r="D14" s="34">
        <v>400</v>
      </c>
      <c r="E14" s="34">
        <v>500</v>
      </c>
      <c r="F14" s="34">
        <v>800</v>
      </c>
      <c r="G14" s="34">
        <v>800</v>
      </c>
      <c r="H14" s="34">
        <v>1025</v>
      </c>
      <c r="I14" s="34">
        <v>1726</v>
      </c>
      <c r="J14" s="33">
        <v>0.2</v>
      </c>
      <c r="K14" s="3"/>
      <c r="L14" s="3"/>
      <c r="N14" s="12" t="s">
        <v>151</v>
      </c>
      <c r="O14" s="12" t="s">
        <v>185</v>
      </c>
    </row>
    <row r="15" spans="1:26" ht="15" thickBot="1">
      <c r="B15" s="3" t="s">
        <v>242</v>
      </c>
      <c r="C15" s="3" t="s">
        <v>611</v>
      </c>
      <c r="D15" s="3">
        <v>0.5</v>
      </c>
      <c r="E15" s="3">
        <v>0.5</v>
      </c>
      <c r="F15" s="3">
        <v>1.3</v>
      </c>
      <c r="G15" s="3">
        <v>1.3</v>
      </c>
      <c r="H15" s="3">
        <v>1.3</v>
      </c>
      <c r="I15" s="3">
        <v>1.3</v>
      </c>
      <c r="J15" s="3"/>
      <c r="K15" s="3" t="s">
        <v>188</v>
      </c>
      <c r="L15" s="3"/>
      <c r="N15" s="12" t="s">
        <v>184</v>
      </c>
      <c r="O15" s="12" t="s">
        <v>770</v>
      </c>
    </row>
    <row r="16" spans="1:26">
      <c r="N16" s="12" t="s">
        <v>186</v>
      </c>
      <c r="O16" s="12" t="s">
        <v>771</v>
      </c>
    </row>
    <row r="17" spans="2:15">
      <c r="N17" s="12" t="s">
        <v>188</v>
      </c>
      <c r="O17" s="12" t="s">
        <v>772</v>
      </c>
    </row>
    <row r="18" spans="2:15">
      <c r="B18" s="4" t="s">
        <v>214</v>
      </c>
      <c r="C18" s="4">
        <v>2030</v>
      </c>
      <c r="N18" s="12"/>
      <c r="O18" s="12"/>
    </row>
    <row r="19" spans="2:15" ht="15" thickBot="1">
      <c r="B19" s="1" t="s">
        <v>215</v>
      </c>
      <c r="C19" s="2" t="s">
        <v>216</v>
      </c>
      <c r="D19" s="1"/>
      <c r="E19" s="2"/>
      <c r="F19" s="1"/>
      <c r="G19" s="1"/>
      <c r="H19" s="1"/>
      <c r="I19" s="1"/>
      <c r="J19" s="1" t="s">
        <v>217</v>
      </c>
      <c r="K19" s="1" t="s">
        <v>147</v>
      </c>
      <c r="L19" s="1" t="s">
        <v>148</v>
      </c>
      <c r="N19" s="12"/>
      <c r="O19" s="12"/>
    </row>
    <row r="20" spans="2:15" ht="15" thickBot="1">
      <c r="B20" s="3" t="s">
        <v>766</v>
      </c>
      <c r="C20" s="30" t="s">
        <v>260</v>
      </c>
      <c r="D20" s="3">
        <v>130</v>
      </c>
      <c r="E20" s="31">
        <v>150</v>
      </c>
      <c r="F20" s="3">
        <v>300</v>
      </c>
      <c r="G20" s="3">
        <v>301</v>
      </c>
      <c r="H20" s="3">
        <v>500</v>
      </c>
      <c r="I20" s="3">
        <v>1000</v>
      </c>
      <c r="J20" s="3"/>
      <c r="K20" s="3" t="s">
        <v>151</v>
      </c>
      <c r="L20" s="3"/>
    </row>
    <row r="21" spans="2:15" ht="15" thickBot="1">
      <c r="B21" s="3" t="s">
        <v>767</v>
      </c>
      <c r="C21" s="30" t="s">
        <v>729</v>
      </c>
      <c r="D21" s="3">
        <v>95</v>
      </c>
      <c r="E21" s="31">
        <v>95</v>
      </c>
      <c r="F21" s="3">
        <v>95</v>
      </c>
      <c r="G21" s="3">
        <v>95</v>
      </c>
      <c r="H21" s="3">
        <v>95</v>
      </c>
      <c r="I21" s="3">
        <v>95</v>
      </c>
      <c r="J21" s="3"/>
      <c r="K21" s="3" t="s">
        <v>151</v>
      </c>
      <c r="L21" s="3"/>
      <c r="N21" s="4"/>
    </row>
    <row r="22" spans="2:15" ht="15" thickBot="1">
      <c r="B22" s="3" t="s">
        <v>768</v>
      </c>
      <c r="C22" s="5" t="s">
        <v>769</v>
      </c>
      <c r="D22" s="3">
        <v>1.25</v>
      </c>
      <c r="E22" s="86">
        <v>1.3</v>
      </c>
      <c r="F22" s="3">
        <v>1.5</v>
      </c>
      <c r="G22" s="3">
        <v>1.92</v>
      </c>
      <c r="H22" s="37">
        <v>2</v>
      </c>
      <c r="I22" s="37">
        <v>2</v>
      </c>
      <c r="J22" s="33"/>
      <c r="K22" s="3" t="s">
        <v>151</v>
      </c>
      <c r="L22" s="3"/>
      <c r="N22" s="12"/>
      <c r="O22" s="12"/>
    </row>
    <row r="23" spans="2:15" ht="15" thickBot="1">
      <c r="B23" s="3" t="s">
        <v>226</v>
      </c>
      <c r="C23" s="5" t="s">
        <v>227</v>
      </c>
      <c r="D23" s="3">
        <v>20</v>
      </c>
      <c r="E23" s="32">
        <v>20</v>
      </c>
      <c r="F23" s="3">
        <v>20</v>
      </c>
      <c r="G23" s="3">
        <v>20</v>
      </c>
      <c r="H23" s="3">
        <v>20</v>
      </c>
      <c r="I23" s="3">
        <v>20</v>
      </c>
      <c r="J23" s="3"/>
      <c r="K23" s="3" t="s">
        <v>188</v>
      </c>
      <c r="L23" s="3"/>
      <c r="N23" s="12"/>
    </row>
    <row r="24" spans="2:15" ht="15" thickBot="1">
      <c r="B24" s="1" t="s">
        <v>463</v>
      </c>
      <c r="C24" s="2" t="s">
        <v>216</v>
      </c>
      <c r="D24" s="1"/>
      <c r="E24" s="1"/>
      <c r="F24" s="1"/>
      <c r="G24" s="1"/>
      <c r="H24" s="1"/>
      <c r="I24" s="1"/>
      <c r="J24" s="1"/>
      <c r="K24" s="1"/>
      <c r="L24" s="1"/>
    </row>
    <row r="25" spans="2:15" ht="15" thickBot="1">
      <c r="B25" s="3" t="s">
        <v>230</v>
      </c>
      <c r="C25" s="3" t="s">
        <v>262</v>
      </c>
      <c r="D25" s="51">
        <v>3.4</v>
      </c>
      <c r="E25" s="51">
        <v>3.24</v>
      </c>
      <c r="F25" s="51">
        <v>2.58</v>
      </c>
      <c r="G25" s="51">
        <v>2.58</v>
      </c>
      <c r="H25" s="51">
        <v>2.0499999999999998</v>
      </c>
      <c r="I25" s="51">
        <v>1.73</v>
      </c>
      <c r="J25" s="33">
        <v>0.25</v>
      </c>
      <c r="K25" s="3" t="s">
        <v>616</v>
      </c>
      <c r="L25" s="3"/>
    </row>
    <row r="26" spans="2:15" ht="15" thickBot="1">
      <c r="B26" s="36" t="s">
        <v>236</v>
      </c>
      <c r="C26" s="3" t="s">
        <v>223</v>
      </c>
      <c r="D26" s="3">
        <v>75</v>
      </c>
      <c r="E26" s="3">
        <v>75</v>
      </c>
      <c r="F26" s="3">
        <v>75</v>
      </c>
      <c r="G26" s="3">
        <v>75</v>
      </c>
      <c r="H26" s="3">
        <v>75</v>
      </c>
      <c r="I26" s="3">
        <v>75</v>
      </c>
      <c r="J26" s="3"/>
      <c r="K26" s="3" t="s">
        <v>151</v>
      </c>
      <c r="L26" s="3"/>
    </row>
    <row r="27" spans="2:15" ht="15" thickBot="1">
      <c r="B27" s="36" t="s">
        <v>237</v>
      </c>
      <c r="C27" s="3" t="s">
        <v>223</v>
      </c>
      <c r="D27" s="3">
        <v>25</v>
      </c>
      <c r="E27" s="3">
        <v>25</v>
      </c>
      <c r="F27" s="3">
        <v>25</v>
      </c>
      <c r="G27" s="3">
        <v>25</v>
      </c>
      <c r="H27" s="3">
        <v>25</v>
      </c>
      <c r="I27" s="3">
        <v>25</v>
      </c>
      <c r="J27" s="3"/>
      <c r="K27" s="3" t="s">
        <v>151</v>
      </c>
      <c r="L27" s="3"/>
    </row>
    <row r="28" spans="2:15" ht="15" thickBot="1">
      <c r="B28" s="30" t="s">
        <v>263</v>
      </c>
      <c r="C28" s="3" t="s">
        <v>239</v>
      </c>
      <c r="D28" s="34">
        <v>400</v>
      </c>
      <c r="E28" s="34">
        <v>500</v>
      </c>
      <c r="F28" s="34">
        <v>800</v>
      </c>
      <c r="G28" s="34">
        <v>800</v>
      </c>
      <c r="H28" s="34">
        <v>1025</v>
      </c>
      <c r="I28" s="34">
        <v>1726</v>
      </c>
      <c r="J28" s="33">
        <v>0.25</v>
      </c>
      <c r="K28" s="3"/>
      <c r="L28" s="3"/>
    </row>
    <row r="29" spans="2:15" ht="15" thickBot="1">
      <c r="B29" s="3" t="s">
        <v>242</v>
      </c>
      <c r="C29" s="3" t="s">
        <v>611</v>
      </c>
      <c r="D29" s="3">
        <v>0.5</v>
      </c>
      <c r="E29" s="3">
        <v>0.5</v>
      </c>
      <c r="F29" s="3">
        <v>1.3</v>
      </c>
      <c r="G29" s="3">
        <v>1.3</v>
      </c>
      <c r="H29" s="3">
        <v>1.3</v>
      </c>
      <c r="I29" s="3">
        <v>1.3</v>
      </c>
      <c r="J29" s="3"/>
      <c r="K29" s="3" t="s">
        <v>188</v>
      </c>
      <c r="L29" s="3"/>
    </row>
    <row r="30" spans="2:15">
      <c r="N30" s="12"/>
    </row>
    <row r="31" spans="2:15">
      <c r="N31" s="12"/>
    </row>
    <row r="32" spans="2:15">
      <c r="B32" s="4" t="s">
        <v>214</v>
      </c>
      <c r="C32" s="4">
        <v>2040</v>
      </c>
      <c r="N32" s="12"/>
    </row>
    <row r="33" spans="2:15" ht="15" thickBot="1">
      <c r="B33" s="1" t="s">
        <v>215</v>
      </c>
      <c r="C33" s="2" t="s">
        <v>216</v>
      </c>
      <c r="D33" s="1"/>
      <c r="E33" s="2"/>
      <c r="F33" s="1"/>
      <c r="G33" s="1"/>
      <c r="H33" s="1"/>
      <c r="I33" s="1"/>
      <c r="J33" s="1" t="s">
        <v>217</v>
      </c>
      <c r="K33" s="1" t="s">
        <v>147</v>
      </c>
      <c r="L33" s="1" t="s">
        <v>148</v>
      </c>
      <c r="N33" s="12"/>
    </row>
    <row r="34" spans="2:15" ht="15" thickBot="1">
      <c r="B34" s="3" t="s">
        <v>766</v>
      </c>
      <c r="C34" s="30" t="s">
        <v>260</v>
      </c>
      <c r="D34" s="3">
        <v>130</v>
      </c>
      <c r="E34" s="31">
        <v>150</v>
      </c>
      <c r="F34" s="3">
        <v>300</v>
      </c>
      <c r="G34" s="3">
        <v>301</v>
      </c>
      <c r="H34" s="3">
        <v>500</v>
      </c>
      <c r="I34" s="3">
        <v>1000</v>
      </c>
      <c r="J34" s="3"/>
      <c r="K34" s="3" t="s">
        <v>151</v>
      </c>
      <c r="L34" s="3"/>
    </row>
    <row r="35" spans="2:15" ht="15" thickBot="1">
      <c r="B35" s="3" t="s">
        <v>767</v>
      </c>
      <c r="C35" s="30" t="s">
        <v>729</v>
      </c>
      <c r="D35" s="3">
        <v>95</v>
      </c>
      <c r="E35" s="31">
        <v>95</v>
      </c>
      <c r="F35" s="3">
        <v>95</v>
      </c>
      <c r="G35" s="3">
        <v>95</v>
      </c>
      <c r="H35" s="3">
        <v>95</v>
      </c>
      <c r="I35" s="3">
        <v>95</v>
      </c>
      <c r="J35" s="3"/>
      <c r="K35" s="3" t="s">
        <v>151</v>
      </c>
      <c r="L35" s="3"/>
      <c r="N35" s="4"/>
    </row>
    <row r="36" spans="2:15" ht="15" thickBot="1">
      <c r="B36" s="3" t="s">
        <v>768</v>
      </c>
      <c r="C36" s="5" t="s">
        <v>769</v>
      </c>
      <c r="D36" s="3">
        <v>1.25</v>
      </c>
      <c r="E36" s="86">
        <v>1.3</v>
      </c>
      <c r="F36" s="3">
        <v>1.5</v>
      </c>
      <c r="G36" s="3">
        <v>1.92</v>
      </c>
      <c r="H36" s="37">
        <v>2</v>
      </c>
      <c r="I36" s="37">
        <v>2</v>
      </c>
      <c r="J36" s="33"/>
      <c r="K36" s="3" t="s">
        <v>151</v>
      </c>
      <c r="L36" s="3"/>
      <c r="N36" s="12"/>
      <c r="O36" s="12"/>
    </row>
    <row r="37" spans="2:15" ht="15" thickBot="1">
      <c r="B37" s="3" t="s">
        <v>226</v>
      </c>
      <c r="C37" s="5" t="s">
        <v>227</v>
      </c>
      <c r="D37" s="3">
        <v>20</v>
      </c>
      <c r="E37" s="32">
        <v>20</v>
      </c>
      <c r="F37" s="3">
        <v>20</v>
      </c>
      <c r="G37" s="3">
        <v>20</v>
      </c>
      <c r="H37" s="3">
        <v>20</v>
      </c>
      <c r="I37" s="3">
        <v>20</v>
      </c>
      <c r="J37" s="3"/>
      <c r="K37" s="3" t="s">
        <v>188</v>
      </c>
      <c r="L37" s="3"/>
      <c r="N37" s="12"/>
    </row>
    <row r="38" spans="2:15" ht="15" thickBot="1">
      <c r="B38" s="1" t="s">
        <v>463</v>
      </c>
      <c r="C38" s="2" t="s">
        <v>216</v>
      </c>
      <c r="D38" s="1"/>
      <c r="E38" s="1"/>
      <c r="F38" s="1"/>
      <c r="G38" s="1"/>
      <c r="H38" s="1"/>
      <c r="I38" s="1"/>
      <c r="J38" s="1"/>
      <c r="K38" s="1"/>
      <c r="L38" s="1"/>
    </row>
    <row r="39" spans="2:15" ht="15" thickBot="1">
      <c r="B39" s="3" t="s">
        <v>230</v>
      </c>
      <c r="C39" s="3" t="s">
        <v>262</v>
      </c>
      <c r="D39" s="51">
        <v>3.4</v>
      </c>
      <c r="E39" s="51">
        <v>3.24</v>
      </c>
      <c r="F39" s="51">
        <v>2.58</v>
      </c>
      <c r="G39" s="51">
        <v>2.58</v>
      </c>
      <c r="H39" s="51">
        <v>2.0499999999999998</v>
      </c>
      <c r="I39" s="51">
        <v>1.73</v>
      </c>
      <c r="J39" s="33">
        <v>0.3</v>
      </c>
      <c r="K39" s="3" t="s">
        <v>616</v>
      </c>
      <c r="L39" s="3"/>
    </row>
    <row r="40" spans="2:15" ht="15" thickBot="1">
      <c r="B40" s="36" t="s">
        <v>236</v>
      </c>
      <c r="C40" s="3" t="s">
        <v>223</v>
      </c>
      <c r="D40" s="3">
        <v>75</v>
      </c>
      <c r="E40" s="3">
        <v>75</v>
      </c>
      <c r="F40" s="3">
        <v>75</v>
      </c>
      <c r="G40" s="3">
        <v>75</v>
      </c>
      <c r="H40" s="3">
        <v>75</v>
      </c>
      <c r="I40" s="3">
        <v>75</v>
      </c>
      <c r="J40" s="3"/>
      <c r="K40" s="3" t="s">
        <v>151</v>
      </c>
      <c r="L40" s="3"/>
    </row>
    <row r="41" spans="2:15" ht="15" thickBot="1">
      <c r="B41" s="36" t="s">
        <v>237</v>
      </c>
      <c r="C41" s="3" t="s">
        <v>223</v>
      </c>
      <c r="D41" s="3">
        <v>25</v>
      </c>
      <c r="E41" s="3">
        <v>25</v>
      </c>
      <c r="F41" s="3">
        <v>25</v>
      </c>
      <c r="G41" s="3">
        <v>25</v>
      </c>
      <c r="H41" s="3">
        <v>25</v>
      </c>
      <c r="I41" s="3">
        <v>25</v>
      </c>
      <c r="J41" s="3"/>
      <c r="K41" s="3" t="s">
        <v>151</v>
      </c>
      <c r="L41" s="3"/>
    </row>
    <row r="42" spans="2:15" ht="15" thickBot="1">
      <c r="B42" s="30" t="s">
        <v>263</v>
      </c>
      <c r="C42" s="3" t="s">
        <v>239</v>
      </c>
      <c r="D42" s="34">
        <v>400</v>
      </c>
      <c r="E42" s="34">
        <v>500</v>
      </c>
      <c r="F42" s="34">
        <v>800</v>
      </c>
      <c r="G42" s="34">
        <v>800</v>
      </c>
      <c r="H42" s="34">
        <v>1025</v>
      </c>
      <c r="I42" s="34">
        <v>1726</v>
      </c>
      <c r="J42" s="33">
        <v>0.3</v>
      </c>
      <c r="K42" s="3"/>
      <c r="L42" s="3"/>
    </row>
    <row r="43" spans="2:15" ht="15" thickBot="1">
      <c r="B43" s="3" t="s">
        <v>242</v>
      </c>
      <c r="C43" s="3" t="s">
        <v>611</v>
      </c>
      <c r="D43" s="3">
        <v>0.5</v>
      </c>
      <c r="E43" s="3">
        <v>0.5</v>
      </c>
      <c r="F43" s="3">
        <v>1.3</v>
      </c>
      <c r="G43" s="3">
        <v>1.3</v>
      </c>
      <c r="H43" s="3">
        <v>1.3</v>
      </c>
      <c r="I43" s="3">
        <v>1.3</v>
      </c>
      <c r="J43" s="3"/>
      <c r="K43" s="3" t="s">
        <v>188</v>
      </c>
      <c r="L43" s="3"/>
    </row>
  </sheetData>
  <sheetProtection algorithmName="SHA-512" hashValue="kJFzXL+bPKhp60agn+E5hDqa8c6hQa4HBa/4hxioMQEJJfhV11U32HT/wYvW0qFV5VfD5XlZMNUtqG/yPW1fIA==" saltValue="1REzZcKbKmQ+h5EXWWp8Uw==" spinCount="100000" sheet="1" objects="1" scenarios="1"/>
  <mergeCells count="1">
    <mergeCell ref="G2:L3"/>
  </mergeCells>
  <conditionalFormatting sqref="J11 J8 Z9:Z10 J25 J22 J39 J36 J14:J15 J28:J29 J42:J43">
    <cfRule type="colorScale" priority="1">
      <colorScale>
        <cfvo type="num" val="0"/>
        <cfvo type="num" val="0.5"/>
        <color theme="0"/>
        <color theme="5"/>
      </colorScale>
    </cfRule>
  </conditionalFormatting>
  <conditionalFormatting sqref="Z9:Z10">
    <cfRule type="colorScale" priority="2">
      <colorScale>
        <cfvo type="min"/>
        <cfvo type="max"/>
        <color theme="0"/>
        <color theme="5"/>
      </colorScale>
    </cfRule>
  </conditionalFormatting>
  <hyperlinks>
    <hyperlink ref="A1" location="Inhalt!A1" display="Zum Inhalt" xr:uid="{55F1089D-A822-49E4-BFB6-14E90F0F34BA}"/>
  </hyperlinks>
  <pageMargins left="0.7" right="0.7" top="0.78740157499999996" bottom="0.78740157499999996" header="0.3" footer="0.3"/>
  <pageSetup paperSize="9" orientation="portrait" verticalDpi="0"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47C12-A916-4D73-8D45-3D80F136070A}">
  <sheetPr codeName="Tabelle52"/>
  <dimension ref="A1:Y43"/>
  <sheetViews>
    <sheetView zoomScaleNormal="100" workbookViewId="0">
      <selection activeCell="C3" sqref="C3"/>
    </sheetView>
  </sheetViews>
  <sheetFormatPr baseColWidth="10" defaultColWidth="11.44140625" defaultRowHeight="14.4"/>
  <cols>
    <col min="2" max="2" width="28.33203125" bestFit="1" customWidth="1"/>
    <col min="3" max="3" width="12.33203125" bestFit="1" customWidth="1"/>
    <col min="13" max="13" width="12.6640625" customWidth="1"/>
  </cols>
  <sheetData>
    <row r="1" spans="1:25" ht="28.2" thickBot="1">
      <c r="A1" s="99" t="s">
        <v>143</v>
      </c>
    </row>
    <row r="2" spans="1:25" ht="17.7" customHeight="1">
      <c r="F2" s="142" t="s">
        <v>212</v>
      </c>
      <c r="G2" s="143"/>
      <c r="H2" s="143"/>
      <c r="I2" s="143"/>
      <c r="J2" s="143"/>
      <c r="K2" s="144"/>
    </row>
    <row r="3" spans="1:25" ht="17.7" customHeight="1" thickBot="1">
      <c r="B3" s="4" t="s">
        <v>213</v>
      </c>
      <c r="C3" s="4" t="s">
        <v>73</v>
      </c>
      <c r="F3" s="145"/>
      <c r="G3" s="146"/>
      <c r="H3" s="146"/>
      <c r="I3" s="146"/>
      <c r="J3" s="146"/>
      <c r="K3" s="147"/>
    </row>
    <row r="4" spans="1:25">
      <c r="B4" s="4" t="s">
        <v>214</v>
      </c>
      <c r="C4" s="4">
        <v>2023</v>
      </c>
    </row>
    <row r="5" spans="1:25" ht="15" thickBot="1">
      <c r="B5" s="1" t="s">
        <v>215</v>
      </c>
      <c r="C5" s="2" t="s">
        <v>216</v>
      </c>
      <c r="D5" s="1"/>
      <c r="E5" s="2"/>
      <c r="F5" s="2"/>
      <c r="G5" s="1"/>
      <c r="H5" s="1"/>
      <c r="I5" s="1" t="s">
        <v>217</v>
      </c>
      <c r="J5" s="1" t="s">
        <v>147</v>
      </c>
      <c r="K5" s="1" t="s">
        <v>148</v>
      </c>
      <c r="M5" s="4" t="s">
        <v>218</v>
      </c>
      <c r="N5" s="12" t="s">
        <v>765</v>
      </c>
    </row>
    <row r="6" spans="1:25" ht="15" thickBot="1">
      <c r="B6" s="3" t="s">
        <v>766</v>
      </c>
      <c r="C6" s="30" t="s">
        <v>260</v>
      </c>
      <c r="D6" s="41">
        <v>500</v>
      </c>
      <c r="E6" s="62">
        <v>800</v>
      </c>
      <c r="F6" s="62">
        <v>1000</v>
      </c>
      <c r="G6" s="41">
        <v>1500</v>
      </c>
      <c r="H6" s="41">
        <v>5000</v>
      </c>
      <c r="I6" s="3"/>
      <c r="J6" s="3" t="s">
        <v>151</v>
      </c>
      <c r="K6" s="3"/>
      <c r="M6" s="4" t="s">
        <v>214</v>
      </c>
      <c r="N6" s="4">
        <v>2023</v>
      </c>
      <c r="O6" s="4">
        <v>2030</v>
      </c>
      <c r="P6" s="4">
        <v>2040</v>
      </c>
    </row>
    <row r="7" spans="1:25" ht="15" thickBot="1">
      <c r="B7" s="3" t="s">
        <v>767</v>
      </c>
      <c r="C7" s="30" t="s">
        <v>729</v>
      </c>
      <c r="D7" s="3">
        <v>95</v>
      </c>
      <c r="E7" s="31">
        <v>95</v>
      </c>
      <c r="F7" s="31">
        <v>95</v>
      </c>
      <c r="G7" s="3">
        <v>95</v>
      </c>
      <c r="H7" s="3">
        <v>95</v>
      </c>
      <c r="I7" s="3"/>
      <c r="J7" s="3" t="s">
        <v>151</v>
      </c>
      <c r="K7" s="3"/>
      <c r="M7" s="12" t="s">
        <v>225</v>
      </c>
      <c r="N7" s="12">
        <v>24.484000000000002</v>
      </c>
      <c r="O7" s="12">
        <v>24.484000000000002</v>
      </c>
      <c r="P7" s="12">
        <v>24.484000000000002</v>
      </c>
    </row>
    <row r="8" spans="1:25" ht="15" thickBot="1">
      <c r="B8" s="3" t="s">
        <v>768</v>
      </c>
      <c r="C8" s="5" t="s">
        <v>769</v>
      </c>
      <c r="D8" s="3">
        <v>1.7</v>
      </c>
      <c r="E8" s="86">
        <v>2</v>
      </c>
      <c r="F8" s="86">
        <v>2.5</v>
      </c>
      <c r="G8" s="37">
        <v>3</v>
      </c>
      <c r="H8" s="37">
        <v>4</v>
      </c>
      <c r="I8" s="33"/>
      <c r="J8" s="3" t="s">
        <v>192</v>
      </c>
      <c r="K8" s="3"/>
      <c r="M8" s="12" t="s">
        <v>228</v>
      </c>
      <c r="N8" s="12">
        <v>-0.13500000000000001</v>
      </c>
      <c r="O8" s="12">
        <v>-0.13500000000000001</v>
      </c>
      <c r="P8" s="12">
        <v>-0.13500000000000001</v>
      </c>
    </row>
    <row r="9" spans="1:25" ht="15" thickBot="1">
      <c r="B9" s="3" t="s">
        <v>226</v>
      </c>
      <c r="C9" s="5" t="s">
        <v>227</v>
      </c>
      <c r="D9" s="3">
        <v>20</v>
      </c>
      <c r="E9" s="32">
        <v>20</v>
      </c>
      <c r="F9" s="32">
        <v>20</v>
      </c>
      <c r="G9" s="3">
        <v>20</v>
      </c>
      <c r="H9" s="3">
        <v>20</v>
      </c>
      <c r="I9" s="3"/>
      <c r="J9" s="3" t="s">
        <v>188</v>
      </c>
      <c r="K9" s="3"/>
      <c r="Y9" s="44"/>
    </row>
    <row r="10" spans="1:25" ht="15" thickBot="1">
      <c r="B10" s="1" t="s">
        <v>463</v>
      </c>
      <c r="C10" s="2" t="s">
        <v>216</v>
      </c>
      <c r="D10" s="1"/>
      <c r="E10" s="1"/>
      <c r="F10" s="1"/>
      <c r="G10" s="1"/>
      <c r="H10" s="1"/>
      <c r="I10" s="1"/>
      <c r="J10" s="1"/>
      <c r="K10" s="1"/>
      <c r="M10" s="4" t="s">
        <v>234</v>
      </c>
      <c r="N10" s="12" t="s">
        <v>306</v>
      </c>
      <c r="Y10" s="44"/>
    </row>
    <row r="11" spans="1:25" ht="15" thickBot="1">
      <c r="B11" s="3" t="s">
        <v>230</v>
      </c>
      <c r="C11" s="3" t="s">
        <v>262</v>
      </c>
      <c r="D11" s="37">
        <v>11.3</v>
      </c>
      <c r="E11" s="37">
        <v>10.199999999999999</v>
      </c>
      <c r="F11" s="37">
        <v>9.6</v>
      </c>
      <c r="G11" s="37">
        <v>7.6</v>
      </c>
      <c r="H11" s="37">
        <v>8.4</v>
      </c>
      <c r="I11" s="33">
        <v>0.2</v>
      </c>
      <c r="J11" s="3" t="s">
        <v>616</v>
      </c>
      <c r="K11" s="3" t="s">
        <v>240</v>
      </c>
    </row>
    <row r="12" spans="1:25" ht="15" thickBot="1">
      <c r="B12" s="36" t="s">
        <v>236</v>
      </c>
      <c r="C12" s="3" t="s">
        <v>223</v>
      </c>
      <c r="D12" s="3">
        <v>75</v>
      </c>
      <c r="E12" s="3">
        <v>75</v>
      </c>
      <c r="F12" s="3">
        <v>75</v>
      </c>
      <c r="G12" s="3">
        <v>75</v>
      </c>
      <c r="H12" s="3">
        <v>75</v>
      </c>
      <c r="I12" s="3"/>
      <c r="J12" s="3" t="s">
        <v>151</v>
      </c>
      <c r="K12" s="3"/>
      <c r="M12" s="4" t="s">
        <v>148</v>
      </c>
    </row>
    <row r="13" spans="1:25" ht="15" thickBot="1">
      <c r="B13" s="36" t="s">
        <v>237</v>
      </c>
      <c r="C13" s="3" t="s">
        <v>223</v>
      </c>
      <c r="D13" s="3">
        <v>25</v>
      </c>
      <c r="E13" s="3">
        <v>25</v>
      </c>
      <c r="F13" s="3">
        <v>25</v>
      </c>
      <c r="G13" s="3">
        <v>25</v>
      </c>
      <c r="H13" s="3">
        <v>25</v>
      </c>
      <c r="I13" s="3"/>
      <c r="J13" s="3" t="s">
        <v>151</v>
      </c>
      <c r="K13" s="3"/>
      <c r="M13" s="12" t="s">
        <v>240</v>
      </c>
      <c r="N13" s="12" t="s">
        <v>773</v>
      </c>
    </row>
    <row r="14" spans="1:25" ht="15" thickBot="1">
      <c r="B14" s="30" t="s">
        <v>263</v>
      </c>
      <c r="C14" s="3" t="s">
        <v>239</v>
      </c>
      <c r="D14" s="34">
        <v>5700</v>
      </c>
      <c r="E14" s="34">
        <v>8200</v>
      </c>
      <c r="F14" s="34">
        <v>9600</v>
      </c>
      <c r="G14" s="34">
        <v>11400</v>
      </c>
      <c r="H14" s="34">
        <v>42000</v>
      </c>
      <c r="I14" s="33">
        <v>0.2</v>
      </c>
      <c r="J14" s="3"/>
      <c r="K14" s="3"/>
    </row>
    <row r="15" spans="1:25" ht="15" thickBot="1">
      <c r="B15" s="3" t="s">
        <v>242</v>
      </c>
      <c r="C15" s="3" t="s">
        <v>611</v>
      </c>
      <c r="D15" s="3">
        <v>0.5</v>
      </c>
      <c r="E15" s="3">
        <v>0.5</v>
      </c>
      <c r="F15" s="3">
        <v>0.5</v>
      </c>
      <c r="G15" s="3">
        <v>1.3</v>
      </c>
      <c r="H15" s="3">
        <v>1.3</v>
      </c>
      <c r="I15" s="3"/>
      <c r="J15" s="3" t="s">
        <v>188</v>
      </c>
      <c r="K15" s="3"/>
      <c r="M15" s="4" t="s">
        <v>147</v>
      </c>
    </row>
    <row r="16" spans="1:25">
      <c r="M16" s="12" t="s">
        <v>151</v>
      </c>
      <c r="N16" s="12" t="s">
        <v>185</v>
      </c>
    </row>
    <row r="17" spans="2:14">
      <c r="M17" s="12" t="s">
        <v>184</v>
      </c>
      <c r="N17" s="12" t="s">
        <v>770</v>
      </c>
    </row>
    <row r="18" spans="2:14">
      <c r="B18" s="4" t="s">
        <v>214</v>
      </c>
      <c r="C18" s="4">
        <v>2030</v>
      </c>
      <c r="M18" s="12" t="s">
        <v>186</v>
      </c>
      <c r="N18" s="12" t="s">
        <v>771</v>
      </c>
    </row>
    <row r="19" spans="2:14" ht="15" thickBot="1">
      <c r="B19" s="1" t="s">
        <v>215</v>
      </c>
      <c r="C19" s="2" t="s">
        <v>216</v>
      </c>
      <c r="D19" s="1"/>
      <c r="E19" s="2"/>
      <c r="F19" s="2"/>
      <c r="G19" s="1"/>
      <c r="H19" s="1"/>
      <c r="I19" s="1" t="s">
        <v>217</v>
      </c>
      <c r="J19" s="1" t="s">
        <v>147</v>
      </c>
      <c r="K19" s="1" t="s">
        <v>148</v>
      </c>
      <c r="M19" s="12" t="s">
        <v>188</v>
      </c>
      <c r="N19" s="12" t="s">
        <v>772</v>
      </c>
    </row>
    <row r="20" spans="2:14" ht="15" thickBot="1">
      <c r="B20" s="3" t="s">
        <v>766</v>
      </c>
      <c r="C20" s="30" t="s">
        <v>260</v>
      </c>
      <c r="D20" s="41">
        <v>500</v>
      </c>
      <c r="E20" s="62">
        <v>800</v>
      </c>
      <c r="F20" s="62">
        <v>1000</v>
      </c>
      <c r="G20" s="41">
        <v>1500</v>
      </c>
      <c r="H20" s="41">
        <v>5000</v>
      </c>
      <c r="I20" s="3"/>
      <c r="J20" s="3" t="s">
        <v>151</v>
      </c>
      <c r="K20" s="3"/>
      <c r="M20" s="12" t="s">
        <v>192</v>
      </c>
      <c r="N20" s="12" t="s">
        <v>774</v>
      </c>
    </row>
    <row r="21" spans="2:14" ht="15" thickBot="1">
      <c r="B21" s="3" t="s">
        <v>767</v>
      </c>
      <c r="C21" s="30" t="s">
        <v>729</v>
      </c>
      <c r="D21" s="3">
        <v>95</v>
      </c>
      <c r="E21" s="31">
        <v>95</v>
      </c>
      <c r="F21" s="31">
        <v>95</v>
      </c>
      <c r="G21" s="3">
        <v>95</v>
      </c>
      <c r="H21" s="3">
        <v>95</v>
      </c>
      <c r="I21" s="3"/>
      <c r="J21" s="3" t="s">
        <v>151</v>
      </c>
      <c r="K21" s="3"/>
    </row>
    <row r="22" spans="2:14" ht="15" thickBot="1">
      <c r="B22" s="3" t="s">
        <v>768</v>
      </c>
      <c r="C22" s="5" t="s">
        <v>769</v>
      </c>
      <c r="D22" s="3">
        <v>1.5</v>
      </c>
      <c r="E22" s="86">
        <v>1.4</v>
      </c>
      <c r="F22" s="86">
        <v>1.4</v>
      </c>
      <c r="G22" s="3">
        <v>1.3</v>
      </c>
      <c r="H22" s="37">
        <v>1.3</v>
      </c>
      <c r="I22" s="33"/>
      <c r="J22" s="3" t="s">
        <v>151</v>
      </c>
      <c r="K22" s="3"/>
    </row>
    <row r="23" spans="2:14" ht="15" thickBot="1">
      <c r="B23" s="3" t="s">
        <v>226</v>
      </c>
      <c r="C23" s="5" t="s">
        <v>227</v>
      </c>
      <c r="D23" s="3">
        <v>20</v>
      </c>
      <c r="E23" s="32">
        <v>20</v>
      </c>
      <c r="F23" s="32">
        <v>20</v>
      </c>
      <c r="G23" s="3">
        <v>20</v>
      </c>
      <c r="H23" s="3">
        <v>20</v>
      </c>
      <c r="I23" s="3"/>
      <c r="J23" s="3" t="s">
        <v>188</v>
      </c>
      <c r="K23" s="3"/>
    </row>
    <row r="24" spans="2:14" ht="15" thickBot="1">
      <c r="B24" s="1" t="s">
        <v>463</v>
      </c>
      <c r="C24" s="2" t="s">
        <v>216</v>
      </c>
      <c r="D24" s="1"/>
      <c r="E24" s="1"/>
      <c r="F24" s="1"/>
      <c r="G24" s="1"/>
      <c r="H24" s="1"/>
      <c r="I24" s="1"/>
      <c r="J24" s="1"/>
      <c r="K24" s="1"/>
    </row>
    <row r="25" spans="2:14" ht="15" thickBot="1">
      <c r="B25" s="3" t="s">
        <v>230</v>
      </c>
      <c r="C25" s="3" t="s">
        <v>262</v>
      </c>
      <c r="D25" s="37">
        <v>11.3</v>
      </c>
      <c r="E25" s="37">
        <v>10.199999999999999</v>
      </c>
      <c r="F25" s="37">
        <v>9.6</v>
      </c>
      <c r="G25" s="37">
        <v>7.6</v>
      </c>
      <c r="H25" s="37">
        <v>8.4</v>
      </c>
      <c r="I25" s="33">
        <v>0.25</v>
      </c>
      <c r="J25" s="3" t="s">
        <v>616</v>
      </c>
      <c r="K25" s="3" t="s">
        <v>240</v>
      </c>
      <c r="M25" s="12"/>
    </row>
    <row r="26" spans="2:14" ht="15" thickBot="1">
      <c r="B26" s="36" t="s">
        <v>236</v>
      </c>
      <c r="C26" s="3" t="s">
        <v>223</v>
      </c>
      <c r="D26" s="3">
        <v>75</v>
      </c>
      <c r="E26" s="3">
        <v>75</v>
      </c>
      <c r="F26" s="3">
        <v>75</v>
      </c>
      <c r="G26" s="3">
        <v>75</v>
      </c>
      <c r="H26" s="3">
        <v>75</v>
      </c>
      <c r="I26" s="3"/>
      <c r="J26" s="3" t="s">
        <v>151</v>
      </c>
      <c r="K26" s="3"/>
      <c r="M26" s="12"/>
    </row>
    <row r="27" spans="2:14" ht="15" thickBot="1">
      <c r="B27" s="36" t="s">
        <v>237</v>
      </c>
      <c r="C27" s="3" t="s">
        <v>223</v>
      </c>
      <c r="D27" s="3">
        <v>25</v>
      </c>
      <c r="E27" s="3">
        <v>25</v>
      </c>
      <c r="F27" s="3">
        <v>25</v>
      </c>
      <c r="G27" s="3">
        <v>25</v>
      </c>
      <c r="H27" s="3">
        <v>25</v>
      </c>
      <c r="I27" s="3"/>
      <c r="J27" s="3" t="s">
        <v>151</v>
      </c>
      <c r="K27" s="3"/>
      <c r="M27" s="12"/>
    </row>
    <row r="28" spans="2:14" ht="15" thickBot="1">
      <c r="B28" s="30" t="s">
        <v>263</v>
      </c>
      <c r="C28" s="3" t="s">
        <v>239</v>
      </c>
      <c r="D28" s="34">
        <v>5700</v>
      </c>
      <c r="E28" s="34">
        <v>8200</v>
      </c>
      <c r="F28" s="34">
        <v>9600</v>
      </c>
      <c r="G28" s="34">
        <v>11400</v>
      </c>
      <c r="H28" s="34">
        <v>42000</v>
      </c>
      <c r="I28" s="33">
        <v>0.25</v>
      </c>
      <c r="J28" s="3"/>
      <c r="K28" s="3"/>
      <c r="M28" s="12"/>
    </row>
    <row r="29" spans="2:14" ht="15" thickBot="1">
      <c r="B29" s="3" t="s">
        <v>242</v>
      </c>
      <c r="C29" s="3" t="s">
        <v>611</v>
      </c>
      <c r="D29" s="3">
        <v>0.5</v>
      </c>
      <c r="E29" s="3">
        <v>0.5</v>
      </c>
      <c r="F29" s="3">
        <v>0.5</v>
      </c>
      <c r="G29" s="3">
        <v>1.3</v>
      </c>
      <c r="H29" s="3">
        <v>1.3</v>
      </c>
      <c r="I29" s="3"/>
      <c r="J29" s="3" t="s">
        <v>188</v>
      </c>
      <c r="K29" s="3"/>
    </row>
    <row r="30" spans="2:14">
      <c r="M30" s="4"/>
    </row>
    <row r="31" spans="2:14">
      <c r="M31" s="12"/>
      <c r="N31" s="12"/>
    </row>
    <row r="32" spans="2:14">
      <c r="B32" s="4" t="s">
        <v>214</v>
      </c>
      <c r="C32" s="4">
        <v>2040</v>
      </c>
      <c r="M32" s="12"/>
    </row>
    <row r="33" spans="2:11" ht="15" thickBot="1">
      <c r="B33" s="1" t="s">
        <v>215</v>
      </c>
      <c r="C33" s="2" t="s">
        <v>216</v>
      </c>
      <c r="D33" s="1"/>
      <c r="E33" s="2"/>
      <c r="F33" s="2"/>
      <c r="G33" s="1"/>
      <c r="H33" s="1"/>
      <c r="I33" s="1" t="s">
        <v>217</v>
      </c>
      <c r="J33" s="1" t="s">
        <v>147</v>
      </c>
      <c r="K33" s="1" t="s">
        <v>148</v>
      </c>
    </row>
    <row r="34" spans="2:11" ht="15" thickBot="1">
      <c r="B34" s="3" t="s">
        <v>766</v>
      </c>
      <c r="C34" s="30" t="s">
        <v>260</v>
      </c>
      <c r="D34" s="41">
        <v>500</v>
      </c>
      <c r="E34" s="62">
        <v>800</v>
      </c>
      <c r="F34" s="62">
        <v>1000</v>
      </c>
      <c r="G34" s="41">
        <v>1500</v>
      </c>
      <c r="H34" s="41">
        <v>5000</v>
      </c>
      <c r="I34" s="3"/>
      <c r="J34" s="3" t="s">
        <v>151</v>
      </c>
      <c r="K34" s="3"/>
    </row>
    <row r="35" spans="2:11" ht="15" thickBot="1">
      <c r="B35" s="3" t="s">
        <v>767</v>
      </c>
      <c r="C35" s="30" t="s">
        <v>729</v>
      </c>
      <c r="D35" s="3">
        <v>95</v>
      </c>
      <c r="E35" s="31">
        <v>95</v>
      </c>
      <c r="F35" s="31">
        <v>95</v>
      </c>
      <c r="G35" s="3">
        <v>95</v>
      </c>
      <c r="H35" s="3">
        <v>95</v>
      </c>
      <c r="I35" s="3"/>
      <c r="J35" s="3" t="s">
        <v>151</v>
      </c>
      <c r="K35" s="3"/>
    </row>
    <row r="36" spans="2:11" ht="15" thickBot="1">
      <c r="B36" s="3" t="s">
        <v>768</v>
      </c>
      <c r="C36" s="5" t="s">
        <v>769</v>
      </c>
      <c r="D36" s="3">
        <v>1.5</v>
      </c>
      <c r="E36" s="86">
        <v>1.4</v>
      </c>
      <c r="F36" s="86">
        <v>1.4</v>
      </c>
      <c r="G36" s="3">
        <v>1.3</v>
      </c>
      <c r="H36" s="37">
        <v>1.3</v>
      </c>
      <c r="I36" s="33"/>
      <c r="J36" s="3" t="s">
        <v>151</v>
      </c>
      <c r="K36" s="3"/>
    </row>
    <row r="37" spans="2:11" ht="15" thickBot="1">
      <c r="B37" s="3" t="s">
        <v>226</v>
      </c>
      <c r="C37" s="5" t="s">
        <v>227</v>
      </c>
      <c r="D37" s="3">
        <v>20</v>
      </c>
      <c r="E37" s="32">
        <v>20</v>
      </c>
      <c r="F37" s="32">
        <v>20</v>
      </c>
      <c r="G37" s="3">
        <v>20</v>
      </c>
      <c r="H37" s="3">
        <v>20</v>
      </c>
      <c r="I37" s="3"/>
      <c r="J37" s="3" t="s">
        <v>188</v>
      </c>
      <c r="K37" s="3"/>
    </row>
    <row r="38" spans="2:11" ht="15" thickBot="1">
      <c r="B38" s="1" t="s">
        <v>463</v>
      </c>
      <c r="C38" s="2" t="s">
        <v>216</v>
      </c>
      <c r="D38" s="1"/>
      <c r="E38" s="1"/>
      <c r="F38" s="1"/>
      <c r="G38" s="1"/>
      <c r="H38" s="1"/>
      <c r="I38" s="1"/>
      <c r="J38" s="1"/>
      <c r="K38" s="1"/>
    </row>
    <row r="39" spans="2:11" ht="15" thickBot="1">
      <c r="B39" s="3" t="s">
        <v>230</v>
      </c>
      <c r="C39" s="3" t="s">
        <v>262</v>
      </c>
      <c r="D39" s="37">
        <v>11.3</v>
      </c>
      <c r="E39" s="37">
        <v>10.199999999999999</v>
      </c>
      <c r="F39" s="37">
        <v>9.6</v>
      </c>
      <c r="G39" s="37">
        <v>7.6</v>
      </c>
      <c r="H39" s="37">
        <v>8.4</v>
      </c>
      <c r="I39" s="33">
        <v>0.3</v>
      </c>
      <c r="J39" s="3" t="s">
        <v>616</v>
      </c>
      <c r="K39" s="3" t="s">
        <v>240</v>
      </c>
    </row>
    <row r="40" spans="2:11" ht="15" thickBot="1">
      <c r="B40" s="36" t="s">
        <v>236</v>
      </c>
      <c r="C40" s="3" t="s">
        <v>223</v>
      </c>
      <c r="D40" s="3">
        <v>75</v>
      </c>
      <c r="E40" s="3">
        <v>75</v>
      </c>
      <c r="F40" s="3">
        <v>75</v>
      </c>
      <c r="G40" s="3">
        <v>75</v>
      </c>
      <c r="H40" s="3">
        <v>75</v>
      </c>
      <c r="I40" s="3"/>
      <c r="J40" s="3" t="s">
        <v>151</v>
      </c>
      <c r="K40" s="3"/>
    </row>
    <row r="41" spans="2:11" ht="15" thickBot="1">
      <c r="B41" s="36" t="s">
        <v>237</v>
      </c>
      <c r="C41" s="3" t="s">
        <v>223</v>
      </c>
      <c r="D41" s="3">
        <v>25</v>
      </c>
      <c r="E41" s="3">
        <v>25</v>
      </c>
      <c r="F41" s="3">
        <v>25</v>
      </c>
      <c r="G41" s="3">
        <v>25</v>
      </c>
      <c r="H41" s="3">
        <v>25</v>
      </c>
      <c r="I41" s="3"/>
      <c r="J41" s="3" t="s">
        <v>151</v>
      </c>
      <c r="K41" s="3"/>
    </row>
    <row r="42" spans="2:11" ht="15" thickBot="1">
      <c r="B42" s="30" t="s">
        <v>263</v>
      </c>
      <c r="C42" s="3" t="s">
        <v>239</v>
      </c>
      <c r="D42" s="34">
        <v>5700</v>
      </c>
      <c r="E42" s="34">
        <v>8200</v>
      </c>
      <c r="F42" s="34">
        <v>9600</v>
      </c>
      <c r="G42" s="34">
        <v>11400</v>
      </c>
      <c r="H42" s="34">
        <v>42000</v>
      </c>
      <c r="I42" s="33">
        <v>0.3</v>
      </c>
      <c r="J42" s="3"/>
      <c r="K42" s="3"/>
    </row>
    <row r="43" spans="2:11" ht="15" thickBot="1">
      <c r="B43" s="3" t="s">
        <v>242</v>
      </c>
      <c r="C43" s="3" t="s">
        <v>611</v>
      </c>
      <c r="D43" s="3">
        <v>0.5</v>
      </c>
      <c r="E43" s="3">
        <v>0.5</v>
      </c>
      <c r="F43" s="3">
        <v>0.5</v>
      </c>
      <c r="G43" s="3">
        <v>1.3</v>
      </c>
      <c r="H43" s="3">
        <v>1.3</v>
      </c>
      <c r="I43" s="3"/>
      <c r="J43" s="3" t="s">
        <v>188</v>
      </c>
      <c r="K43" s="3"/>
    </row>
  </sheetData>
  <sheetProtection algorithmName="SHA-512" hashValue="DSiEJacmpMOsRXM2Wk+5OAgQJJDW80tqtjnoxcPMmEjKSpI4Inbnq8o6LpSdnKxOUN9eD4myer0cyGwBNWgl+g==" saltValue="lfin9dkU/EXTfXDkOg0pCA==" spinCount="100000" sheet="1" objects="1" scenarios="1"/>
  <mergeCells count="1">
    <mergeCell ref="F2:K3"/>
  </mergeCells>
  <conditionalFormatting sqref="I11 I8 I25 I22 I39 I36 I14:I15 I28:I29 I42:I43">
    <cfRule type="colorScale" priority="1">
      <colorScale>
        <cfvo type="num" val="0"/>
        <cfvo type="num" val="0.5"/>
        <color theme="0"/>
        <color theme="5"/>
      </colorScale>
    </cfRule>
  </conditionalFormatting>
  <conditionalFormatting sqref="Y9:Y10">
    <cfRule type="colorScale" priority="2">
      <colorScale>
        <cfvo type="num" val="0"/>
        <cfvo type="num" val="0.5"/>
        <color theme="0"/>
        <color theme="5"/>
      </colorScale>
    </cfRule>
    <cfRule type="colorScale" priority="3">
      <colorScale>
        <cfvo type="min"/>
        <cfvo type="max"/>
        <color theme="0"/>
        <color theme="5"/>
      </colorScale>
    </cfRule>
  </conditionalFormatting>
  <hyperlinks>
    <hyperlink ref="A1" location="Inhalt!A1" display="Zum Inhalt" xr:uid="{F76D7252-6F25-4817-BB68-DFFF9C437C3E}"/>
  </hyperlinks>
  <pageMargins left="0.7" right="0.7" top="0.78740157499999996" bottom="0.78740157499999996" header="0.3" footer="0.3"/>
  <pageSetup paperSize="9" orientation="portrait" verticalDpi="0"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F2A9-2D96-4C95-A877-5D76A4FD2E5C}">
  <sheetPr codeName="Tabelle53"/>
  <dimension ref="A1:C61"/>
  <sheetViews>
    <sheetView zoomScaleNormal="100" workbookViewId="0">
      <selection activeCell="B2" sqref="B2"/>
    </sheetView>
  </sheetViews>
  <sheetFormatPr baseColWidth="10" defaultColWidth="11.44140625" defaultRowHeight="14.4"/>
  <cols>
    <col min="2" max="2" width="42.44140625" customWidth="1"/>
    <col min="3" max="3" width="24" customWidth="1"/>
  </cols>
  <sheetData>
    <row r="1" spans="1:3" ht="27.6">
      <c r="A1" s="99" t="s">
        <v>143</v>
      </c>
    </row>
    <row r="2" spans="1:3">
      <c r="A2" s="99"/>
    </row>
    <row r="3" spans="1:3">
      <c r="B3" s="4" t="s">
        <v>80</v>
      </c>
    </row>
    <row r="5" spans="1:3" ht="30.75" customHeight="1" thickBot="1">
      <c r="B5" s="1" t="s">
        <v>775</v>
      </c>
      <c r="C5" s="6" t="s">
        <v>776</v>
      </c>
    </row>
    <row r="6" spans="1:3" ht="15" thickBot="1">
      <c r="B6" s="3" t="s">
        <v>777</v>
      </c>
      <c r="C6" s="30" t="s">
        <v>778</v>
      </c>
    </row>
    <row r="7" spans="1:3" ht="15" thickBot="1">
      <c r="B7" s="3" t="s">
        <v>779</v>
      </c>
      <c r="C7" s="5" t="s">
        <v>778</v>
      </c>
    </row>
    <row r="8" spans="1:3" ht="15" thickBot="1">
      <c r="B8" s="3" t="s">
        <v>780</v>
      </c>
      <c r="C8" s="30" t="s">
        <v>778</v>
      </c>
    </row>
    <row r="9" spans="1:3" ht="15" thickBot="1">
      <c r="B9" s="3" t="s">
        <v>781</v>
      </c>
      <c r="C9" s="5" t="s">
        <v>778</v>
      </c>
    </row>
    <row r="10" spans="1:3" ht="15" thickBot="1">
      <c r="B10" s="3" t="s">
        <v>782</v>
      </c>
      <c r="C10" s="30" t="s">
        <v>778</v>
      </c>
    </row>
    <row r="11" spans="1:3" ht="15" thickBot="1">
      <c r="B11" s="3" t="s">
        <v>783</v>
      </c>
      <c r="C11" s="5" t="s">
        <v>778</v>
      </c>
    </row>
    <row r="12" spans="1:3" ht="15" thickBot="1">
      <c r="B12" s="3" t="s">
        <v>784</v>
      </c>
      <c r="C12" s="30" t="s">
        <v>778</v>
      </c>
    </row>
    <row r="13" spans="1:3" ht="15" thickBot="1">
      <c r="B13" s="3" t="s">
        <v>785</v>
      </c>
      <c r="C13" s="5" t="s">
        <v>778</v>
      </c>
    </row>
    <row r="14" spans="1:3" ht="15" thickBot="1">
      <c r="B14" s="3" t="s">
        <v>786</v>
      </c>
      <c r="C14" s="30" t="s">
        <v>778</v>
      </c>
    </row>
    <row r="15" spans="1:3" ht="15" thickBot="1">
      <c r="B15" s="3" t="s">
        <v>787</v>
      </c>
      <c r="C15" s="5" t="s">
        <v>778</v>
      </c>
    </row>
    <row r="16" spans="1:3" ht="15" thickBot="1">
      <c r="B16" s="3" t="s">
        <v>788</v>
      </c>
      <c r="C16" s="30" t="s">
        <v>778</v>
      </c>
    </row>
    <row r="17" spans="2:3" ht="15" thickBot="1">
      <c r="B17" s="3" t="s">
        <v>789</v>
      </c>
      <c r="C17" s="5" t="s">
        <v>778</v>
      </c>
    </row>
    <row r="18" spans="2:3" ht="15" thickBot="1">
      <c r="B18" s="3" t="s">
        <v>790</v>
      </c>
      <c r="C18" s="30" t="s">
        <v>778</v>
      </c>
    </row>
    <row r="19" spans="2:3" ht="15" thickBot="1">
      <c r="B19" s="3" t="s">
        <v>791</v>
      </c>
      <c r="C19" s="5" t="s">
        <v>778</v>
      </c>
    </row>
    <row r="20" spans="2:3" ht="15" thickBot="1">
      <c r="B20" s="3" t="s">
        <v>792</v>
      </c>
      <c r="C20" s="30" t="s">
        <v>778</v>
      </c>
    </row>
    <row r="21" spans="2:3" ht="15" thickBot="1">
      <c r="B21" s="3" t="s">
        <v>793</v>
      </c>
      <c r="C21" s="5" t="s">
        <v>778</v>
      </c>
    </row>
    <row r="22" spans="2:3" ht="15" thickBot="1">
      <c r="B22" s="3" t="s">
        <v>794</v>
      </c>
      <c r="C22" s="30" t="s">
        <v>778</v>
      </c>
    </row>
    <row r="23" spans="2:3" ht="15" thickBot="1">
      <c r="B23" s="3" t="s">
        <v>795</v>
      </c>
      <c r="C23" s="5" t="s">
        <v>778</v>
      </c>
    </row>
    <row r="24" spans="2:3" ht="15" thickBot="1">
      <c r="B24" s="3" t="s">
        <v>796</v>
      </c>
      <c r="C24" s="30" t="s">
        <v>778</v>
      </c>
    </row>
    <row r="25" spans="2:3" ht="15" thickBot="1">
      <c r="B25" s="3" t="s">
        <v>797</v>
      </c>
      <c r="C25" s="5" t="s">
        <v>778</v>
      </c>
    </row>
    <row r="26" spans="2:3" ht="15" thickBot="1">
      <c r="B26" s="3" t="s">
        <v>798</v>
      </c>
      <c r="C26" s="30" t="s">
        <v>778</v>
      </c>
    </row>
    <row r="27" spans="2:3" ht="15" thickBot="1">
      <c r="B27" s="3" t="s">
        <v>799</v>
      </c>
      <c r="C27" s="5" t="s">
        <v>778</v>
      </c>
    </row>
    <row r="28" spans="2:3" ht="15" thickBot="1">
      <c r="B28" s="3" t="s">
        <v>800</v>
      </c>
      <c r="C28" s="30" t="s">
        <v>778</v>
      </c>
    </row>
    <row r="29" spans="2:3" ht="15" thickBot="1">
      <c r="B29" s="3" t="s">
        <v>801</v>
      </c>
      <c r="C29" s="5" t="s">
        <v>778</v>
      </c>
    </row>
    <row r="30" spans="2:3" ht="15" thickBot="1">
      <c r="B30" s="3" t="s">
        <v>802</v>
      </c>
      <c r="C30" s="30" t="s">
        <v>778</v>
      </c>
    </row>
    <row r="31" spans="2:3" ht="15" thickBot="1">
      <c r="B31" s="3" t="s">
        <v>803</v>
      </c>
      <c r="C31" s="5" t="s">
        <v>778</v>
      </c>
    </row>
    <row r="32" spans="2:3" ht="15" thickBot="1">
      <c r="B32" s="3" t="s">
        <v>804</v>
      </c>
      <c r="C32" s="30" t="s">
        <v>778</v>
      </c>
    </row>
    <row r="33" spans="2:3" ht="15" thickBot="1">
      <c r="B33" s="3" t="s">
        <v>805</v>
      </c>
      <c r="C33" s="5" t="s">
        <v>778</v>
      </c>
    </row>
    <row r="34" spans="2:3" ht="15" thickBot="1">
      <c r="B34" s="3" t="s">
        <v>806</v>
      </c>
      <c r="C34" s="30" t="s">
        <v>778</v>
      </c>
    </row>
    <row r="35" spans="2:3" ht="15" thickBot="1">
      <c r="B35" s="3" t="s">
        <v>807</v>
      </c>
      <c r="C35" s="5" t="s">
        <v>778</v>
      </c>
    </row>
    <row r="36" spans="2:3" ht="15" thickBot="1">
      <c r="B36" s="3" t="s">
        <v>808</v>
      </c>
      <c r="C36" s="30" t="s">
        <v>778</v>
      </c>
    </row>
    <row r="37" spans="2:3" ht="15" thickBot="1">
      <c r="B37" s="3" t="s">
        <v>809</v>
      </c>
      <c r="C37" s="5" t="s">
        <v>778</v>
      </c>
    </row>
    <row r="38" spans="2:3" ht="15" thickBot="1">
      <c r="B38" s="3" t="s">
        <v>810</v>
      </c>
      <c r="C38" s="30" t="s">
        <v>778</v>
      </c>
    </row>
    <row r="39" spans="2:3" ht="15" thickBot="1">
      <c r="B39" s="3" t="s">
        <v>811</v>
      </c>
      <c r="C39" s="5" t="s">
        <v>778</v>
      </c>
    </row>
    <row r="40" spans="2:3" ht="15" thickBot="1">
      <c r="B40" s="3" t="s">
        <v>812</v>
      </c>
      <c r="C40" s="30" t="s">
        <v>778</v>
      </c>
    </row>
    <row r="41" spans="2:3" ht="15" thickBot="1">
      <c r="B41" s="3" t="s">
        <v>813</v>
      </c>
      <c r="C41" s="5" t="s">
        <v>778</v>
      </c>
    </row>
    <row r="42" spans="2:3" ht="15" thickBot="1">
      <c r="B42" s="3" t="s">
        <v>814</v>
      </c>
      <c r="C42" s="30" t="s">
        <v>778</v>
      </c>
    </row>
    <row r="43" spans="2:3" ht="15" thickBot="1">
      <c r="B43" s="3" t="s">
        <v>815</v>
      </c>
      <c r="C43" s="5" t="s">
        <v>778</v>
      </c>
    </row>
    <row r="44" spans="2:3" ht="15" thickBot="1">
      <c r="B44" s="3" t="s">
        <v>816</v>
      </c>
      <c r="C44" s="30" t="s">
        <v>778</v>
      </c>
    </row>
    <row r="45" spans="2:3" ht="15" thickBot="1">
      <c r="B45" s="3" t="s">
        <v>817</v>
      </c>
      <c r="C45" s="5" t="s">
        <v>818</v>
      </c>
    </row>
    <row r="46" spans="2:3" ht="15" thickBot="1">
      <c r="B46" s="3" t="s">
        <v>819</v>
      </c>
      <c r="C46" s="30" t="s">
        <v>818</v>
      </c>
    </row>
    <row r="47" spans="2:3" ht="15" thickBot="1">
      <c r="B47" s="3" t="s">
        <v>820</v>
      </c>
      <c r="C47" s="5" t="s">
        <v>818</v>
      </c>
    </row>
    <row r="48" spans="2:3" ht="15" thickBot="1">
      <c r="B48" s="3" t="s">
        <v>821</v>
      </c>
      <c r="C48" s="30" t="s">
        <v>818</v>
      </c>
    </row>
    <row r="49" spans="2:3" ht="15" thickBot="1">
      <c r="B49" s="3" t="s">
        <v>822</v>
      </c>
      <c r="C49" s="5" t="s">
        <v>818</v>
      </c>
    </row>
    <row r="50" spans="2:3" ht="15" thickBot="1">
      <c r="B50" s="3" t="s">
        <v>823</v>
      </c>
      <c r="C50" s="30" t="s">
        <v>824</v>
      </c>
    </row>
    <row r="51" spans="2:3" ht="15" thickBot="1">
      <c r="B51" s="3" t="s">
        <v>825</v>
      </c>
      <c r="C51" s="5" t="s">
        <v>824</v>
      </c>
    </row>
    <row r="52" spans="2:3" ht="15" thickBot="1">
      <c r="B52" s="3" t="s">
        <v>826</v>
      </c>
      <c r="C52" s="30" t="s">
        <v>824</v>
      </c>
    </row>
    <row r="53" spans="2:3" ht="15" thickBot="1">
      <c r="B53" s="3" t="s">
        <v>827</v>
      </c>
      <c r="C53" s="5" t="s">
        <v>824</v>
      </c>
    </row>
    <row r="54" spans="2:3" ht="15" thickBot="1">
      <c r="B54" s="3" t="s">
        <v>828</v>
      </c>
      <c r="C54" s="30" t="s">
        <v>824</v>
      </c>
    </row>
    <row r="55" spans="2:3" ht="15" thickBot="1">
      <c r="B55" s="3" t="s">
        <v>829</v>
      </c>
      <c r="C55" s="5" t="s">
        <v>824</v>
      </c>
    </row>
    <row r="56" spans="2:3" ht="15" thickBot="1">
      <c r="B56" s="3" t="s">
        <v>830</v>
      </c>
      <c r="C56" s="30" t="s">
        <v>824</v>
      </c>
    </row>
    <row r="57" spans="2:3" ht="15" thickBot="1">
      <c r="B57" s="3" t="s">
        <v>831</v>
      </c>
      <c r="C57" s="5" t="s">
        <v>824</v>
      </c>
    </row>
    <row r="58" spans="2:3" ht="15" thickBot="1">
      <c r="B58" s="3" t="s">
        <v>832</v>
      </c>
      <c r="C58" s="30" t="s">
        <v>824</v>
      </c>
    </row>
    <row r="59" spans="2:3" ht="15" thickBot="1">
      <c r="B59" s="3" t="s">
        <v>833</v>
      </c>
      <c r="C59" s="5" t="s">
        <v>824</v>
      </c>
    </row>
    <row r="60" spans="2:3" ht="15" thickBot="1">
      <c r="B60" s="3" t="s">
        <v>834</v>
      </c>
      <c r="C60" s="30" t="s">
        <v>824</v>
      </c>
    </row>
    <row r="61" spans="2:3" ht="15" thickBot="1">
      <c r="B61" s="3" t="s">
        <v>835</v>
      </c>
      <c r="C61" s="5" t="s">
        <v>824</v>
      </c>
    </row>
  </sheetData>
  <sheetProtection algorithmName="SHA-512" hashValue="m7pDpV5/iyhA4NYQ1+JOrLV8PEt6H1EHIvEN3J3EBl8VTQmDLMs4FCjHA1O9/qRZZ3sdf7/OqjZlYlQSfh3zYA==" saltValue="Aa8PK1WJATSGXYNoH7ZBLA==" spinCount="100000" sheet="1" objects="1" scenarios="1"/>
  <hyperlinks>
    <hyperlink ref="A1" location="Inhalt!A1" display="Zum Inhalt" xr:uid="{F1119ABE-B1CC-463F-A85A-F694B430C1AD}"/>
  </hyperlinks>
  <pageMargins left="0.7" right="0.7" top="0.78740157499999996" bottom="0.78740157499999996"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972B0-6966-45A0-8294-8F753C5A4139}">
  <sheetPr codeName="Tabelle54"/>
  <dimension ref="A1:G46"/>
  <sheetViews>
    <sheetView zoomScaleNormal="100" workbookViewId="0">
      <selection activeCell="B3" sqref="B3"/>
    </sheetView>
  </sheetViews>
  <sheetFormatPr baseColWidth="10" defaultColWidth="11.44140625" defaultRowHeight="14.4"/>
  <cols>
    <col min="1" max="1" width="11.44140625" style="87"/>
    <col min="2" max="2" width="33.5546875" customWidth="1"/>
    <col min="3" max="3" width="19.109375" customWidth="1"/>
    <col min="4" max="4" width="28.88671875" customWidth="1"/>
    <col min="7" max="7" width="23" customWidth="1"/>
  </cols>
  <sheetData>
    <row r="1" spans="1:7" ht="27.6">
      <c r="A1" s="99" t="s">
        <v>143</v>
      </c>
    </row>
    <row r="2" spans="1:7">
      <c r="A2" s="126"/>
    </row>
    <row r="3" spans="1:7">
      <c r="B3" s="4" t="s">
        <v>84</v>
      </c>
    </row>
    <row r="5" spans="1:7" ht="21" thickBot="1">
      <c r="B5" s="90" t="s">
        <v>775</v>
      </c>
      <c r="C5" s="91" t="s">
        <v>836</v>
      </c>
      <c r="D5" s="90" t="s">
        <v>837</v>
      </c>
      <c r="E5" s="91" t="s">
        <v>838</v>
      </c>
      <c r="F5" s="90" t="s">
        <v>839</v>
      </c>
      <c r="G5" s="91" t="s">
        <v>840</v>
      </c>
    </row>
    <row r="6" spans="1:7" ht="15" thickBot="1">
      <c r="B6" s="82" t="s">
        <v>779</v>
      </c>
      <c r="C6" s="88" t="s">
        <v>841</v>
      </c>
      <c r="D6" s="82" t="s">
        <v>842</v>
      </c>
      <c r="E6" s="88" t="s">
        <v>843</v>
      </c>
      <c r="F6" s="82" t="s">
        <v>844</v>
      </c>
      <c r="G6" s="88"/>
    </row>
    <row r="7" spans="1:7" ht="15" thickBot="1">
      <c r="B7" s="82" t="s">
        <v>780</v>
      </c>
      <c r="C7" s="89" t="s">
        <v>845</v>
      </c>
      <c r="D7" s="82" t="s">
        <v>846</v>
      </c>
      <c r="E7" s="89" t="s">
        <v>843</v>
      </c>
      <c r="F7" s="82" t="s">
        <v>843</v>
      </c>
      <c r="G7" s="89" t="s">
        <v>847</v>
      </c>
    </row>
    <row r="8" spans="1:7" ht="41.4" thickBot="1">
      <c r="B8" s="82" t="s">
        <v>781</v>
      </c>
      <c r="C8" s="88" t="s">
        <v>848</v>
      </c>
      <c r="D8" s="82" t="s">
        <v>849</v>
      </c>
      <c r="E8" s="88" t="s">
        <v>843</v>
      </c>
      <c r="F8" s="82" t="s">
        <v>843</v>
      </c>
      <c r="G8" s="88" t="s">
        <v>850</v>
      </c>
    </row>
    <row r="9" spans="1:7" ht="21" thickBot="1">
      <c r="B9" s="82" t="s">
        <v>782</v>
      </c>
      <c r="C9" s="89" t="s">
        <v>848</v>
      </c>
      <c r="D9" s="82" t="s">
        <v>849</v>
      </c>
      <c r="E9" s="89" t="s">
        <v>843</v>
      </c>
      <c r="F9" s="82" t="s">
        <v>843</v>
      </c>
      <c r="G9" s="89" t="s">
        <v>851</v>
      </c>
    </row>
    <row r="10" spans="1:7" ht="41.4" thickBot="1">
      <c r="B10" s="82" t="s">
        <v>852</v>
      </c>
      <c r="C10" s="88" t="s">
        <v>853</v>
      </c>
      <c r="D10" s="82" t="s">
        <v>854</v>
      </c>
      <c r="E10" s="88" t="s">
        <v>844</v>
      </c>
      <c r="F10" s="82" t="s">
        <v>844</v>
      </c>
      <c r="G10" s="88"/>
    </row>
    <row r="11" spans="1:7" ht="15" thickBot="1">
      <c r="B11" s="82" t="s">
        <v>784</v>
      </c>
      <c r="C11" s="89" t="s">
        <v>853</v>
      </c>
      <c r="D11" s="82" t="s">
        <v>855</v>
      </c>
      <c r="E11" s="89" t="s">
        <v>844</v>
      </c>
      <c r="F11" s="82" t="s">
        <v>844</v>
      </c>
      <c r="G11" s="89"/>
    </row>
    <row r="12" spans="1:7" ht="21" thickBot="1">
      <c r="B12" s="82" t="s">
        <v>785</v>
      </c>
      <c r="C12" s="88" t="s">
        <v>841</v>
      </c>
      <c r="D12" s="82" t="s">
        <v>849</v>
      </c>
      <c r="E12" s="88" t="s">
        <v>844</v>
      </c>
      <c r="F12" s="82" t="s">
        <v>843</v>
      </c>
      <c r="G12" s="88"/>
    </row>
    <row r="13" spans="1:7" ht="15" thickBot="1">
      <c r="B13" s="82" t="s">
        <v>856</v>
      </c>
      <c r="C13" s="89" t="s">
        <v>857</v>
      </c>
      <c r="D13" s="82" t="s">
        <v>858</v>
      </c>
      <c r="E13" s="89" t="s">
        <v>843</v>
      </c>
      <c r="F13" s="82" t="s">
        <v>843</v>
      </c>
      <c r="G13" s="89" t="s">
        <v>859</v>
      </c>
    </row>
    <row r="14" spans="1:7" ht="31.2" thickBot="1">
      <c r="B14" s="82" t="s">
        <v>786</v>
      </c>
      <c r="C14" s="88" t="s">
        <v>848</v>
      </c>
      <c r="D14" s="82" t="s">
        <v>860</v>
      </c>
      <c r="E14" s="88" t="s">
        <v>843</v>
      </c>
      <c r="F14" s="82" t="s">
        <v>843</v>
      </c>
      <c r="G14" s="88" t="s">
        <v>861</v>
      </c>
    </row>
    <row r="15" spans="1:7" ht="21" thickBot="1">
      <c r="B15" s="82" t="s">
        <v>787</v>
      </c>
      <c r="C15" s="89" t="s">
        <v>862</v>
      </c>
      <c r="D15" s="82" t="s">
        <v>863</v>
      </c>
      <c r="E15" s="89" t="s">
        <v>843</v>
      </c>
      <c r="F15" s="82" t="s">
        <v>844</v>
      </c>
      <c r="G15" s="89" t="s">
        <v>864</v>
      </c>
    </row>
    <row r="16" spans="1:7" ht="21" thickBot="1">
      <c r="B16" s="82" t="s">
        <v>865</v>
      </c>
      <c r="C16" s="88" t="s">
        <v>862</v>
      </c>
      <c r="D16" s="82" t="s">
        <v>863</v>
      </c>
      <c r="E16" s="88" t="s">
        <v>844</v>
      </c>
      <c r="F16" s="82" t="s">
        <v>844</v>
      </c>
      <c r="G16" s="88"/>
    </row>
    <row r="17" spans="2:7" ht="31.2" thickBot="1">
      <c r="B17" s="82" t="s">
        <v>866</v>
      </c>
      <c r="C17" s="89" t="s">
        <v>867</v>
      </c>
      <c r="D17" s="82" t="s">
        <v>868</v>
      </c>
      <c r="E17" s="89" t="s">
        <v>844</v>
      </c>
      <c r="F17" s="82" t="s">
        <v>843</v>
      </c>
      <c r="G17" s="89" t="s">
        <v>869</v>
      </c>
    </row>
    <row r="18" spans="2:7" ht="21" thickBot="1">
      <c r="B18" s="82" t="s">
        <v>790</v>
      </c>
      <c r="C18" s="88" t="s">
        <v>862</v>
      </c>
      <c r="D18" s="82" t="s">
        <v>863</v>
      </c>
      <c r="E18" s="88" t="s">
        <v>843</v>
      </c>
      <c r="F18" s="82" t="s">
        <v>843</v>
      </c>
      <c r="G18" s="88" t="s">
        <v>864</v>
      </c>
    </row>
    <row r="19" spans="2:7" ht="21" thickBot="1">
      <c r="B19" s="82" t="s">
        <v>870</v>
      </c>
      <c r="C19" s="89" t="s">
        <v>867</v>
      </c>
      <c r="D19" s="82" t="s">
        <v>871</v>
      </c>
      <c r="E19" s="89" t="s">
        <v>843</v>
      </c>
      <c r="F19" s="82" t="s">
        <v>843</v>
      </c>
      <c r="G19" s="89" t="s">
        <v>872</v>
      </c>
    </row>
    <row r="20" spans="2:7" ht="51.6" thickBot="1">
      <c r="B20" s="82" t="s">
        <v>873</v>
      </c>
      <c r="C20" s="88" t="s">
        <v>874</v>
      </c>
      <c r="D20" s="82" t="s">
        <v>875</v>
      </c>
      <c r="E20" s="88" t="s">
        <v>844</v>
      </c>
      <c r="F20" s="82" t="s">
        <v>844</v>
      </c>
      <c r="G20" s="88" t="s">
        <v>869</v>
      </c>
    </row>
    <row r="21" spans="2:7" ht="41.4" thickBot="1">
      <c r="B21" s="82" t="s">
        <v>792</v>
      </c>
      <c r="C21" s="89" t="s">
        <v>876</v>
      </c>
      <c r="D21" s="82" t="s">
        <v>877</v>
      </c>
      <c r="E21" s="89" t="s">
        <v>843</v>
      </c>
      <c r="F21" s="82" t="s">
        <v>843</v>
      </c>
      <c r="G21" s="89" t="s">
        <v>878</v>
      </c>
    </row>
    <row r="22" spans="2:7" ht="21" thickBot="1">
      <c r="B22" s="82" t="s">
        <v>793</v>
      </c>
      <c r="C22" s="88" t="s">
        <v>848</v>
      </c>
      <c r="D22" s="82" t="s">
        <v>849</v>
      </c>
      <c r="E22" s="88" t="s">
        <v>843</v>
      </c>
      <c r="F22" s="82" t="s">
        <v>843</v>
      </c>
      <c r="G22" s="88" t="s">
        <v>879</v>
      </c>
    </row>
    <row r="23" spans="2:7" ht="21" thickBot="1">
      <c r="B23" s="82" t="s">
        <v>880</v>
      </c>
      <c r="C23" s="89" t="s">
        <v>881</v>
      </c>
      <c r="D23" s="82" t="s">
        <v>882</v>
      </c>
      <c r="E23" s="89" t="s">
        <v>844</v>
      </c>
      <c r="F23" s="82" t="s">
        <v>844</v>
      </c>
      <c r="G23" s="89" t="s">
        <v>883</v>
      </c>
    </row>
    <row r="24" spans="2:7" ht="21" thickBot="1">
      <c r="B24" s="82" t="s">
        <v>795</v>
      </c>
      <c r="C24" s="88" t="s">
        <v>884</v>
      </c>
      <c r="D24" s="82" t="s">
        <v>849</v>
      </c>
      <c r="E24" s="88" t="s">
        <v>844</v>
      </c>
      <c r="F24" s="82" t="s">
        <v>844</v>
      </c>
      <c r="G24" s="88"/>
    </row>
    <row r="25" spans="2:7" ht="21" thickBot="1">
      <c r="B25" s="82" t="s">
        <v>796</v>
      </c>
      <c r="C25" s="89" t="s">
        <v>862</v>
      </c>
      <c r="D25" s="82" t="s">
        <v>863</v>
      </c>
      <c r="E25" s="89" t="s">
        <v>843</v>
      </c>
      <c r="F25" s="82" t="s">
        <v>843</v>
      </c>
      <c r="G25" s="89" t="s">
        <v>885</v>
      </c>
    </row>
    <row r="26" spans="2:7" ht="21" thickBot="1">
      <c r="B26" s="82" t="s">
        <v>797</v>
      </c>
      <c r="C26" s="88" t="s">
        <v>848</v>
      </c>
      <c r="D26" s="82" t="s">
        <v>849</v>
      </c>
      <c r="E26" s="88" t="s">
        <v>843</v>
      </c>
      <c r="F26" s="82" t="s">
        <v>843</v>
      </c>
      <c r="G26" s="88" t="s">
        <v>879</v>
      </c>
    </row>
    <row r="27" spans="2:7" ht="21" thickBot="1">
      <c r="B27" s="82" t="s">
        <v>798</v>
      </c>
      <c r="C27" s="89" t="s">
        <v>886</v>
      </c>
      <c r="D27" s="82" t="s">
        <v>849</v>
      </c>
      <c r="E27" s="89" t="s">
        <v>844</v>
      </c>
      <c r="F27" s="82" t="s">
        <v>844</v>
      </c>
      <c r="G27" s="89"/>
    </row>
    <row r="28" spans="2:7" ht="31.2" thickBot="1">
      <c r="B28" s="82" t="s">
        <v>801</v>
      </c>
      <c r="C28" s="88" t="s">
        <v>887</v>
      </c>
      <c r="D28" s="82" t="s">
        <v>888</v>
      </c>
      <c r="E28" s="88" t="s">
        <v>844</v>
      </c>
      <c r="F28" s="82" t="s">
        <v>844</v>
      </c>
      <c r="G28" s="88"/>
    </row>
    <row r="29" spans="2:7" ht="41.4" thickBot="1">
      <c r="B29" s="82" t="s">
        <v>889</v>
      </c>
      <c r="C29" s="89" t="s">
        <v>890</v>
      </c>
      <c r="D29" s="82" t="s">
        <v>860</v>
      </c>
      <c r="E29" s="89" t="s">
        <v>844</v>
      </c>
      <c r="F29" s="82" t="s">
        <v>844</v>
      </c>
      <c r="G29" s="89"/>
    </row>
    <row r="30" spans="2:7" ht="21" thickBot="1">
      <c r="B30" s="82" t="s">
        <v>800</v>
      </c>
      <c r="C30" s="88" t="s">
        <v>841</v>
      </c>
      <c r="D30" s="82" t="s">
        <v>860</v>
      </c>
      <c r="E30" s="88" t="s">
        <v>843</v>
      </c>
      <c r="F30" s="82" t="s">
        <v>843</v>
      </c>
      <c r="G30" s="88" t="s">
        <v>891</v>
      </c>
    </row>
    <row r="31" spans="2:7" ht="21" thickBot="1">
      <c r="B31" s="82" t="s">
        <v>802</v>
      </c>
      <c r="C31" s="89" t="s">
        <v>848</v>
      </c>
      <c r="D31" s="82" t="s">
        <v>849</v>
      </c>
      <c r="E31" s="89" t="s">
        <v>844</v>
      </c>
      <c r="F31" s="82" t="s">
        <v>844</v>
      </c>
      <c r="G31" s="89"/>
    </row>
    <row r="32" spans="2:7" ht="31.2" thickBot="1">
      <c r="B32" s="82" t="s">
        <v>892</v>
      </c>
      <c r="C32" s="88" t="s">
        <v>893</v>
      </c>
      <c r="D32" s="82" t="s">
        <v>849</v>
      </c>
      <c r="E32" s="88" t="s">
        <v>894</v>
      </c>
      <c r="F32" s="82" t="s">
        <v>894</v>
      </c>
      <c r="G32" s="88" t="s">
        <v>895</v>
      </c>
    </row>
    <row r="33" spans="2:7" ht="61.8" thickBot="1">
      <c r="B33" s="82" t="s">
        <v>896</v>
      </c>
      <c r="C33" s="89" t="s">
        <v>897</v>
      </c>
      <c r="D33" s="82" t="s">
        <v>898</v>
      </c>
      <c r="E33" s="89" t="s">
        <v>844</v>
      </c>
      <c r="F33" s="82" t="s">
        <v>844</v>
      </c>
      <c r="G33" s="89"/>
    </row>
    <row r="34" spans="2:7" ht="21" thickBot="1">
      <c r="B34" s="82" t="s">
        <v>804</v>
      </c>
      <c r="C34" s="88" t="s">
        <v>862</v>
      </c>
      <c r="D34" s="82" t="s">
        <v>863</v>
      </c>
      <c r="E34" s="88" t="s">
        <v>843</v>
      </c>
      <c r="F34" s="82" t="s">
        <v>843</v>
      </c>
      <c r="G34" s="88" t="s">
        <v>899</v>
      </c>
    </row>
    <row r="35" spans="2:7" ht="21" thickBot="1">
      <c r="B35" s="82" t="s">
        <v>805</v>
      </c>
      <c r="C35" s="89" t="s">
        <v>848</v>
      </c>
      <c r="D35" s="82" t="s">
        <v>849</v>
      </c>
      <c r="E35" s="89" t="s">
        <v>843</v>
      </c>
      <c r="F35" s="82" t="s">
        <v>843</v>
      </c>
      <c r="G35" s="89" t="s">
        <v>900</v>
      </c>
    </row>
    <row r="36" spans="2:7" ht="21" thickBot="1">
      <c r="B36" s="82" t="s">
        <v>806</v>
      </c>
      <c r="C36" s="88" t="s">
        <v>901</v>
      </c>
      <c r="D36" s="82" t="s">
        <v>849</v>
      </c>
      <c r="E36" s="88" t="s">
        <v>844</v>
      </c>
      <c r="F36" s="82" t="s">
        <v>844</v>
      </c>
      <c r="G36" s="88" t="s">
        <v>902</v>
      </c>
    </row>
    <row r="37" spans="2:7" ht="21" thickBot="1">
      <c r="B37" s="82" t="s">
        <v>807</v>
      </c>
      <c r="C37" s="89" t="s">
        <v>884</v>
      </c>
      <c r="D37" s="82" t="s">
        <v>849</v>
      </c>
      <c r="E37" s="89" t="s">
        <v>844</v>
      </c>
      <c r="F37" s="82" t="s">
        <v>844</v>
      </c>
      <c r="G37" s="89"/>
    </row>
    <row r="38" spans="2:7" ht="21" thickBot="1">
      <c r="B38" s="82" t="s">
        <v>808</v>
      </c>
      <c r="C38" s="88" t="s">
        <v>848</v>
      </c>
      <c r="D38" s="82" t="s">
        <v>849</v>
      </c>
      <c r="E38" s="88" t="s">
        <v>843</v>
      </c>
      <c r="F38" s="82" t="s">
        <v>843</v>
      </c>
      <c r="G38" s="88" t="s">
        <v>903</v>
      </c>
    </row>
    <row r="39" spans="2:7" ht="21" thickBot="1">
      <c r="B39" s="82" t="s">
        <v>904</v>
      </c>
      <c r="C39" s="89" t="s">
        <v>862</v>
      </c>
      <c r="D39" s="82" t="s">
        <v>863</v>
      </c>
      <c r="E39" s="89" t="s">
        <v>905</v>
      </c>
      <c r="F39" s="82" t="s">
        <v>905</v>
      </c>
      <c r="G39" s="89"/>
    </row>
    <row r="40" spans="2:7" ht="21" thickBot="1">
      <c r="B40" s="82" t="s">
        <v>810</v>
      </c>
      <c r="C40" s="88" t="s">
        <v>848</v>
      </c>
      <c r="D40" s="82" t="s">
        <v>849</v>
      </c>
      <c r="E40" s="88" t="s">
        <v>844</v>
      </c>
      <c r="F40" s="82" t="s">
        <v>844</v>
      </c>
      <c r="G40" s="88" t="s">
        <v>906</v>
      </c>
    </row>
    <row r="41" spans="2:7" ht="21" thickBot="1">
      <c r="B41" s="82" t="s">
        <v>811</v>
      </c>
      <c r="C41" s="89" t="s">
        <v>907</v>
      </c>
      <c r="D41" s="82" t="s">
        <v>849</v>
      </c>
      <c r="E41" s="89" t="s">
        <v>844</v>
      </c>
      <c r="F41" s="82" t="s">
        <v>844</v>
      </c>
      <c r="G41" s="89"/>
    </row>
    <row r="42" spans="2:7" ht="21" thickBot="1">
      <c r="B42" s="82" t="s">
        <v>812</v>
      </c>
      <c r="C42" s="88" t="s">
        <v>862</v>
      </c>
      <c r="D42" s="82" t="s">
        <v>846</v>
      </c>
      <c r="E42" s="88" t="s">
        <v>843</v>
      </c>
      <c r="F42" s="82" t="s">
        <v>843</v>
      </c>
      <c r="G42" s="88" t="s">
        <v>908</v>
      </c>
    </row>
    <row r="43" spans="2:7" ht="21" thickBot="1">
      <c r="B43" s="82" t="s">
        <v>813</v>
      </c>
      <c r="C43" s="89" t="s">
        <v>884</v>
      </c>
      <c r="D43" s="82" t="s">
        <v>849</v>
      </c>
      <c r="E43" s="89" t="s">
        <v>844</v>
      </c>
      <c r="F43" s="82" t="s">
        <v>844</v>
      </c>
      <c r="G43" s="89"/>
    </row>
    <row r="44" spans="2:7" ht="21" thickBot="1">
      <c r="B44" s="82" t="s">
        <v>814</v>
      </c>
      <c r="C44" s="88" t="s">
        <v>848</v>
      </c>
      <c r="D44" s="82" t="s">
        <v>849</v>
      </c>
      <c r="E44" s="88" t="s">
        <v>844</v>
      </c>
      <c r="F44" s="82" t="s">
        <v>844</v>
      </c>
      <c r="G44" s="88"/>
    </row>
    <row r="45" spans="2:7" ht="21" thickBot="1">
      <c r="B45" s="82" t="s">
        <v>815</v>
      </c>
      <c r="C45" s="89" t="s">
        <v>909</v>
      </c>
      <c r="D45" s="82" t="s">
        <v>849</v>
      </c>
      <c r="E45" s="89" t="s">
        <v>843</v>
      </c>
      <c r="F45" s="82" t="s">
        <v>843</v>
      </c>
      <c r="G45" s="89" t="s">
        <v>910</v>
      </c>
    </row>
    <row r="46" spans="2:7" ht="51.6" thickBot="1">
      <c r="B46" s="82" t="s">
        <v>911</v>
      </c>
      <c r="C46" s="88" t="s">
        <v>862</v>
      </c>
      <c r="D46" s="82" t="s">
        <v>912</v>
      </c>
      <c r="E46" s="88" t="s">
        <v>843</v>
      </c>
      <c r="F46" s="82" t="s">
        <v>843</v>
      </c>
      <c r="G46" s="88" t="s">
        <v>864</v>
      </c>
    </row>
  </sheetData>
  <sheetProtection algorithmName="SHA-512" hashValue="k/B7gY755v9nGANFP80NbVxpzycqm3ArkTMHRzCUyaadKKeJl4QZZWpr3JGhbaBlkSYBywYJwXfWPhOCwzgFMg==" saltValue="zYj8PUai8nkzlWL+fCgDDg==" spinCount="100000" sheet="1" objects="1" scenarios="1"/>
  <hyperlinks>
    <hyperlink ref="A1" location="Inhalt!A1" display="Zum Inhalt" xr:uid="{0EEDDFE1-5859-49D3-9D09-7BFED749D461}"/>
  </hyperlinks>
  <pageMargins left="0.7" right="0.7" top="0.78740157499999996" bottom="0.78740157499999996"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904C-E6CA-4C69-BBCA-E914A6FB2015}">
  <sheetPr codeName="Tabelle55"/>
  <dimension ref="A1:U28"/>
  <sheetViews>
    <sheetView zoomScaleNormal="100" workbookViewId="0">
      <selection activeCell="B3" sqref="B3"/>
    </sheetView>
  </sheetViews>
  <sheetFormatPr baseColWidth="10" defaultColWidth="11.44140625" defaultRowHeight="14.4"/>
  <cols>
    <col min="5" max="8" width="14" customWidth="1"/>
    <col min="9" max="9" width="10.6640625" customWidth="1"/>
    <col min="10" max="10" width="25.6640625" bestFit="1" customWidth="1"/>
    <col min="11" max="21" width="11.33203125" customWidth="1"/>
  </cols>
  <sheetData>
    <row r="1" spans="1:21" ht="27.6">
      <c r="A1" s="99" t="s">
        <v>143</v>
      </c>
    </row>
    <row r="2" spans="1:21">
      <c r="A2" s="126"/>
    </row>
    <row r="3" spans="1:21">
      <c r="A3" s="126"/>
      <c r="B3" s="4" t="s">
        <v>88</v>
      </c>
    </row>
    <row r="4" spans="1:21">
      <c r="A4" s="126"/>
    </row>
    <row r="5" spans="1:21">
      <c r="B5" s="4" t="s">
        <v>913</v>
      </c>
      <c r="C5" s="4" t="s">
        <v>914</v>
      </c>
    </row>
    <row r="6" spans="1:21" ht="31.2" thickBot="1">
      <c r="B6" s="1" t="s">
        <v>915</v>
      </c>
      <c r="C6" s="2"/>
      <c r="D6" s="92" t="s">
        <v>916</v>
      </c>
      <c r="E6" s="1" t="s">
        <v>917</v>
      </c>
      <c r="F6" s="92" t="s">
        <v>918</v>
      </c>
      <c r="G6" s="6" t="s">
        <v>919</v>
      </c>
      <c r="H6" s="6" t="s">
        <v>919</v>
      </c>
      <c r="J6" s="92" t="s">
        <v>920</v>
      </c>
      <c r="K6" s="92" t="s">
        <v>876</v>
      </c>
      <c r="L6" s="92" t="s">
        <v>921</v>
      </c>
      <c r="M6" s="92" t="s">
        <v>922</v>
      </c>
      <c r="N6" s="92" t="s">
        <v>923</v>
      </c>
      <c r="O6" s="92" t="s">
        <v>924</v>
      </c>
      <c r="P6" s="92" t="s">
        <v>925</v>
      </c>
      <c r="Q6" s="92" t="s">
        <v>853</v>
      </c>
      <c r="R6" s="92" t="s">
        <v>881</v>
      </c>
      <c r="S6" s="92" t="s">
        <v>884</v>
      </c>
      <c r="T6" s="92" t="s">
        <v>907</v>
      </c>
      <c r="U6" s="92" t="s">
        <v>926</v>
      </c>
    </row>
    <row r="7" spans="1:21" ht="15" thickBot="1">
      <c r="A7" s="44"/>
      <c r="B7" s="3" t="s">
        <v>927</v>
      </c>
      <c r="C7" s="31" t="s">
        <v>928</v>
      </c>
      <c r="D7" s="3" t="s">
        <v>929</v>
      </c>
      <c r="E7" s="149">
        <v>133</v>
      </c>
      <c r="F7" s="93">
        <v>-7.0000000000000001E-3</v>
      </c>
      <c r="G7" s="54">
        <v>0.84</v>
      </c>
      <c r="H7" s="41">
        <v>112</v>
      </c>
      <c r="I7" s="94"/>
      <c r="J7" s="151" t="s">
        <v>929</v>
      </c>
      <c r="K7" s="149">
        <f>$E7*K18</f>
        <v>396</v>
      </c>
      <c r="L7" s="149">
        <f>$E7*L18</f>
        <v>319</v>
      </c>
      <c r="M7" s="149">
        <f>$E7*M18</f>
        <v>301</v>
      </c>
      <c r="N7" s="149">
        <f>$E7*N18</f>
        <v>259</v>
      </c>
      <c r="O7" s="149">
        <f>$E7*O18</f>
        <v>186</v>
      </c>
      <c r="P7" s="149">
        <f t="shared" ref="P7:T7" si="0">$E7*P18</f>
        <v>161</v>
      </c>
      <c r="Q7" s="149">
        <f t="shared" si="0"/>
        <v>160</v>
      </c>
      <c r="R7" s="149">
        <f t="shared" si="0"/>
        <v>112</v>
      </c>
      <c r="S7" s="149">
        <f t="shared" si="0"/>
        <v>85</v>
      </c>
      <c r="T7" s="149">
        <f t="shared" si="0"/>
        <v>32</v>
      </c>
      <c r="U7" s="149">
        <f>$E7*U18</f>
        <v>27</v>
      </c>
    </row>
    <row r="8" spans="1:21" ht="15" thickBot="1">
      <c r="A8" s="44"/>
      <c r="B8" s="3"/>
      <c r="C8" s="31" t="s">
        <v>930</v>
      </c>
      <c r="D8" s="3" t="s">
        <v>929</v>
      </c>
      <c r="E8" s="150"/>
      <c r="F8" s="93">
        <v>-1.4E-2</v>
      </c>
      <c r="G8" s="54">
        <v>0.68</v>
      </c>
      <c r="H8" s="41">
        <v>90</v>
      </c>
      <c r="I8" s="94"/>
      <c r="J8" s="152"/>
      <c r="K8" s="150"/>
      <c r="L8" s="150"/>
      <c r="M8" s="150"/>
      <c r="N8" s="150"/>
      <c r="O8" s="150"/>
      <c r="P8" s="150"/>
      <c r="Q8" s="150"/>
      <c r="R8" s="150"/>
      <c r="S8" s="150"/>
      <c r="T8" s="150"/>
      <c r="U8" s="150"/>
    </row>
    <row r="9" spans="1:21" ht="15" thickBot="1">
      <c r="A9" s="44"/>
      <c r="B9" s="3" t="s">
        <v>931</v>
      </c>
      <c r="C9" s="31" t="s">
        <v>928</v>
      </c>
      <c r="D9" s="3" t="s">
        <v>929</v>
      </c>
      <c r="E9" s="149">
        <v>69</v>
      </c>
      <c r="F9" s="93">
        <v>-6.0000000000000001E-3</v>
      </c>
      <c r="G9" s="54">
        <v>0.86</v>
      </c>
      <c r="H9" s="41">
        <v>59</v>
      </c>
      <c r="I9" s="94"/>
      <c r="J9" s="151" t="s">
        <v>929</v>
      </c>
      <c r="K9" s="149">
        <f>$E9*K18</f>
        <v>206</v>
      </c>
      <c r="L9" s="149">
        <f>$E9*L18</f>
        <v>166</v>
      </c>
      <c r="M9" s="149">
        <f>$E9*M18</f>
        <v>156</v>
      </c>
      <c r="N9" s="149">
        <f>$E9*N18</f>
        <v>135</v>
      </c>
      <c r="O9" s="149">
        <f>$E9*O18</f>
        <v>97</v>
      </c>
      <c r="P9" s="149">
        <f t="shared" ref="P9:T9" si="1">$E9*P18</f>
        <v>83</v>
      </c>
      <c r="Q9" s="149">
        <f t="shared" si="1"/>
        <v>83</v>
      </c>
      <c r="R9" s="149">
        <f t="shared" si="1"/>
        <v>58</v>
      </c>
      <c r="S9" s="149">
        <f t="shared" si="1"/>
        <v>44</v>
      </c>
      <c r="T9" s="149">
        <f t="shared" si="1"/>
        <v>17</v>
      </c>
      <c r="U9" s="149">
        <f>$E9*U18</f>
        <v>14</v>
      </c>
    </row>
    <row r="10" spans="1:21" ht="15" thickBot="1">
      <c r="A10" s="44"/>
      <c r="B10" s="3"/>
      <c r="C10" s="31" t="s">
        <v>930</v>
      </c>
      <c r="D10" s="3" t="s">
        <v>929</v>
      </c>
      <c r="E10" s="150"/>
      <c r="F10" s="93">
        <v>-1.6E-2</v>
      </c>
      <c r="G10" s="54">
        <v>0.63</v>
      </c>
      <c r="H10" s="41">
        <v>43</v>
      </c>
      <c r="I10" s="94"/>
      <c r="J10" s="152"/>
      <c r="K10" s="150"/>
      <c r="L10" s="150"/>
      <c r="M10" s="150"/>
      <c r="N10" s="150"/>
      <c r="O10" s="150"/>
      <c r="P10" s="150"/>
      <c r="Q10" s="150"/>
      <c r="R10" s="150"/>
      <c r="S10" s="150"/>
      <c r="T10" s="150"/>
      <c r="U10" s="150"/>
    </row>
    <row r="11" spans="1:21" ht="15" thickBot="1">
      <c r="A11" s="44"/>
      <c r="B11" s="3" t="s">
        <v>932</v>
      </c>
      <c r="C11" s="31" t="s">
        <v>928</v>
      </c>
      <c r="D11" s="3" t="s">
        <v>929</v>
      </c>
      <c r="E11" s="149">
        <v>45</v>
      </c>
      <c r="F11" s="93">
        <v>-2E-3</v>
      </c>
      <c r="G11" s="54">
        <v>0.96</v>
      </c>
      <c r="H11" s="41">
        <v>43</v>
      </c>
      <c r="I11" s="94"/>
      <c r="J11" s="151" t="s">
        <v>929</v>
      </c>
      <c r="K11" s="149">
        <f>$E11*K18</f>
        <v>134</v>
      </c>
      <c r="L11" s="149">
        <f>$E11*L18</f>
        <v>108</v>
      </c>
      <c r="M11" s="149">
        <f>$E11*M18</f>
        <v>102</v>
      </c>
      <c r="N11" s="149">
        <f>$E11*N18</f>
        <v>88</v>
      </c>
      <c r="O11" s="149">
        <f>$E11*O18</f>
        <v>63</v>
      </c>
      <c r="P11" s="149">
        <f t="shared" ref="P11:T11" si="2">$E11*P18</f>
        <v>54</v>
      </c>
      <c r="Q11" s="149">
        <f t="shared" si="2"/>
        <v>54</v>
      </c>
      <c r="R11" s="149">
        <f t="shared" si="2"/>
        <v>38</v>
      </c>
      <c r="S11" s="149">
        <f t="shared" si="2"/>
        <v>29</v>
      </c>
      <c r="T11" s="149">
        <f t="shared" si="2"/>
        <v>11</v>
      </c>
      <c r="U11" s="149">
        <f>$E11*U18</f>
        <v>9</v>
      </c>
    </row>
    <row r="12" spans="1:21" ht="15" thickBot="1">
      <c r="A12" s="44"/>
      <c r="B12" s="3"/>
      <c r="C12" s="31" t="s">
        <v>930</v>
      </c>
      <c r="D12" s="3" t="s">
        <v>929</v>
      </c>
      <c r="E12" s="150"/>
      <c r="F12" s="93">
        <v>-1.2999999999999999E-2</v>
      </c>
      <c r="G12" s="54">
        <v>0.7</v>
      </c>
      <c r="H12" s="41">
        <v>32</v>
      </c>
      <c r="I12" s="94"/>
      <c r="J12" s="152"/>
      <c r="K12" s="150"/>
      <c r="L12" s="150"/>
      <c r="M12" s="150"/>
      <c r="N12" s="150"/>
      <c r="O12" s="150"/>
      <c r="P12" s="150"/>
      <c r="Q12" s="150"/>
      <c r="R12" s="150"/>
      <c r="S12" s="150"/>
      <c r="T12" s="150"/>
      <c r="U12" s="150"/>
    </row>
    <row r="13" spans="1:21">
      <c r="F13" s="95"/>
      <c r="G13" s="95"/>
      <c r="H13" s="95"/>
    </row>
    <row r="14" spans="1:21" ht="31.2" thickBot="1">
      <c r="J14" s="1" t="s">
        <v>933</v>
      </c>
      <c r="K14" s="96" t="s">
        <v>876</v>
      </c>
      <c r="L14" s="96" t="s">
        <v>921</v>
      </c>
      <c r="M14" s="96" t="s">
        <v>922</v>
      </c>
      <c r="N14" s="96" t="s">
        <v>923</v>
      </c>
      <c r="O14" s="96" t="s">
        <v>924</v>
      </c>
      <c r="P14" s="96" t="s">
        <v>925</v>
      </c>
      <c r="Q14" s="96" t="s">
        <v>853</v>
      </c>
      <c r="R14" s="96" t="s">
        <v>881</v>
      </c>
      <c r="S14" s="96" t="s">
        <v>884</v>
      </c>
      <c r="T14" s="96" t="s">
        <v>907</v>
      </c>
      <c r="U14" s="96" t="s">
        <v>926</v>
      </c>
    </row>
    <row r="15" spans="1:21" ht="15" thickBot="1">
      <c r="G15" s="94"/>
      <c r="H15" s="94"/>
      <c r="J15" s="3" t="s">
        <v>934</v>
      </c>
      <c r="K15" s="54">
        <v>2.04</v>
      </c>
      <c r="L15" s="54">
        <v>0.3</v>
      </c>
      <c r="M15" s="54">
        <v>1.57</v>
      </c>
      <c r="N15" s="54">
        <v>1.86</v>
      </c>
      <c r="O15" s="54">
        <v>1.32</v>
      </c>
      <c r="P15" s="54">
        <v>1.1599999999999999</v>
      </c>
      <c r="Q15" s="54">
        <v>1.1299999999999999</v>
      </c>
      <c r="R15" s="54">
        <v>0.79</v>
      </c>
      <c r="S15" s="54">
        <v>0.45</v>
      </c>
      <c r="T15" s="54">
        <v>0.19</v>
      </c>
      <c r="U15" s="54">
        <v>0.18</v>
      </c>
    </row>
    <row r="16" spans="1:21" ht="15" thickBot="1">
      <c r="J16" s="3" t="s">
        <v>935</v>
      </c>
      <c r="K16" s="54">
        <v>0.23</v>
      </c>
      <c r="L16" s="54">
        <v>1</v>
      </c>
      <c r="M16" s="54">
        <v>0.11</v>
      </c>
      <c r="N16" s="54">
        <v>0.05</v>
      </c>
      <c r="O16" s="54">
        <v>0.05</v>
      </c>
      <c r="P16" s="54">
        <v>0.02</v>
      </c>
      <c r="Q16" s="54">
        <v>0.05</v>
      </c>
      <c r="R16" s="54">
        <v>0.05</v>
      </c>
      <c r="S16" s="54">
        <v>0.21</v>
      </c>
      <c r="T16" s="54">
        <v>0.03</v>
      </c>
      <c r="U16" s="54">
        <v>0.09</v>
      </c>
    </row>
    <row r="17" spans="2:21" ht="15" thickBot="1">
      <c r="J17" s="3" t="s">
        <v>936</v>
      </c>
      <c r="K17" s="54">
        <v>0.23</v>
      </c>
      <c r="L17" s="54">
        <v>6</v>
      </c>
      <c r="M17" s="54">
        <v>0.33</v>
      </c>
      <c r="N17" s="54">
        <v>0</v>
      </c>
      <c r="O17" s="54">
        <v>0.01</v>
      </c>
      <c r="P17" s="54">
        <v>0.02</v>
      </c>
      <c r="Q17" s="54">
        <v>0.01</v>
      </c>
      <c r="R17" s="54">
        <v>0.01</v>
      </c>
      <c r="S17" s="54">
        <v>0.21</v>
      </c>
      <c r="T17" s="54">
        <v>0.22</v>
      </c>
      <c r="U17" s="54">
        <v>0.01</v>
      </c>
    </row>
    <row r="18" spans="2:21" ht="15" thickBot="1">
      <c r="J18" s="3" t="s">
        <v>937</v>
      </c>
      <c r="K18" s="54">
        <f>K15*(1+K16+K17)</f>
        <v>2.98</v>
      </c>
      <c r="L18" s="54">
        <f>L15*(1+L16+L17)</f>
        <v>2.4</v>
      </c>
      <c r="M18" s="54">
        <f>M15*(1+M16+M17)</f>
        <v>2.2599999999999998</v>
      </c>
      <c r="N18" s="54">
        <f>N15*(1+N16+N17)</f>
        <v>1.95</v>
      </c>
      <c r="O18" s="54">
        <f>O15*(1+O16+O17)</f>
        <v>1.4</v>
      </c>
      <c r="P18" s="54">
        <f t="shared" ref="P18:T18" si="3">P15*(1+P16+P17)</f>
        <v>1.21</v>
      </c>
      <c r="Q18" s="54">
        <f t="shared" si="3"/>
        <v>1.2</v>
      </c>
      <c r="R18" s="54">
        <f t="shared" si="3"/>
        <v>0.84</v>
      </c>
      <c r="S18" s="54">
        <f t="shared" si="3"/>
        <v>0.64</v>
      </c>
      <c r="T18" s="54">
        <f t="shared" si="3"/>
        <v>0.24</v>
      </c>
      <c r="U18" s="54">
        <f>U15*(1+U16+U17)</f>
        <v>0.2</v>
      </c>
    </row>
    <row r="21" spans="2:21">
      <c r="B21" s="4" t="s">
        <v>147</v>
      </c>
    </row>
    <row r="22" spans="2:21">
      <c r="B22" s="12" t="s">
        <v>938</v>
      </c>
    </row>
    <row r="23" spans="2:21">
      <c r="B23" s="12" t="s">
        <v>939</v>
      </c>
    </row>
    <row r="24" spans="2:21">
      <c r="B24" s="12" t="s">
        <v>940</v>
      </c>
    </row>
    <row r="25" spans="2:21">
      <c r="B25" s="12" t="s">
        <v>941</v>
      </c>
    </row>
    <row r="26" spans="2:21">
      <c r="B26" s="12" t="s">
        <v>942</v>
      </c>
    </row>
    <row r="27" spans="2:21">
      <c r="B27" s="12"/>
    </row>
    <row r="28" spans="2:21">
      <c r="B28" s="97"/>
    </row>
  </sheetData>
  <sheetProtection algorithmName="SHA-512" hashValue="zxcPmKrhBqEDivQ86k7kOO3///SpU98w9vw/O2QtkCm3g5HYHmlMMdAAIhEcPzJAz/ApAg/PmTyAS5G0E82Dmg==" saltValue="wiGz6Tcf3tAz7HW5bHcCtQ==" spinCount="100000" sheet="1" objects="1" scenarios="1"/>
  <mergeCells count="39">
    <mergeCell ref="T7:T8"/>
    <mergeCell ref="N7:N8"/>
    <mergeCell ref="E7:E8"/>
    <mergeCell ref="J7:J8"/>
    <mergeCell ref="K7:K8"/>
    <mergeCell ref="L7:L8"/>
    <mergeCell ref="M7:M8"/>
    <mergeCell ref="T11:T12"/>
    <mergeCell ref="U7:U8"/>
    <mergeCell ref="E9:E10"/>
    <mergeCell ref="J9:J10"/>
    <mergeCell ref="K9:K10"/>
    <mergeCell ref="L9:L10"/>
    <mergeCell ref="M9:M10"/>
    <mergeCell ref="N9:N10"/>
    <mergeCell ref="O9:O10"/>
    <mergeCell ref="P9:P10"/>
    <mergeCell ref="Q9:Q10"/>
    <mergeCell ref="O7:O8"/>
    <mergeCell ref="P7:P8"/>
    <mergeCell ref="Q7:Q8"/>
    <mergeCell ref="R7:R8"/>
    <mergeCell ref="S7:S8"/>
    <mergeCell ref="R9:R10"/>
    <mergeCell ref="S9:S10"/>
    <mergeCell ref="T9:T10"/>
    <mergeCell ref="U9:U10"/>
    <mergeCell ref="E11:E12"/>
    <mergeCell ref="J11:J12"/>
    <mergeCell ref="K11:K12"/>
    <mergeCell ref="L11:L12"/>
    <mergeCell ref="M11:M12"/>
    <mergeCell ref="N11:N12"/>
    <mergeCell ref="U11:U12"/>
    <mergeCell ref="O11:O12"/>
    <mergeCell ref="P11:P12"/>
    <mergeCell ref="Q11:Q12"/>
    <mergeCell ref="R11:R12"/>
    <mergeCell ref="S11:S12"/>
  </mergeCells>
  <conditionalFormatting sqref="B9:B12">
    <cfRule type="colorScale" priority="1">
      <colorScale>
        <cfvo type="min"/>
        <cfvo type="percentile" val="50"/>
        <cfvo type="max"/>
        <color rgb="FF63BE7B"/>
        <color rgb="FFFFEB84"/>
        <color rgb="FFF8696B"/>
      </colorScale>
    </cfRule>
  </conditionalFormatting>
  <hyperlinks>
    <hyperlink ref="A1" location="Inhalt!A1" display="Zum Inhalt" xr:uid="{F7777344-EDC4-4BF4-961A-D68010831D88}"/>
  </hyperlinks>
  <pageMargins left="0.7" right="0.7" top="0.78740157499999996" bottom="0.78740157499999996" header="0.3" footer="0.3"/>
  <pageSetup paperSize="9" orientation="portrait"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23F47-2C08-4B44-9CF6-C192A98AC4FA}">
  <sheetPr codeName="Tabelle56"/>
  <dimension ref="A1:M29"/>
  <sheetViews>
    <sheetView workbookViewId="0">
      <selection activeCell="H6" sqref="H6"/>
    </sheetView>
  </sheetViews>
  <sheetFormatPr baseColWidth="10" defaultColWidth="11.44140625" defaultRowHeight="14.4"/>
  <cols>
    <col min="1" max="4" width="11.44140625" style="87"/>
    <col min="5" max="8" width="13.6640625" style="87" customWidth="1"/>
    <col min="9" max="9" width="11.5546875" style="87" customWidth="1"/>
    <col min="10" max="10" width="23.5546875" style="87" customWidth="1"/>
    <col min="11" max="13" width="12.6640625" style="87" customWidth="1"/>
    <col min="14" max="16384" width="11.44140625" style="87"/>
  </cols>
  <sheetData>
    <row r="1" spans="1:13" ht="27.6">
      <c r="A1" s="99" t="s">
        <v>143</v>
      </c>
    </row>
    <row r="2" spans="1:13" customFormat="1">
      <c r="A2" s="126"/>
    </row>
    <row r="3" spans="1:13" customFormat="1">
      <c r="A3" s="126"/>
      <c r="B3" s="4" t="s">
        <v>92</v>
      </c>
    </row>
    <row r="4" spans="1:13" customFormat="1">
      <c r="A4" s="126"/>
    </row>
    <row r="5" spans="1:13">
      <c r="B5" s="108" t="s">
        <v>913</v>
      </c>
      <c r="C5" s="108" t="s">
        <v>824</v>
      </c>
    </row>
    <row r="6" spans="1:13" ht="22.2" thickBot="1">
      <c r="B6" s="109" t="s">
        <v>915</v>
      </c>
      <c r="C6" s="110"/>
      <c r="D6" s="111" t="s">
        <v>916</v>
      </c>
      <c r="E6" s="109" t="s">
        <v>917</v>
      </c>
      <c r="F6" s="111" t="s">
        <v>918</v>
      </c>
      <c r="G6" s="112" t="s">
        <v>919</v>
      </c>
      <c r="H6" s="112" t="s">
        <v>919</v>
      </c>
      <c r="J6" s="109" t="s">
        <v>943</v>
      </c>
      <c r="K6" s="113" t="s">
        <v>824</v>
      </c>
      <c r="L6" s="113" t="s">
        <v>944</v>
      </c>
      <c r="M6" s="113" t="s">
        <v>945</v>
      </c>
    </row>
    <row r="7" spans="1:13" ht="15" thickBot="1">
      <c r="B7" s="3" t="s">
        <v>927</v>
      </c>
      <c r="C7" s="31" t="s">
        <v>928</v>
      </c>
      <c r="D7" s="3" t="s">
        <v>946</v>
      </c>
      <c r="E7" s="149">
        <v>44</v>
      </c>
      <c r="F7" s="93">
        <v>-1.7999999999999999E-2</v>
      </c>
      <c r="G7" s="54">
        <v>0.59</v>
      </c>
      <c r="H7" s="41">
        <v>26</v>
      </c>
      <c r="I7" s="114"/>
      <c r="J7" s="151" t="s">
        <v>929</v>
      </c>
      <c r="K7" s="149">
        <f>$E7*K18</f>
        <v>889</v>
      </c>
      <c r="L7" s="149">
        <f t="shared" ref="L7" si="0">$E7*L18</f>
        <v>291</v>
      </c>
      <c r="M7" s="149">
        <f>$E7*M18</f>
        <v>100</v>
      </c>
    </row>
    <row r="8" spans="1:13" ht="15" thickBot="1">
      <c r="B8" s="3"/>
      <c r="C8" s="31" t="s">
        <v>930</v>
      </c>
      <c r="D8" s="3" t="s">
        <v>946</v>
      </c>
      <c r="E8" s="150"/>
      <c r="F8" s="93">
        <v>-2.5999999999999999E-2</v>
      </c>
      <c r="G8" s="54">
        <v>0.41</v>
      </c>
      <c r="H8" s="41">
        <v>18</v>
      </c>
      <c r="I8" s="114"/>
      <c r="J8" s="152"/>
      <c r="K8" s="150"/>
      <c r="L8" s="150"/>
      <c r="M8" s="150"/>
    </row>
    <row r="9" spans="1:13" ht="15" thickBot="1">
      <c r="B9" s="3" t="s">
        <v>931</v>
      </c>
      <c r="C9" s="31" t="s">
        <v>928</v>
      </c>
      <c r="D9" s="3" t="s">
        <v>946</v>
      </c>
      <c r="E9" s="149">
        <v>20</v>
      </c>
      <c r="F9" s="93">
        <v>-1.6E-2</v>
      </c>
      <c r="G9" s="54">
        <v>0.63</v>
      </c>
      <c r="H9" s="41">
        <v>13</v>
      </c>
      <c r="I9" s="114"/>
      <c r="J9" s="151" t="s">
        <v>929</v>
      </c>
      <c r="K9" s="149">
        <f>$E9*K18</f>
        <v>404</v>
      </c>
      <c r="L9" s="149">
        <f t="shared" ref="L9" si="1">$E9*L18</f>
        <v>132</v>
      </c>
      <c r="M9" s="149">
        <f>$E9*M18</f>
        <v>45</v>
      </c>
    </row>
    <row r="10" spans="1:13" ht="15" thickBot="1">
      <c r="B10" s="3"/>
      <c r="C10" s="31" t="s">
        <v>930</v>
      </c>
      <c r="D10" s="3" t="s">
        <v>946</v>
      </c>
      <c r="E10" s="150"/>
      <c r="F10" s="93">
        <v>-2.4E-2</v>
      </c>
      <c r="G10" s="54">
        <v>0.45</v>
      </c>
      <c r="H10" s="41">
        <v>9</v>
      </c>
      <c r="I10" s="114"/>
      <c r="J10" s="152"/>
      <c r="K10" s="150"/>
      <c r="L10" s="150"/>
      <c r="M10" s="150"/>
    </row>
    <row r="11" spans="1:13" ht="15" thickBot="1">
      <c r="B11" s="3" t="s">
        <v>932</v>
      </c>
      <c r="C11" s="31" t="s">
        <v>928</v>
      </c>
      <c r="D11" s="3" t="s">
        <v>946</v>
      </c>
      <c r="E11" s="149">
        <v>9</v>
      </c>
      <c r="F11" s="93">
        <v>-2E-3</v>
      </c>
      <c r="G11" s="54">
        <v>0.95</v>
      </c>
      <c r="H11" s="41">
        <v>9</v>
      </c>
      <c r="I11" s="114"/>
      <c r="J11" s="151" t="s">
        <v>929</v>
      </c>
      <c r="K11" s="149">
        <f>$E11*K18</f>
        <v>182</v>
      </c>
      <c r="L11" s="149">
        <f t="shared" ref="L11" si="2">$E11*L18</f>
        <v>60</v>
      </c>
      <c r="M11" s="149">
        <f>$E11*M18</f>
        <v>20</v>
      </c>
    </row>
    <row r="12" spans="1:13" ht="15" thickBot="1">
      <c r="B12" s="3"/>
      <c r="C12" s="31" t="s">
        <v>930</v>
      </c>
      <c r="D12" s="3" t="s">
        <v>946</v>
      </c>
      <c r="E12" s="150"/>
      <c r="F12" s="93">
        <v>-8.0000000000000002E-3</v>
      </c>
      <c r="G12" s="54">
        <v>0.82</v>
      </c>
      <c r="H12" s="41">
        <v>7</v>
      </c>
      <c r="I12" s="114"/>
      <c r="J12" s="152"/>
      <c r="K12" s="150"/>
      <c r="L12" s="150"/>
      <c r="M12" s="150"/>
    </row>
    <row r="13" spans="1:13">
      <c r="M13" s="115"/>
    </row>
    <row r="14" spans="1:13" ht="22.2" thickBot="1">
      <c r="J14" s="109" t="s">
        <v>947</v>
      </c>
      <c r="K14" s="113" t="s">
        <v>824</v>
      </c>
      <c r="L14" s="113" t="s">
        <v>944</v>
      </c>
      <c r="M14" s="113" t="s">
        <v>945</v>
      </c>
    </row>
    <row r="15" spans="1:13" ht="15" thickBot="1">
      <c r="J15" s="3" t="s">
        <v>934</v>
      </c>
      <c r="K15" s="54">
        <v>1.68</v>
      </c>
      <c r="L15" s="54">
        <v>0.69</v>
      </c>
      <c r="M15" s="54">
        <v>0.63</v>
      </c>
    </row>
    <row r="16" spans="1:13" ht="15" thickBot="1">
      <c r="J16" s="3" t="s">
        <v>935</v>
      </c>
      <c r="K16" s="54">
        <v>0.1</v>
      </c>
      <c r="L16" s="54">
        <v>0.1</v>
      </c>
      <c r="M16" s="54">
        <v>0.11</v>
      </c>
    </row>
    <row r="17" spans="2:13" ht="15" thickBot="1">
      <c r="J17" s="3" t="s">
        <v>936</v>
      </c>
      <c r="K17" s="54">
        <v>10.93</v>
      </c>
      <c r="L17" s="54">
        <v>8.49</v>
      </c>
      <c r="M17" s="54">
        <v>2.5</v>
      </c>
    </row>
    <row r="18" spans="2:13" ht="15" thickBot="1">
      <c r="J18" s="3" t="s">
        <v>937</v>
      </c>
      <c r="K18" s="54">
        <f>K15*(1+K16+K17)</f>
        <v>20.21</v>
      </c>
      <c r="L18" s="54">
        <f t="shared" ref="L18" si="3">L15*(1+L16+L17)</f>
        <v>6.62</v>
      </c>
      <c r="M18" s="54">
        <f>M15*(1+M16+M17)</f>
        <v>2.27</v>
      </c>
    </row>
    <row r="21" spans="2:13">
      <c r="B21" s="4" t="s">
        <v>147</v>
      </c>
      <c r="C21" s="121"/>
      <c r="D21" s="121"/>
    </row>
    <row r="22" spans="2:13">
      <c r="B22" s="12" t="s">
        <v>938</v>
      </c>
      <c r="C22" s="121"/>
      <c r="D22" s="121"/>
    </row>
    <row r="23" spans="2:13">
      <c r="B23" s="12" t="s">
        <v>939</v>
      </c>
      <c r="C23" s="121"/>
      <c r="D23" s="121"/>
    </row>
    <row r="24" spans="2:13">
      <c r="B24" s="12" t="s">
        <v>940</v>
      </c>
      <c r="C24" s="121"/>
      <c r="D24" s="121"/>
    </row>
    <row r="25" spans="2:13">
      <c r="B25" s="12" t="s">
        <v>941</v>
      </c>
      <c r="C25" s="121"/>
      <c r="D25" s="121"/>
    </row>
    <row r="26" spans="2:13">
      <c r="B26" s="12" t="s">
        <v>948</v>
      </c>
      <c r="C26" s="121"/>
      <c r="D26" s="121"/>
    </row>
    <row r="29" spans="2:13">
      <c r="B29" s="116"/>
    </row>
  </sheetData>
  <sheetProtection algorithmName="SHA-512" hashValue="i+is6Qss1LLm8hP5pQ7X8ruG97xruj44hDdot6GD6WJco8i+kqtLQGePutPy4yD64OgYNWBJGlE3QVeI6XfiJQ==" saltValue="fq0hjz2uJJU9w1QIrNNc0A==" spinCount="100000" sheet="1" objects="1" scenarios="1"/>
  <mergeCells count="15">
    <mergeCell ref="E9:E10"/>
    <mergeCell ref="J9:J10"/>
    <mergeCell ref="K9:K10"/>
    <mergeCell ref="L9:L10"/>
    <mergeCell ref="M9:M10"/>
    <mergeCell ref="E7:E8"/>
    <mergeCell ref="J7:J8"/>
    <mergeCell ref="K7:K8"/>
    <mergeCell ref="L7:L8"/>
    <mergeCell ref="M7:M8"/>
    <mergeCell ref="E11:E12"/>
    <mergeCell ref="J11:J12"/>
    <mergeCell ref="K11:K12"/>
    <mergeCell ref="L11:L12"/>
    <mergeCell ref="M11:M12"/>
  </mergeCells>
  <conditionalFormatting sqref="B9:B12">
    <cfRule type="colorScale" priority="1">
      <colorScale>
        <cfvo type="min"/>
        <cfvo type="percentile" val="50"/>
        <cfvo type="max"/>
        <color rgb="FF63BE7B"/>
        <color rgb="FFFFEB84"/>
        <color rgb="FFF8696B"/>
      </colorScale>
    </cfRule>
  </conditionalFormatting>
  <hyperlinks>
    <hyperlink ref="A1" location="Inhalt!A1" display="Zum Inhalt" xr:uid="{4BCE4784-04E1-4502-8B8A-67C6061A01CD}"/>
  </hyperlinks>
  <pageMargins left="0.7" right="0.7" top="0.78740157499999996" bottom="0.78740157499999996"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549C6-4D3F-4AF2-B1D7-BF365F5F9C7C}">
  <sheetPr codeName="Tabelle57"/>
  <dimension ref="A1:I35"/>
  <sheetViews>
    <sheetView topLeftCell="A6" workbookViewId="0"/>
  </sheetViews>
  <sheetFormatPr baseColWidth="10" defaultColWidth="11.44140625" defaultRowHeight="14.4"/>
  <sheetData>
    <row r="1" spans="1:8" ht="27.6">
      <c r="A1" s="99" t="s">
        <v>143</v>
      </c>
    </row>
    <row r="2" spans="1:8">
      <c r="A2" s="126"/>
    </row>
    <row r="3" spans="1:8">
      <c r="A3" s="126"/>
      <c r="B3" s="4" t="s">
        <v>96</v>
      </c>
    </row>
    <row r="4" spans="1:8">
      <c r="A4" s="126"/>
    </row>
    <row r="5" spans="1:8">
      <c r="B5" s="4" t="s">
        <v>913</v>
      </c>
      <c r="C5" s="4" t="s">
        <v>949</v>
      </c>
    </row>
    <row r="6" spans="1:8">
      <c r="B6" s="4" t="s">
        <v>950</v>
      </c>
      <c r="C6" s="4"/>
    </row>
    <row r="7" spans="1:8" ht="21" thickBot="1">
      <c r="B7" s="1" t="s">
        <v>915</v>
      </c>
      <c r="C7" s="2"/>
      <c r="D7" s="1"/>
      <c r="E7" s="1" t="s">
        <v>917</v>
      </c>
      <c r="F7" s="92" t="s">
        <v>918</v>
      </c>
      <c r="G7" s="6" t="s">
        <v>919</v>
      </c>
      <c r="H7" s="6" t="s">
        <v>919</v>
      </c>
    </row>
    <row r="8" spans="1:8" ht="15" thickBot="1">
      <c r="A8" s="44"/>
      <c r="B8" s="3" t="s">
        <v>951</v>
      </c>
      <c r="C8" s="31" t="s">
        <v>928</v>
      </c>
      <c r="D8" s="3" t="s">
        <v>946</v>
      </c>
      <c r="E8" s="149">
        <v>113</v>
      </c>
      <c r="F8" s="93">
        <f>-(1-G8)/23</f>
        <v>-1.2999999999999999E-2</v>
      </c>
      <c r="G8" s="54">
        <f>H8/E8</f>
        <v>0.71</v>
      </c>
      <c r="H8" s="41">
        <v>80</v>
      </c>
    </row>
    <row r="9" spans="1:8" ht="15" thickBot="1">
      <c r="A9" s="44"/>
      <c r="B9" s="3"/>
      <c r="C9" s="32" t="s">
        <v>930</v>
      </c>
      <c r="D9" s="3" t="s">
        <v>946</v>
      </c>
      <c r="E9" s="150"/>
      <c r="F9" s="93">
        <f t="shared" ref="F9:F21" si="0">-(1-G9)/23</f>
        <v>-0.02</v>
      </c>
      <c r="G9" s="54">
        <f>H9/E8</f>
        <v>0.54</v>
      </c>
      <c r="H9" s="41">
        <v>61</v>
      </c>
    </row>
    <row r="10" spans="1:8" ht="15" thickBot="1">
      <c r="A10" s="44"/>
      <c r="B10" s="3" t="s">
        <v>952</v>
      </c>
      <c r="C10" s="32" t="s">
        <v>928</v>
      </c>
      <c r="D10" s="3" t="s">
        <v>946</v>
      </c>
      <c r="E10" s="149">
        <v>103</v>
      </c>
      <c r="F10" s="93">
        <f t="shared" si="0"/>
        <v>-0.02</v>
      </c>
      <c r="G10" s="54">
        <f>H10/E10</f>
        <v>0.53</v>
      </c>
      <c r="H10" s="62">
        <v>55</v>
      </c>
    </row>
    <row r="11" spans="1:8" ht="15" thickBot="1">
      <c r="A11" s="44"/>
      <c r="B11" s="3"/>
      <c r="C11" s="32" t="s">
        <v>930</v>
      </c>
      <c r="D11" s="3" t="s">
        <v>946</v>
      </c>
      <c r="E11" s="150"/>
      <c r="F11" s="93">
        <f t="shared" si="0"/>
        <v>-2.3E-2</v>
      </c>
      <c r="G11" s="54">
        <f>H11/E10</f>
        <v>0.47</v>
      </c>
      <c r="H11" s="62">
        <v>48</v>
      </c>
    </row>
    <row r="12" spans="1:8" ht="15" thickBot="1">
      <c r="A12" s="44"/>
      <c r="B12" s="3" t="s">
        <v>953</v>
      </c>
      <c r="C12" s="32" t="s">
        <v>928</v>
      </c>
      <c r="D12" s="3" t="s">
        <v>946</v>
      </c>
      <c r="E12" s="149">
        <v>93</v>
      </c>
      <c r="F12" s="93">
        <f t="shared" si="0"/>
        <v>-1.2999999999999999E-2</v>
      </c>
      <c r="G12" s="54">
        <f t="shared" ref="G12" si="1">H12/E12</f>
        <v>0.7</v>
      </c>
      <c r="H12" s="41">
        <v>65</v>
      </c>
    </row>
    <row r="13" spans="1:8" ht="15" thickBot="1">
      <c r="A13" s="44"/>
      <c r="B13" s="3"/>
      <c r="C13" s="32" t="s">
        <v>930</v>
      </c>
      <c r="D13" s="3" t="s">
        <v>946</v>
      </c>
      <c r="E13" s="150"/>
      <c r="F13" s="93">
        <f t="shared" si="0"/>
        <v>-1.9E-2</v>
      </c>
      <c r="G13" s="54">
        <f t="shared" ref="G13" si="2">H13/E12</f>
        <v>0.56000000000000005</v>
      </c>
      <c r="H13" s="41">
        <v>52</v>
      </c>
    </row>
    <row r="14" spans="1:8" ht="15" thickBot="1">
      <c r="A14" s="44"/>
      <c r="B14" s="3" t="s">
        <v>954</v>
      </c>
      <c r="C14" s="32" t="s">
        <v>928</v>
      </c>
      <c r="D14" s="3" t="s">
        <v>946</v>
      </c>
      <c r="E14" s="149">
        <v>87</v>
      </c>
      <c r="F14" s="93">
        <f t="shared" si="0"/>
        <v>-1.9E-2</v>
      </c>
      <c r="G14" s="54">
        <f t="shared" ref="G14" si="3">H14/E14</f>
        <v>0.56000000000000005</v>
      </c>
      <c r="H14" s="41">
        <v>49</v>
      </c>
    </row>
    <row r="15" spans="1:8" ht="15" thickBot="1">
      <c r="A15" s="44"/>
      <c r="B15" s="3"/>
      <c r="C15" s="32" t="s">
        <v>930</v>
      </c>
      <c r="D15" s="3" t="s">
        <v>946</v>
      </c>
      <c r="E15" s="150"/>
      <c r="F15" s="93">
        <f t="shared" si="0"/>
        <v>-1.9E-2</v>
      </c>
      <c r="G15" s="54">
        <f t="shared" ref="G15" si="4">H15/E14</f>
        <v>0.56000000000000005</v>
      </c>
      <c r="H15" s="41">
        <v>49</v>
      </c>
    </row>
    <row r="16" spans="1:8" ht="15" thickBot="1">
      <c r="A16" s="44"/>
      <c r="B16" s="3" t="s">
        <v>955</v>
      </c>
      <c r="C16" s="32" t="s">
        <v>928</v>
      </c>
      <c r="D16" s="3" t="s">
        <v>946</v>
      </c>
      <c r="E16" s="149">
        <v>62</v>
      </c>
      <c r="F16" s="93">
        <f t="shared" si="0"/>
        <v>-3.0000000000000001E-3</v>
      </c>
      <c r="G16" s="54">
        <f t="shared" ref="G16" si="5">H16/E16</f>
        <v>0.92</v>
      </c>
      <c r="H16" s="41">
        <v>57</v>
      </c>
    </row>
    <row r="17" spans="1:9" ht="15" thickBot="1">
      <c r="A17" s="44"/>
      <c r="B17" s="3"/>
      <c r="C17" s="32" t="s">
        <v>930</v>
      </c>
      <c r="D17" s="3" t="s">
        <v>946</v>
      </c>
      <c r="E17" s="150"/>
      <c r="F17" s="93">
        <f t="shared" si="0"/>
        <v>-1.6E-2</v>
      </c>
      <c r="G17" s="54">
        <f t="shared" ref="G17" si="6">H17/E16</f>
        <v>0.63</v>
      </c>
      <c r="H17" s="41">
        <v>39</v>
      </c>
    </row>
    <row r="18" spans="1:9" ht="15" thickBot="1">
      <c r="A18" s="44"/>
      <c r="B18" s="3" t="s">
        <v>956</v>
      </c>
      <c r="C18" s="32" t="s">
        <v>928</v>
      </c>
      <c r="D18" s="3" t="s">
        <v>946</v>
      </c>
      <c r="E18" s="149">
        <v>48</v>
      </c>
      <c r="F18" s="93">
        <f t="shared" si="0"/>
        <v>0</v>
      </c>
      <c r="G18" s="54">
        <f t="shared" ref="G18" si="7">H18/E18</f>
        <v>1</v>
      </c>
      <c r="H18" s="98">
        <f>E18</f>
        <v>48</v>
      </c>
    </row>
    <row r="19" spans="1:9" ht="15" thickBot="1">
      <c r="A19" s="44"/>
      <c r="B19" s="3"/>
      <c r="C19" s="32" t="s">
        <v>930</v>
      </c>
      <c r="D19" s="3" t="s">
        <v>946</v>
      </c>
      <c r="E19" s="150"/>
      <c r="F19" s="93">
        <f t="shared" si="0"/>
        <v>0</v>
      </c>
      <c r="G19" s="54">
        <f t="shared" ref="G19" si="8">H19/E18</f>
        <v>1</v>
      </c>
      <c r="H19" s="98">
        <f>E18</f>
        <v>48</v>
      </c>
    </row>
    <row r="20" spans="1:9" ht="15" thickBot="1">
      <c r="A20" s="44"/>
      <c r="B20" s="3" t="s">
        <v>957</v>
      </c>
      <c r="C20" s="32" t="s">
        <v>928</v>
      </c>
      <c r="D20" s="3" t="s">
        <v>946</v>
      </c>
      <c r="E20" s="149">
        <v>39</v>
      </c>
      <c r="F20" s="93">
        <f t="shared" si="0"/>
        <v>0</v>
      </c>
      <c r="G20" s="54">
        <f t="shared" ref="G20" si="9">H20/E20</f>
        <v>1</v>
      </c>
      <c r="H20" s="98">
        <f>E20</f>
        <v>39</v>
      </c>
    </row>
    <row r="21" spans="1:9" ht="15" thickBot="1">
      <c r="A21" s="44"/>
      <c r="B21" s="3"/>
      <c r="C21" s="32" t="s">
        <v>930</v>
      </c>
      <c r="D21" s="3" t="s">
        <v>946</v>
      </c>
      <c r="E21" s="150"/>
      <c r="F21" s="93">
        <f t="shared" si="0"/>
        <v>0</v>
      </c>
      <c r="G21" s="54">
        <f t="shared" ref="G21" si="10">H21/E20</f>
        <v>1</v>
      </c>
      <c r="H21" s="98">
        <f>E20</f>
        <v>39</v>
      </c>
    </row>
    <row r="22" spans="1:9">
      <c r="A22" s="44"/>
    </row>
    <row r="23" spans="1:9">
      <c r="A23" s="44"/>
    </row>
    <row r="24" spans="1:9">
      <c r="A24" s="44"/>
      <c r="E24" s="10"/>
      <c r="F24" s="10"/>
      <c r="G24" s="10"/>
      <c r="H24" s="10"/>
      <c r="I24" s="10"/>
    </row>
    <row r="25" spans="1:9">
      <c r="A25" s="44"/>
      <c r="B25" s="4" t="s">
        <v>147</v>
      </c>
      <c r="E25" s="10"/>
      <c r="F25" s="10"/>
      <c r="G25" s="10"/>
      <c r="H25" s="10"/>
      <c r="I25" s="10"/>
    </row>
    <row r="26" spans="1:9">
      <c r="A26" s="44"/>
      <c r="B26" s="12" t="s">
        <v>938</v>
      </c>
      <c r="E26" s="10"/>
      <c r="F26" s="10"/>
      <c r="G26" s="10"/>
      <c r="H26" s="10"/>
      <c r="I26" s="10"/>
    </row>
    <row r="27" spans="1:9">
      <c r="A27" s="44"/>
      <c r="B27" s="12" t="s">
        <v>958</v>
      </c>
      <c r="E27" s="10"/>
      <c r="F27" s="10"/>
      <c r="G27" s="10"/>
      <c r="H27" s="10"/>
      <c r="I27" s="10"/>
    </row>
    <row r="28" spans="1:9">
      <c r="A28" s="44"/>
      <c r="B28" s="12" t="s">
        <v>940</v>
      </c>
      <c r="E28" s="10"/>
      <c r="F28" s="10"/>
      <c r="G28" s="10"/>
      <c r="H28" s="10"/>
      <c r="I28" s="10"/>
    </row>
    <row r="29" spans="1:9">
      <c r="A29" s="44"/>
      <c r="B29" s="12" t="s">
        <v>959</v>
      </c>
      <c r="E29" s="10"/>
      <c r="F29" s="10"/>
      <c r="G29" s="10"/>
      <c r="H29" s="10"/>
      <c r="I29" s="10"/>
    </row>
    <row r="30" spans="1:9">
      <c r="A30" s="44"/>
      <c r="E30" s="10"/>
      <c r="F30" s="10"/>
      <c r="G30" s="10"/>
      <c r="H30" s="10"/>
      <c r="I30" s="10"/>
    </row>
    <row r="31" spans="1:9">
      <c r="A31" s="44"/>
      <c r="E31" s="10"/>
      <c r="F31" s="10"/>
      <c r="G31" s="10"/>
      <c r="H31" s="10"/>
      <c r="I31" s="10"/>
    </row>
    <row r="32" spans="1:9">
      <c r="E32" s="10"/>
      <c r="F32" s="10"/>
      <c r="G32" s="10"/>
      <c r="H32" s="10"/>
      <c r="I32" s="10"/>
    </row>
    <row r="33" spans="5:9">
      <c r="E33" s="10"/>
      <c r="F33" s="10"/>
      <c r="G33" s="10"/>
      <c r="H33" s="10"/>
      <c r="I33" s="10"/>
    </row>
    <row r="34" spans="5:9">
      <c r="E34" s="10"/>
      <c r="F34" s="10"/>
      <c r="G34" s="10"/>
      <c r="H34" s="10"/>
      <c r="I34" s="10"/>
    </row>
    <row r="35" spans="5:9">
      <c r="E35" s="10"/>
      <c r="F35" s="10"/>
      <c r="G35" s="10"/>
      <c r="H35" s="10"/>
      <c r="I35" s="10"/>
    </row>
  </sheetData>
  <sheetProtection algorithmName="SHA-512" hashValue="Q83CYwQr4fEalf+iwMBb4+LnrZ/CzwJ3m711oQnRew+cQOotaeaKqdtLJymlbkeyH9znejDOHqgiebdgWDoAHg==" saltValue="Wrg91ZgOzSzN/0wE867tCA==" spinCount="100000" sheet="1" objects="1" scenarios="1"/>
  <mergeCells count="7">
    <mergeCell ref="E20:E21"/>
    <mergeCell ref="E8:E9"/>
    <mergeCell ref="E10:E11"/>
    <mergeCell ref="E12:E13"/>
    <mergeCell ref="E14:E15"/>
    <mergeCell ref="E16:E17"/>
    <mergeCell ref="E18:E19"/>
  </mergeCells>
  <hyperlinks>
    <hyperlink ref="A1" location="Inhalt!A1" display="Zum Inhalt" xr:uid="{16F8B9F2-93AC-4703-97E9-ACBCD72BE2C8}"/>
  </hyperlinks>
  <pageMargins left="0.7" right="0.7" top="0.78740157499999996" bottom="0.78740157499999996"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21B8-C455-4C05-B733-2B4C3BAEB1B5}">
  <sheetPr codeName="Tabelle58"/>
  <dimension ref="A1:H35"/>
  <sheetViews>
    <sheetView workbookViewId="0"/>
  </sheetViews>
  <sheetFormatPr baseColWidth="10" defaultColWidth="11.44140625" defaultRowHeight="14.4"/>
  <cols>
    <col min="1" max="1" width="11.44140625" customWidth="1"/>
  </cols>
  <sheetData>
    <row r="1" spans="1:8" ht="27.6">
      <c r="A1" s="99" t="s">
        <v>143</v>
      </c>
    </row>
    <row r="2" spans="1:8">
      <c r="A2" s="126"/>
    </row>
    <row r="3" spans="1:8">
      <c r="A3" s="126"/>
      <c r="B3" s="4" t="s">
        <v>100</v>
      </c>
    </row>
    <row r="4" spans="1:8">
      <c r="A4" s="126"/>
    </row>
    <row r="5" spans="1:8">
      <c r="B5" s="4" t="s">
        <v>913</v>
      </c>
      <c r="C5" s="4" t="s">
        <v>960</v>
      </c>
    </row>
    <row r="6" spans="1:8">
      <c r="B6" s="4" t="s">
        <v>950</v>
      </c>
      <c r="C6" s="4"/>
    </row>
    <row r="7" spans="1:8" ht="21" thickBot="1">
      <c r="B7" s="1" t="s">
        <v>915</v>
      </c>
      <c r="C7" s="2"/>
      <c r="D7" s="1" t="s">
        <v>961</v>
      </c>
      <c r="E7" s="1" t="s">
        <v>917</v>
      </c>
      <c r="F7" s="92" t="s">
        <v>918</v>
      </c>
      <c r="G7" s="6" t="s">
        <v>919</v>
      </c>
      <c r="H7" s="6" t="s">
        <v>919</v>
      </c>
    </row>
    <row r="8" spans="1:8" ht="15" thickBot="1">
      <c r="B8" s="3" t="s">
        <v>951</v>
      </c>
      <c r="C8" s="31" t="s">
        <v>928</v>
      </c>
      <c r="D8" s="3" t="s">
        <v>946</v>
      </c>
      <c r="E8" s="149">
        <v>98</v>
      </c>
      <c r="F8" s="93">
        <f>-(1-G8)/23</f>
        <v>-0.01</v>
      </c>
      <c r="G8" s="54">
        <f>H8/E8</f>
        <v>0.76</v>
      </c>
      <c r="H8" s="41">
        <v>74</v>
      </c>
    </row>
    <row r="9" spans="1:8" ht="15" thickBot="1">
      <c r="B9" s="3"/>
      <c r="C9" s="32" t="s">
        <v>930</v>
      </c>
      <c r="D9" s="3" t="s">
        <v>946</v>
      </c>
      <c r="E9" s="150"/>
      <c r="F9" s="93">
        <f t="shared" ref="F9:F21" si="0">-(1-G9)/23</f>
        <v>-1.7000000000000001E-2</v>
      </c>
      <c r="G9" s="54">
        <f>H9/E8</f>
        <v>0.62</v>
      </c>
      <c r="H9" s="41">
        <v>61</v>
      </c>
    </row>
    <row r="10" spans="1:8" ht="15" thickBot="1">
      <c r="B10" s="3" t="s">
        <v>952</v>
      </c>
      <c r="C10" s="32" t="s">
        <v>928</v>
      </c>
      <c r="D10" s="3" t="s">
        <v>946</v>
      </c>
      <c r="E10" s="149">
        <v>94</v>
      </c>
      <c r="F10" s="93">
        <f t="shared" si="0"/>
        <v>-0.02</v>
      </c>
      <c r="G10" s="54">
        <f t="shared" ref="G10" si="1">H10/E10</f>
        <v>0.55000000000000004</v>
      </c>
      <c r="H10" s="62">
        <v>52</v>
      </c>
    </row>
    <row r="11" spans="1:8" ht="15" thickBot="1">
      <c r="B11" s="3"/>
      <c r="C11" s="32" t="s">
        <v>930</v>
      </c>
      <c r="D11" s="3" t="s">
        <v>946</v>
      </c>
      <c r="E11" s="150"/>
      <c r="F11" s="93">
        <f t="shared" si="0"/>
        <v>-2.1999999999999999E-2</v>
      </c>
      <c r="G11" s="54">
        <f t="shared" ref="G11" si="2">H11/E10</f>
        <v>0.49</v>
      </c>
      <c r="H11" s="62">
        <v>46</v>
      </c>
    </row>
    <row r="12" spans="1:8" ht="15" thickBot="1">
      <c r="B12" s="3" t="s">
        <v>953</v>
      </c>
      <c r="C12" s="32" t="s">
        <v>928</v>
      </c>
      <c r="D12" s="3" t="s">
        <v>946</v>
      </c>
      <c r="E12" s="149">
        <v>86</v>
      </c>
      <c r="F12" s="93">
        <f t="shared" si="0"/>
        <v>-1.0999999999999999E-2</v>
      </c>
      <c r="G12" s="54">
        <f t="shared" ref="G12" si="3">H12/E12</f>
        <v>0.74</v>
      </c>
      <c r="H12" s="41">
        <v>64</v>
      </c>
    </row>
    <row r="13" spans="1:8" ht="15" thickBot="1">
      <c r="B13" s="3"/>
      <c r="C13" s="32" t="s">
        <v>930</v>
      </c>
      <c r="D13" s="3" t="s">
        <v>946</v>
      </c>
      <c r="E13" s="150"/>
      <c r="F13" s="93">
        <f t="shared" si="0"/>
        <v>-0.02</v>
      </c>
      <c r="G13" s="54">
        <f t="shared" ref="G13" si="4">H13/E12</f>
        <v>0.53</v>
      </c>
      <c r="H13" s="41">
        <v>46</v>
      </c>
    </row>
    <row r="14" spans="1:8" ht="15" thickBot="1">
      <c r="B14" s="3" t="s">
        <v>954</v>
      </c>
      <c r="C14" s="32" t="s">
        <v>928</v>
      </c>
      <c r="D14" s="3" t="s">
        <v>946</v>
      </c>
      <c r="E14" s="149">
        <v>80</v>
      </c>
      <c r="F14" s="93">
        <f t="shared" si="0"/>
        <v>-1.7999999999999999E-2</v>
      </c>
      <c r="G14" s="54">
        <f t="shared" ref="G14" si="5">H14/E14</f>
        <v>0.57999999999999996</v>
      </c>
      <c r="H14" s="41">
        <v>46</v>
      </c>
    </row>
    <row r="15" spans="1:8" ht="15" thickBot="1">
      <c r="B15" s="3"/>
      <c r="C15" s="32" t="s">
        <v>930</v>
      </c>
      <c r="D15" s="3" t="s">
        <v>946</v>
      </c>
      <c r="E15" s="150"/>
      <c r="F15" s="93">
        <f t="shared" si="0"/>
        <v>-1.7000000000000001E-2</v>
      </c>
      <c r="G15" s="54">
        <f t="shared" ref="G15" si="6">H15/E14</f>
        <v>0.6</v>
      </c>
      <c r="H15" s="41">
        <v>48</v>
      </c>
    </row>
    <row r="16" spans="1:8" ht="15" thickBot="1">
      <c r="B16" s="3" t="s">
        <v>962</v>
      </c>
      <c r="C16" s="32" t="s">
        <v>928</v>
      </c>
      <c r="D16" s="3" t="s">
        <v>946</v>
      </c>
      <c r="E16" s="149">
        <v>67</v>
      </c>
      <c r="F16" s="93">
        <f t="shared" si="0"/>
        <v>-8.0000000000000002E-3</v>
      </c>
      <c r="G16" s="54">
        <f t="shared" ref="G16" si="7">H16/E16</f>
        <v>0.81</v>
      </c>
      <c r="H16" s="41">
        <v>54</v>
      </c>
    </row>
    <row r="17" spans="2:8" ht="15" thickBot="1">
      <c r="B17" s="3"/>
      <c r="C17" s="32" t="s">
        <v>930</v>
      </c>
      <c r="D17" s="3" t="s">
        <v>946</v>
      </c>
      <c r="E17" s="150"/>
      <c r="F17" s="93">
        <f t="shared" si="0"/>
        <v>-1.9E-2</v>
      </c>
      <c r="G17" s="54">
        <f t="shared" ref="G17" si="8">H17/E16</f>
        <v>0.56999999999999995</v>
      </c>
      <c r="H17" s="41">
        <v>38</v>
      </c>
    </row>
    <row r="18" spans="2:8" ht="15" thickBot="1">
      <c r="B18" s="3" t="s">
        <v>963</v>
      </c>
      <c r="C18" s="32" t="s">
        <v>928</v>
      </c>
      <c r="D18" s="3" t="s">
        <v>946</v>
      </c>
      <c r="E18" s="149">
        <v>43</v>
      </c>
      <c r="F18" s="93">
        <f t="shared" si="0"/>
        <v>0</v>
      </c>
      <c r="G18" s="54">
        <f t="shared" ref="G18" si="9">H18/E18</f>
        <v>1</v>
      </c>
      <c r="H18" s="98">
        <f>E18</f>
        <v>43</v>
      </c>
    </row>
    <row r="19" spans="2:8" ht="15" thickBot="1">
      <c r="B19" s="3"/>
      <c r="C19" s="32" t="s">
        <v>930</v>
      </c>
      <c r="D19" s="3" t="s">
        <v>946</v>
      </c>
      <c r="E19" s="150"/>
      <c r="F19" s="93">
        <f t="shared" si="0"/>
        <v>0</v>
      </c>
      <c r="G19" s="54">
        <f t="shared" ref="G19" si="10">H19/E18</f>
        <v>1</v>
      </c>
      <c r="H19" s="98">
        <f>E18</f>
        <v>43</v>
      </c>
    </row>
    <row r="20" spans="2:8" ht="15" thickBot="1">
      <c r="B20" s="3" t="s">
        <v>964</v>
      </c>
      <c r="C20" s="32" t="s">
        <v>928</v>
      </c>
      <c r="D20" s="3" t="s">
        <v>946</v>
      </c>
      <c r="E20" s="149">
        <v>42</v>
      </c>
      <c r="F20" s="93">
        <f t="shared" si="0"/>
        <v>0</v>
      </c>
      <c r="G20" s="54">
        <f t="shared" ref="G20" si="11">H20/E20</f>
        <v>1</v>
      </c>
      <c r="H20" s="98">
        <f>E20</f>
        <v>42</v>
      </c>
    </row>
    <row r="21" spans="2:8" ht="15" thickBot="1">
      <c r="B21" s="3"/>
      <c r="C21" s="32" t="s">
        <v>930</v>
      </c>
      <c r="D21" s="3" t="s">
        <v>946</v>
      </c>
      <c r="E21" s="150"/>
      <c r="F21" s="93">
        <f t="shared" si="0"/>
        <v>0</v>
      </c>
      <c r="G21" s="54">
        <f t="shared" ref="G21" si="12">H21/E20</f>
        <v>1</v>
      </c>
      <c r="H21" s="98">
        <f>E20</f>
        <v>42</v>
      </c>
    </row>
    <row r="24" spans="2:8">
      <c r="E24" s="10"/>
      <c r="F24" s="10"/>
      <c r="G24" s="10"/>
      <c r="H24" s="10"/>
    </row>
    <row r="25" spans="2:8">
      <c r="B25" s="4" t="s">
        <v>147</v>
      </c>
      <c r="E25" s="10"/>
      <c r="F25" s="10"/>
      <c r="G25" s="10"/>
      <c r="H25" s="10"/>
    </row>
    <row r="26" spans="2:8">
      <c r="B26" s="12" t="s">
        <v>938</v>
      </c>
      <c r="E26" s="10"/>
      <c r="F26" s="10"/>
      <c r="G26" s="10"/>
      <c r="H26" s="10"/>
    </row>
    <row r="27" spans="2:8">
      <c r="B27" s="12" t="s">
        <v>958</v>
      </c>
      <c r="E27" s="10"/>
      <c r="F27" s="10"/>
      <c r="G27" s="10"/>
      <c r="H27" s="10"/>
    </row>
    <row r="28" spans="2:8">
      <c r="B28" s="12" t="s">
        <v>940</v>
      </c>
      <c r="E28" s="10"/>
      <c r="F28" s="10"/>
      <c r="G28" s="10"/>
      <c r="H28" s="10"/>
    </row>
    <row r="29" spans="2:8">
      <c r="B29" s="12" t="s">
        <v>959</v>
      </c>
      <c r="E29" s="10"/>
      <c r="F29" s="10"/>
      <c r="G29" s="10"/>
      <c r="H29" s="10"/>
    </row>
    <row r="30" spans="2:8">
      <c r="E30" s="10"/>
      <c r="F30" s="10"/>
      <c r="G30" s="10"/>
      <c r="H30" s="10"/>
    </row>
    <row r="31" spans="2:8">
      <c r="E31" s="10"/>
      <c r="F31" s="10"/>
      <c r="G31" s="10"/>
      <c r="H31" s="10"/>
    </row>
    <row r="32" spans="2:8">
      <c r="E32" s="10"/>
      <c r="F32" s="10"/>
      <c r="G32" s="10"/>
      <c r="H32" s="10"/>
    </row>
    <row r="33" spans="5:8">
      <c r="E33" s="10"/>
      <c r="F33" s="10"/>
      <c r="G33" s="10"/>
      <c r="H33" s="10"/>
    </row>
    <row r="34" spans="5:8">
      <c r="E34" s="10"/>
      <c r="F34" s="10"/>
      <c r="G34" s="10"/>
      <c r="H34" s="10"/>
    </row>
    <row r="35" spans="5:8">
      <c r="E35" s="10"/>
      <c r="F35" s="10"/>
      <c r="G35" s="10"/>
      <c r="H35" s="10"/>
    </row>
  </sheetData>
  <sheetProtection algorithmName="SHA-512" hashValue="D4kXB5dm7w6EJW2oWjjVRqdgrcpm0kogInhkDt8SOup640eZ9n1o5Asr28AqtaivmSSEe4jL/9Ve68fxj3SYrg==" saltValue="IiP12AbRSMDJXF7keHKHow==" spinCount="100000" sheet="1" objects="1" scenarios="1"/>
  <mergeCells count="7">
    <mergeCell ref="E20:E21"/>
    <mergeCell ref="E8:E9"/>
    <mergeCell ref="E10:E11"/>
    <mergeCell ref="E12:E13"/>
    <mergeCell ref="E14:E15"/>
    <mergeCell ref="E16:E17"/>
    <mergeCell ref="E18:E19"/>
  </mergeCells>
  <hyperlinks>
    <hyperlink ref="A1" location="Inhalt!A1" display="Zum Inhalt" xr:uid="{14A96B92-9079-4B28-8BD8-DE607BB846C5}"/>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646ea73-2801-47f9-86e4-ada706e716f6" xsi:nil="true"/>
    <Bereich xmlns="18cc7ac8-e119-4483-877f-14277e1c121d">UEW</Bereich>
    <c613b003a0304efb80eb38de0d996768 xmlns="18cc7ac8-e119-4483-877f-14277e1c121d">
      <Terms xmlns="http://schemas.microsoft.com/office/infopath/2007/PartnerControls"/>
    </c613b003a0304efb80eb38de0d996768>
    <Kostenstelle xmlns="18cc7ac8-e119-4483-877f-14277e1c121d">72-02-22</Kostenstelle>
    <ie6743036f144cba87819402574d6d22 xmlns="18cc7ac8-e119-4483-877f-14277e1c121d">
      <Terms xmlns="http://schemas.microsoft.com/office/infopath/2007/PartnerControls"/>
    </ie6743036f144cba87819402574d6d22>
    <Arbeitspaket xmlns="18cc7ac8-e119-4483-877f-14277e1c121d" xsi:nil="true"/>
    <Kommentar xmlns="18cc7ac8-e119-4483-877f-14277e1c121d" xsi:nil="true"/>
    <kdf6276729774cb0878dbc0d6f091741 xmlns="18cc7ac8-e119-4483-877f-14277e1c121d">
      <Terms xmlns="http://schemas.microsoft.com/office/infopath/2007/PartnerControls"/>
    </kdf6276729774cb0878dbc0d6f091741>
    <Personenbezogene_x0020_Daten xmlns="18cc7ac8-e119-4483-877f-14277e1c121d">false</Personenbezogene_x0020_Daten>
    <ke5dbd58ffee4bc3aac15008e870f6f4 xmlns="18cc7ac8-e119-4483-877f-14277e1c121d">
      <Terms xmlns="http://schemas.microsoft.com/office/infopath/2007/PartnerControls"/>
    </ke5dbd58ffee4bc3aac15008e870f6f4>
    <Arbeitsgebiet xmlns="18cc7ac8-e119-4483-877f-14277e1c121d">Kommunale Wärmewende</Arbeitsgebiet>
    <Verantwortliche_x0020_Person xmlns="18cc7ac8-e119-4483-877f-14277e1c121d">
      <UserInfo>
        <DisplayName/>
        <AccountId xsi:nil="true"/>
        <AccountType/>
      </UserInfo>
    </Verantwortliche_x0020_Person>
    <Projektstatus xmlns="a4a6ebb5-f703-4dc8-9504-50e3c7d31d11">Umsetzung</Projektstatu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83A8532A3F490543BAD8056133B56EF8" ma:contentTypeVersion="20" ma:contentTypeDescription="Ein neues Dokument erstellen." ma:contentTypeScope="" ma:versionID="a449edf2f7cf74ad5e1d0764dcf52228">
  <xsd:schema xmlns:xsd="http://www.w3.org/2001/XMLSchema" xmlns:xs="http://www.w3.org/2001/XMLSchema" xmlns:p="http://schemas.microsoft.com/office/2006/metadata/properties" xmlns:ns2="a4a6ebb5-f703-4dc8-9504-50e3c7d31d11" xmlns:ns3="18cc7ac8-e119-4483-877f-14277e1c121d" xmlns:ns4="3646ea73-2801-47f9-86e4-ada706e716f6" targetNamespace="http://schemas.microsoft.com/office/2006/metadata/properties" ma:root="true" ma:fieldsID="11847c8e532db4e6f36c4cbbe38c6359" ns2:_="" ns3:_="" ns4:_="">
    <xsd:import namespace="a4a6ebb5-f703-4dc8-9504-50e3c7d31d11"/>
    <xsd:import namespace="18cc7ac8-e119-4483-877f-14277e1c121d"/>
    <xsd:import namespace="3646ea73-2801-47f9-86e4-ada706e716f6"/>
    <xsd:element name="properties">
      <xsd:complexType>
        <xsd:sequence>
          <xsd:element name="documentManagement">
            <xsd:complexType>
              <xsd:all>
                <xsd:element ref="ns2:SharedWithUsers" minOccurs="0"/>
                <xsd:element ref="ns2:SharedWithDetails" minOccurs="0"/>
                <xsd:element ref="ns3:ie6743036f144cba87819402574d6d22" minOccurs="0"/>
                <xsd:element ref="ns4:TaxCatchAll" minOccurs="0"/>
                <xsd:element ref="ns4:TaxCatchAllLabel" minOccurs="0"/>
                <xsd:element ref="ns3:c613b003a0304efb80eb38de0d996768" minOccurs="0"/>
                <xsd:element ref="ns3:ke5dbd58ffee4bc3aac15008e870f6f4" minOccurs="0"/>
                <xsd:element ref="ns3:kdf6276729774cb0878dbc0d6f091741" minOccurs="0"/>
                <xsd:element ref="ns3:Personenbezogene_x0020_Daten" minOccurs="0"/>
                <xsd:element ref="ns3:Verantwortliche_x0020_Person" minOccurs="0"/>
                <xsd:element ref="ns3:Arbeitspaket" minOccurs="0"/>
                <xsd:element ref="ns3:Kommentar" minOccurs="0"/>
                <xsd:element ref="ns2:Projektstatus"/>
                <xsd:element ref="ns3:Bereich"/>
                <xsd:element ref="ns3:Kostenstelle"/>
                <xsd:element ref="ns3:Arbeitsgebiet"/>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a6ebb5-f703-4dc8-9504-50e3c7d31d11"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Projektstatus" ma:index="25" ma:displayName="Projektstatus" ma:default="Umsetzung" ma:hidden="true" ma:internalName="Projekt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8cc7ac8-e119-4483-877f-14277e1c121d" elementFormDefault="qualified">
    <xsd:import namespace="http://schemas.microsoft.com/office/2006/documentManagement/types"/>
    <xsd:import namespace="http://schemas.microsoft.com/office/infopath/2007/PartnerControls"/>
    <xsd:element name="ie6743036f144cba87819402574d6d22" ma:index="10" nillable="true" ma:taxonomy="true" ma:internalName="ie6743036f144cba87819402574d6d22" ma:taxonomyFieldName="Dokumentart" ma:displayName="Dokumentart" ma:default="" ma:fieldId="{2e674303-6f14-4cba-8781-9402574d6d22}" ma:sspId="7e0fa8e5-fa47-494c-8ad4-ff86592e9917" ma:termSetId="112d9dbb-5a6b-4d9a-912b-a0849a05d3e6" ma:anchorId="00000000-0000-0000-0000-000000000000" ma:open="false" ma:isKeyword="false">
      <xsd:complexType>
        <xsd:sequence>
          <xsd:element ref="pc:Terms" minOccurs="0" maxOccurs="1"/>
        </xsd:sequence>
      </xsd:complexType>
    </xsd:element>
    <xsd:element name="c613b003a0304efb80eb38de0d996768" ma:index="14" nillable="true" ma:taxonomy="true" ma:internalName="c613b003a0304efb80eb38de0d996768" ma:taxonomyFieldName="denaStatus" ma:displayName="Status" ma:default="" ma:fieldId="{c613b003-a030-4efb-80eb-38de0d996768}" ma:sspId="7e0fa8e5-fa47-494c-8ad4-ff86592e9917" ma:termSetId="e2ec3aa7-cd59-4481-be9a-2131ce35091c" ma:anchorId="00000000-0000-0000-0000-000000000000" ma:open="false" ma:isKeyword="false">
      <xsd:complexType>
        <xsd:sequence>
          <xsd:element ref="pc:Terms" minOccurs="0" maxOccurs="1"/>
        </xsd:sequence>
      </xsd:complexType>
    </xsd:element>
    <xsd:element name="ke5dbd58ffee4bc3aac15008e870f6f4" ma:index="16" nillable="true" ma:taxonomy="true" ma:internalName="ke5dbd58ffee4bc3aac15008e870f6f4" ma:taxonomyFieldName="Jahr" ma:displayName="Jahr" ma:default="" ma:fieldId="{4e5dbd58-ffee-4bc3-aac1-5008e870f6f4}" ma:sspId="7e0fa8e5-fa47-494c-8ad4-ff86592e9917" ma:termSetId="c23d2f2e-df6b-4bb0-9863-b649d864de44" ma:anchorId="00000000-0000-0000-0000-000000000000" ma:open="false" ma:isKeyword="false">
      <xsd:complexType>
        <xsd:sequence>
          <xsd:element ref="pc:Terms" minOccurs="0" maxOccurs="1"/>
        </xsd:sequence>
      </xsd:complexType>
    </xsd:element>
    <xsd:element name="kdf6276729774cb0878dbc0d6f091741" ma:index="18" nillable="true" ma:taxonomy="true" ma:internalName="kdf6276729774cb0878dbc0d6f091741" ma:taxonomyFieldName="Geteilt" ma:displayName="Geteilt" ma:default="" ma:fieldId="{4df62767-2977-4cb0-878d-bc0d6f091741}" ma:taxonomyMulti="true" ma:sspId="7e0fa8e5-fa47-494c-8ad4-ff86592e9917" ma:termSetId="9a3af6c0-ad03-4464-aa5d-d13323e006f1" ma:anchorId="00000000-0000-0000-0000-000000000000" ma:open="false" ma:isKeyword="false">
      <xsd:complexType>
        <xsd:sequence>
          <xsd:element ref="pc:Terms" minOccurs="0" maxOccurs="1"/>
        </xsd:sequence>
      </xsd:complexType>
    </xsd:element>
    <xsd:element name="Personenbezogene_x0020_Daten" ma:index="20" nillable="true" ma:displayName="PB Daten" ma:default="0" ma:internalName="Personenbezogene_x0020_Daten">
      <xsd:simpleType>
        <xsd:restriction base="dms:Boolean"/>
      </xsd:simpleType>
    </xsd:element>
    <xsd:element name="Verantwortliche_x0020_Person" ma:index="21" nillable="true" ma:displayName="Verantwortlich" ma:SearchPeopleOnly="false" ma:SharePointGroup="0" ma:internalName="Verantwortliche_x0020_Person"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rbeitspaket" ma:index="22" nillable="true" ma:displayName="Arbeitspaket" ma:internalName="Arbeitspaket">
      <xsd:simpleType>
        <xsd:restriction base="dms:Text">
          <xsd:maxLength value="255"/>
        </xsd:restriction>
      </xsd:simpleType>
    </xsd:element>
    <xsd:element name="Kommentar" ma:index="23" nillable="true" ma:displayName="Kommentar" ma:internalName="Kommentar">
      <xsd:simpleType>
        <xsd:restriction base="dms:Note">
          <xsd:maxLength value="255"/>
        </xsd:restriction>
      </xsd:simpleType>
    </xsd:element>
    <xsd:element name="Bereich" ma:index="26" ma:displayName="Bereich" ma:default="UEW" ma:format="Dropdown" ma:hidden="true" ma:internalName="Bereich">
      <xsd:simpleType>
        <xsd:restriction base="dms:Choice">
          <xsd:enumeration value="GF"/>
          <xsd:enumeration value="Verw"/>
          <xsd:enumeration value="Komm"/>
          <xsd:enumeration value="ZDE"/>
          <xsd:enumeration value="UEW"/>
        </xsd:restriction>
      </xsd:simpleType>
    </xsd:element>
    <xsd:element name="Kostenstelle" ma:index="27" ma:displayName="Kostenstelle" ma:default="72-02-22" ma:format="Dropdown" ma:hidden="true" ma:internalName="Kostenstelle">
      <xsd:simpleType>
        <xsd:restriction base="dms:Choice">
          <xsd:enumeration value="Kostenstelle"/>
        </xsd:restriction>
      </xsd:simpleType>
    </xsd:element>
    <xsd:element name="Arbeitsgebiet" ma:index="28" ma:displayName="Arbeitsgebiet" ma:default="Kommunale Wärmewende" ma:format="Dropdown" ma:hidden="true" ma:internalName="Arbeitsgebiet">
      <xsd:simpleType>
        <xsd:restriction base="dms:Choice">
          <xsd:enumeration value="Arbeitsgebiet 1"/>
          <xsd:enumeration value="Arbeitsgebiet 2"/>
        </xsd:restriction>
      </xsd:simpleType>
    </xsd:element>
  </xsd:schema>
  <xsd:schema xmlns:xsd="http://www.w3.org/2001/XMLSchema" xmlns:xs="http://www.w3.org/2001/XMLSchema" xmlns:dms="http://schemas.microsoft.com/office/2006/documentManagement/types" xmlns:pc="http://schemas.microsoft.com/office/infopath/2007/PartnerControls" targetNamespace="3646ea73-2801-47f9-86e4-ada706e716f6" elementFormDefault="qualified">
    <xsd:import namespace="http://schemas.microsoft.com/office/2006/documentManagement/types"/>
    <xsd:import namespace="http://schemas.microsoft.com/office/infopath/2007/PartnerControls"/>
    <xsd:element name="TaxCatchAll" ma:index="11" nillable="true" ma:displayName="Taxonomiespalte &quot;Alle abfangen&quot;" ma:hidden="true" ma:list="{73542df9-c7da-403c-b468-1dfbfca5ecdf}" ma:internalName="TaxCatchAll" ma:showField="CatchAllData" ma:web="3646ea73-2801-47f9-86e4-ada706e716f6">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iespalte &quot;Alle abfangen&quot;1" ma:hidden="true" ma:list="{73542df9-c7da-403c-b468-1dfbfca5ecdf}" ma:internalName="TaxCatchAllLabel" ma:readOnly="true" ma:showField="CatchAllDataLabel" ma:web="3646ea73-2801-47f9-86e4-ada706e716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displayName="Titel"/>
        <xsd:element ref="dc:subject" minOccurs="0" maxOccurs="1"/>
        <xsd:element ref="dc:description" minOccurs="0" maxOccurs="1"/>
        <xsd:element name="keywords" minOccurs="0" maxOccurs="1" type="xsd:string" ma:index="24" ma:displayName="Schlüsselwörter"/>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E90EEC-362E-44A8-A064-1ADA9D92EC3B}">
  <ds:schemaRefs>
    <ds:schemaRef ds:uri="http://schemas.microsoft.com/sharepoint/v3/contenttype/forms"/>
  </ds:schemaRefs>
</ds:datastoreItem>
</file>

<file path=customXml/itemProps2.xml><?xml version="1.0" encoding="utf-8"?>
<ds:datastoreItem xmlns:ds="http://schemas.openxmlformats.org/officeDocument/2006/customXml" ds:itemID="{1DC63045-E7E5-4585-91E4-D064CE7B9D33}">
  <ds:schemaRefs>
    <ds:schemaRef ds:uri="http://schemas.microsoft.com/office/2006/metadata/properties"/>
    <ds:schemaRef ds:uri="http://schemas.microsoft.com/office/infopath/2007/PartnerControls"/>
    <ds:schemaRef ds:uri="3646ea73-2801-47f9-86e4-ada706e716f6"/>
    <ds:schemaRef ds:uri="18cc7ac8-e119-4483-877f-14277e1c121d"/>
    <ds:schemaRef ds:uri="a4a6ebb5-f703-4dc8-9504-50e3c7d31d11"/>
  </ds:schemaRefs>
</ds:datastoreItem>
</file>

<file path=customXml/itemProps3.xml><?xml version="1.0" encoding="utf-8"?>
<ds:datastoreItem xmlns:ds="http://schemas.openxmlformats.org/officeDocument/2006/customXml" ds:itemID="{4117733B-2415-4CBA-A642-0D1919D869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a6ebb5-f703-4dc8-9504-50e3c7d31d11"/>
    <ds:schemaRef ds:uri="18cc7ac8-e119-4483-877f-14277e1c121d"/>
    <ds:schemaRef ds:uri="3646ea73-2801-47f9-86e4-ada706e716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592d88b-751f-474a-a625-de537085907d}" enabled="0" method="" siteId="{f592d88b-751f-474a-a625-de53708590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59</vt:i4>
      </vt:variant>
    </vt:vector>
  </HeadingPairs>
  <TitlesOfParts>
    <vt:vector size="59" baseType="lpstr">
      <vt:lpstr>Deckblatt</vt:lpstr>
      <vt:lpstr>ChangeLog</vt:lpstr>
      <vt:lpstr>Inhalt</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31</vt:lpstr>
      <vt:lpstr>Tab 32</vt:lpstr>
      <vt:lpstr>Tab 33</vt:lpstr>
      <vt:lpstr>Tab 34</vt:lpstr>
      <vt:lpstr>Tab 35</vt:lpstr>
      <vt:lpstr>Tab 36</vt:lpstr>
      <vt:lpstr>Tab 37</vt:lpstr>
      <vt:lpstr>Tab 38</vt:lpstr>
      <vt:lpstr>Tab 39</vt:lpstr>
      <vt:lpstr>Tab 41</vt:lpstr>
      <vt:lpstr>Tab 40</vt:lpstr>
      <vt:lpstr>Tab 42</vt:lpstr>
      <vt:lpstr>Tab 43</vt:lpstr>
      <vt:lpstr>Tab 44</vt:lpstr>
      <vt:lpstr>Tab 45</vt:lpstr>
      <vt:lpstr>Tab 46</vt:lpstr>
      <vt:lpstr>Tab 47</vt:lpstr>
      <vt:lpstr>Tab 48</vt:lpstr>
      <vt:lpstr>Tab 49</vt:lpstr>
      <vt:lpstr>Tab 50</vt:lpstr>
      <vt:lpstr>Tab 51</vt:lpstr>
      <vt:lpstr>Tab 52</vt:lpstr>
      <vt:lpstr>Tab 53</vt:lpstr>
      <vt:lpstr>Tab 54</vt:lpstr>
      <vt:lpstr>Tab 55</vt:lpstr>
      <vt:lpstr>Tab 56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Langreder, Nora</dc:creator>
  <cp:keywords/>
  <dc:description/>
  <cp:lastModifiedBy>Schiel, Maren</cp:lastModifiedBy>
  <cp:revision/>
  <dcterms:created xsi:type="dcterms:W3CDTF">2015-06-05T18:19:34Z</dcterms:created>
  <dcterms:modified xsi:type="dcterms:W3CDTF">2025-04-17T07:22:30Z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0x01010083A8532A3F490543BAD8056133B56EF8</vt:lpwstr>
  </property>
  <property fmtid="{D5CDD505-2E9C-101B-9397-08002B2CF9AE}" pid="3" name="MediaServiceImageTags">
    <vt:lpwstr/>
  </property>
  <property fmtid="{D5CDD505-2E9C-101B-9397-08002B2CF9AE}" pid="4" name="Dokumentart">
    <vt:lpwstr/>
  </property>
  <property fmtid="{D5CDD505-2E9C-101B-9397-08002B2CF9AE}" pid="5" name="g93a2c1a35b64ec787f8704ec4542205">
    <vt:lpwstr/>
  </property>
  <property fmtid="{D5CDD505-2E9C-101B-9397-08002B2CF9AE}" pid="6" name="Jahr">
    <vt:lpwstr/>
  </property>
  <property fmtid="{D5CDD505-2E9C-101B-9397-08002B2CF9AE}" pid="7" name="a9a0450a703e45bf9f25a356067aaa07">
    <vt:lpwstr/>
  </property>
  <property fmtid="{D5CDD505-2E9C-101B-9397-08002B2CF9AE}" pid="8" name="Keywords1">
    <vt:lpwstr/>
  </property>
  <property fmtid="{D5CDD505-2E9C-101B-9397-08002B2CF9AE}" pid="9" name="denaStatus">
    <vt:lpwstr/>
  </property>
  <property fmtid="{D5CDD505-2E9C-101B-9397-08002B2CF9AE}" pid="10" name="Geteilt">
    <vt:lpwstr/>
  </property>
  <property fmtid="{D5CDD505-2E9C-101B-9397-08002B2CF9AE}" pid="11" name="Projektstatus0">
    <vt:lpwstr/>
  </property>
  <property fmtid="{D5CDD505-2E9C-101B-9397-08002B2CF9AE}" pid="12" name="lcf76f155ced4ddcb4097134ff3c332f">
    <vt:lpwstr/>
  </property>
</Properties>
</file>